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Questa_cartella_di_lavor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tefano\Google Drive 2\Lavoro\Software\Gestione Finanze\"/>
    </mc:Choice>
  </mc:AlternateContent>
  <xr:revisionPtr revIDLastSave="0" documentId="13_ncr:1_{103ECC8D-22BC-4210-9963-72FF3569447C}" xr6:coauthVersionLast="45" xr6:coauthVersionMax="45" xr10:uidLastSave="{00000000-0000-0000-0000-000000000000}"/>
  <bookViews>
    <workbookView xWindow="15" yWindow="1215" windowWidth="28785" windowHeight="14985" firstSheet="3" activeTab="3" xr2:uid="{00000000-000D-0000-FFFF-FFFF00000000}"/>
  </bookViews>
  <sheets>
    <sheet name="Prima Nota" sheetId="6" state="veryHidden" r:id="rId1"/>
    <sheet name="Panoramica Entrate e Uscite" sheetId="1" state="veryHidden" r:id="rId2"/>
    <sheet name="Impostazioni Software" sheetId="10" state="veryHidden" r:id="rId3"/>
    <sheet name="START" sheetId="11" r:id="rId4"/>
  </sheets>
  <functionGroups builtInGroupCount="19"/>
  <definedNames>
    <definedName name="_xlnm._FilterDatabase" localSheetId="0" hidden="1">'Prima Nota'!$A$3:$E$61</definedName>
    <definedName name="_xlnm.Print_Area" localSheetId="2">'Impostazioni Software'!$A$1:$B$28</definedName>
    <definedName name="_xlnm.Print_Area" localSheetId="0">'Prima Nota'!$A$1:$E$5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5" i="1" l="1"/>
  <c r="C55" i="1"/>
  <c r="A42" i="1" l="1"/>
  <c r="B1" i="6"/>
  <c r="M37" i="1" l="1"/>
  <c r="L37" i="1"/>
  <c r="K37" i="1"/>
  <c r="J37" i="1"/>
  <c r="I37" i="1"/>
  <c r="H37" i="1"/>
  <c r="G37" i="1"/>
  <c r="F37" i="1"/>
  <c r="E37" i="1"/>
  <c r="D37" i="1"/>
  <c r="C37" i="1"/>
  <c r="B37" i="1"/>
  <c r="M36" i="1"/>
  <c r="L36" i="1"/>
  <c r="K36" i="1"/>
  <c r="J36" i="1"/>
  <c r="I36" i="1"/>
  <c r="H36" i="1"/>
  <c r="G36" i="1"/>
  <c r="F36" i="1"/>
  <c r="E36" i="1"/>
  <c r="D36" i="1"/>
  <c r="C36" i="1"/>
  <c r="B36" i="1"/>
  <c r="M35" i="1"/>
  <c r="L35" i="1"/>
  <c r="K35" i="1"/>
  <c r="J35" i="1"/>
  <c r="I35" i="1"/>
  <c r="H35" i="1"/>
  <c r="G35" i="1"/>
  <c r="F35" i="1"/>
  <c r="E35" i="1"/>
  <c r="D35" i="1"/>
  <c r="C35" i="1"/>
  <c r="B35" i="1"/>
  <c r="M34" i="1"/>
  <c r="L34" i="1"/>
  <c r="K34" i="1"/>
  <c r="J34" i="1"/>
  <c r="I34" i="1"/>
  <c r="H34" i="1"/>
  <c r="G34" i="1"/>
  <c r="F34" i="1"/>
  <c r="E34" i="1"/>
  <c r="D34" i="1"/>
  <c r="C34" i="1"/>
  <c r="B34" i="1"/>
  <c r="M33" i="1"/>
  <c r="L33" i="1"/>
  <c r="K33" i="1"/>
  <c r="J33" i="1"/>
  <c r="I33" i="1"/>
  <c r="H33" i="1"/>
  <c r="G33" i="1"/>
  <c r="F33" i="1"/>
  <c r="E33" i="1"/>
  <c r="D33" i="1"/>
  <c r="C33" i="1"/>
  <c r="B33" i="1"/>
  <c r="M32" i="1"/>
  <c r="L32" i="1"/>
  <c r="K32" i="1"/>
  <c r="J32" i="1"/>
  <c r="I32" i="1"/>
  <c r="H32" i="1"/>
  <c r="G32" i="1"/>
  <c r="F32" i="1"/>
  <c r="E32" i="1"/>
  <c r="D32" i="1"/>
  <c r="C32" i="1"/>
  <c r="B32" i="1"/>
  <c r="M31" i="1"/>
  <c r="L31" i="1"/>
  <c r="K31" i="1"/>
  <c r="J31" i="1"/>
  <c r="I31" i="1"/>
  <c r="H31" i="1"/>
  <c r="G31" i="1"/>
  <c r="F31" i="1"/>
  <c r="E31" i="1"/>
  <c r="D31" i="1"/>
  <c r="C31" i="1"/>
  <c r="B31" i="1"/>
  <c r="M30" i="1"/>
  <c r="L30" i="1"/>
  <c r="K30" i="1"/>
  <c r="J30" i="1"/>
  <c r="I30" i="1"/>
  <c r="H30" i="1"/>
  <c r="G30" i="1"/>
  <c r="F30" i="1"/>
  <c r="E30" i="1"/>
  <c r="D30" i="1"/>
  <c r="C30" i="1"/>
  <c r="B30" i="1"/>
  <c r="M29" i="1"/>
  <c r="L29" i="1"/>
  <c r="K29" i="1"/>
  <c r="J29" i="1"/>
  <c r="I29" i="1"/>
  <c r="H29" i="1"/>
  <c r="G29" i="1"/>
  <c r="F29" i="1"/>
  <c r="E29" i="1"/>
  <c r="D29" i="1"/>
  <c r="C29" i="1"/>
  <c r="B29" i="1"/>
  <c r="M28" i="1"/>
  <c r="L28" i="1"/>
  <c r="K28" i="1"/>
  <c r="J28" i="1"/>
  <c r="I28" i="1"/>
  <c r="H28" i="1"/>
  <c r="G28" i="1"/>
  <c r="F28" i="1"/>
  <c r="E28" i="1"/>
  <c r="D28" i="1"/>
  <c r="C28" i="1"/>
  <c r="B28" i="1"/>
  <c r="M27" i="1"/>
  <c r="L27" i="1"/>
  <c r="K27" i="1"/>
  <c r="J27" i="1"/>
  <c r="I27" i="1"/>
  <c r="H27" i="1"/>
  <c r="G27" i="1"/>
  <c r="F27" i="1"/>
  <c r="E27" i="1"/>
  <c r="D27" i="1"/>
  <c r="C27" i="1"/>
  <c r="B27" i="1"/>
  <c r="M26" i="1"/>
  <c r="L26" i="1"/>
  <c r="K26" i="1"/>
  <c r="J26" i="1"/>
  <c r="I26" i="1"/>
  <c r="H26" i="1"/>
  <c r="G26" i="1"/>
  <c r="F26" i="1"/>
  <c r="E26" i="1"/>
  <c r="D26" i="1"/>
  <c r="C26" i="1"/>
  <c r="B26" i="1"/>
  <c r="M25" i="1"/>
  <c r="L25" i="1"/>
  <c r="K25" i="1"/>
  <c r="J25" i="1"/>
  <c r="I25" i="1"/>
  <c r="H25" i="1"/>
  <c r="G25" i="1"/>
  <c r="F25" i="1"/>
  <c r="E25" i="1"/>
  <c r="D25" i="1"/>
  <c r="C25" i="1"/>
  <c r="B25" i="1"/>
  <c r="N37" i="1" l="1"/>
  <c r="N36" i="1"/>
  <c r="N35" i="1"/>
  <c r="N34" i="1"/>
  <c r="N33" i="1"/>
  <c r="N32" i="1"/>
  <c r="N31" i="1"/>
  <c r="N30" i="1"/>
  <c r="N29" i="1"/>
  <c r="N28" i="1"/>
  <c r="N27" i="1"/>
  <c r="N26" i="1"/>
  <c r="N25" i="1"/>
  <c r="M9" i="1"/>
  <c r="L9" i="1"/>
  <c r="K9" i="1"/>
  <c r="J9" i="1"/>
  <c r="I9" i="1"/>
  <c r="H9" i="1"/>
  <c r="G9" i="1"/>
  <c r="F9" i="1"/>
  <c r="E9" i="1"/>
  <c r="D9" i="1"/>
  <c r="C9" i="1"/>
  <c r="B9" i="1"/>
  <c r="M8" i="1"/>
  <c r="L8" i="1"/>
  <c r="K8" i="1"/>
  <c r="J8" i="1"/>
  <c r="I8" i="1"/>
  <c r="H8" i="1"/>
  <c r="G8" i="1"/>
  <c r="F8" i="1"/>
  <c r="E8" i="1"/>
  <c r="D8" i="1"/>
  <c r="C8" i="1"/>
  <c r="B8" i="1"/>
  <c r="M7" i="1"/>
  <c r="L7" i="1"/>
  <c r="K7" i="1"/>
  <c r="J7" i="1"/>
  <c r="I7" i="1"/>
  <c r="H7" i="1"/>
  <c r="G7" i="1"/>
  <c r="F7" i="1"/>
  <c r="E7" i="1"/>
  <c r="D7" i="1"/>
  <c r="C7" i="1"/>
  <c r="B7" i="1"/>
  <c r="M6" i="1"/>
  <c r="L6" i="1"/>
  <c r="K6" i="1"/>
  <c r="J6" i="1"/>
  <c r="I6" i="1"/>
  <c r="H6" i="1"/>
  <c r="G6" i="1"/>
  <c r="F6" i="1"/>
  <c r="E6" i="1"/>
  <c r="D6" i="1"/>
  <c r="C6" i="1"/>
  <c r="B6" i="1"/>
  <c r="F10" i="1"/>
  <c r="M10" i="1"/>
  <c r="B10" i="1"/>
  <c r="J10" i="1"/>
  <c r="G10" i="1"/>
  <c r="E10" i="1"/>
  <c r="H10" i="1"/>
  <c r="L10" i="1"/>
  <c r="I10" i="1"/>
  <c r="D10" i="1"/>
  <c r="K10" i="1"/>
  <c r="C10" i="1"/>
  <c r="N9" i="1" l="1"/>
  <c r="N8" i="1"/>
  <c r="N7" i="1"/>
  <c r="N6" i="1"/>
  <c r="N10" i="1"/>
  <c r="O6" i="1" l="1"/>
  <c r="O7" i="1"/>
  <c r="O9" i="1"/>
  <c r="O8" i="1"/>
  <c r="M19" i="1"/>
  <c r="M20" i="1"/>
  <c r="M21" i="1"/>
  <c r="M22" i="1"/>
  <c r="M23" i="1"/>
  <c r="M24" i="1"/>
  <c r="L20" i="1"/>
  <c r="L21" i="1"/>
  <c r="L22" i="1"/>
  <c r="L23" i="1"/>
  <c r="K20" i="1"/>
  <c r="K21" i="1"/>
  <c r="K22" i="1"/>
  <c r="K23" i="1"/>
  <c r="J20" i="1"/>
  <c r="J21" i="1"/>
  <c r="J22" i="1"/>
  <c r="J23" i="1"/>
  <c r="I24" i="1"/>
  <c r="I20" i="1"/>
  <c r="I21" i="1"/>
  <c r="I22" i="1"/>
  <c r="I23" i="1"/>
  <c r="H20" i="1"/>
  <c r="H21" i="1"/>
  <c r="H22" i="1"/>
  <c r="H23" i="1"/>
  <c r="G19" i="1"/>
  <c r="G20" i="1"/>
  <c r="G21" i="1"/>
  <c r="G22" i="1"/>
  <c r="G23" i="1"/>
  <c r="G24" i="1"/>
  <c r="F20" i="1"/>
  <c r="F21" i="1"/>
  <c r="F22" i="1"/>
  <c r="F23" i="1"/>
  <c r="E19" i="1"/>
  <c r="E20" i="1"/>
  <c r="E21" i="1"/>
  <c r="E22" i="1"/>
  <c r="E23" i="1"/>
  <c r="E24" i="1"/>
  <c r="D20" i="1"/>
  <c r="D21" i="1"/>
  <c r="D22" i="1"/>
  <c r="D23" i="1"/>
  <c r="D24" i="1"/>
  <c r="C20" i="1"/>
  <c r="C21" i="1"/>
  <c r="C22" i="1"/>
  <c r="C23" i="1"/>
  <c r="C24" i="1"/>
  <c r="B24" i="1"/>
  <c r="B23" i="1"/>
  <c r="B22" i="1"/>
  <c r="B21" i="1"/>
  <c r="B20" i="1"/>
  <c r="B19" i="1"/>
  <c r="B18" i="1"/>
  <c r="B17" i="1"/>
  <c r="N20" i="1" l="1"/>
  <c r="N23" i="1"/>
  <c r="N22" i="1"/>
  <c r="N21" i="1"/>
  <c r="A3" i="10"/>
  <c r="A5" i="1"/>
  <c r="A1" i="1"/>
  <c r="B16" i="1" l="1"/>
  <c r="C16" i="1"/>
  <c r="D16" i="1"/>
  <c r="E16" i="1"/>
  <c r="F16" i="1"/>
  <c r="G16" i="1"/>
  <c r="H16" i="1"/>
  <c r="I16" i="1"/>
  <c r="J16" i="1"/>
  <c r="K16" i="1"/>
  <c r="L16" i="1"/>
  <c r="M16" i="1"/>
  <c r="C17" i="1"/>
  <c r="D17" i="1"/>
  <c r="E17" i="1"/>
  <c r="F17" i="1"/>
  <c r="G17" i="1"/>
  <c r="H17" i="1"/>
  <c r="I17" i="1"/>
  <c r="J17" i="1"/>
  <c r="K17" i="1"/>
  <c r="L17" i="1"/>
  <c r="M17" i="1"/>
  <c r="C18" i="1"/>
  <c r="D18" i="1"/>
  <c r="E18" i="1"/>
  <c r="F18" i="1"/>
  <c r="G18" i="1"/>
  <c r="H18" i="1"/>
  <c r="I18" i="1"/>
  <c r="J18" i="1"/>
  <c r="K18" i="1"/>
  <c r="L18" i="1"/>
  <c r="M18" i="1"/>
  <c r="C19" i="1"/>
  <c r="D19" i="1"/>
  <c r="F19" i="1"/>
  <c r="H19" i="1"/>
  <c r="I19" i="1"/>
  <c r="J19" i="1"/>
  <c r="K19" i="1"/>
  <c r="L19" i="1"/>
  <c r="F24" i="1"/>
  <c r="H24" i="1"/>
  <c r="J24" i="1"/>
  <c r="K24" i="1"/>
  <c r="L24" i="1"/>
  <c r="D15" i="1"/>
  <c r="E15" i="1"/>
  <c r="F15" i="1"/>
  <c r="G15" i="1"/>
  <c r="H15" i="1"/>
  <c r="I15" i="1"/>
  <c r="J15" i="1"/>
  <c r="K15" i="1"/>
  <c r="L15" i="1"/>
  <c r="M15" i="1"/>
  <c r="C15" i="1"/>
  <c r="B15" i="1"/>
  <c r="M38" i="1"/>
  <c r="M40" i="1" l="1"/>
  <c r="N19" i="1"/>
  <c r="N18" i="1"/>
  <c r="N15" i="1"/>
  <c r="N24" i="1"/>
  <c r="N17" i="1"/>
  <c r="N16" i="1"/>
  <c r="E38" i="1"/>
  <c r="J38" i="1"/>
  <c r="H38" i="1"/>
  <c r="D38" i="1"/>
  <c r="C38" i="1"/>
  <c r="K38" i="1"/>
  <c r="I38" i="1"/>
  <c r="G38" i="1"/>
  <c r="L38" i="1"/>
  <c r="F38" i="1"/>
  <c r="L40" i="1" l="1"/>
  <c r="K40" i="1"/>
  <c r="J40" i="1"/>
  <c r="I40" i="1"/>
  <c r="H40" i="1"/>
  <c r="G40" i="1"/>
  <c r="F40" i="1"/>
  <c r="E40" i="1"/>
  <c r="D40" i="1"/>
  <c r="C40" i="1"/>
  <c r="N38" i="1"/>
  <c r="O37" i="1" l="1"/>
  <c r="O36" i="1"/>
  <c r="O35" i="1"/>
  <c r="O34" i="1"/>
  <c r="O33" i="1"/>
  <c r="O32" i="1"/>
  <c r="O31" i="1"/>
  <c r="O30" i="1"/>
  <c r="O29" i="1"/>
  <c r="O28" i="1"/>
  <c r="O27" i="1"/>
  <c r="O26" i="1"/>
  <c r="O25" i="1"/>
  <c r="O16" i="1"/>
  <c r="O19" i="1"/>
  <c r="O17" i="1"/>
  <c r="O20" i="1"/>
  <c r="O23" i="1"/>
  <c r="O18" i="1"/>
  <c r="O21" i="1"/>
  <c r="O22" i="1"/>
  <c r="O24" i="1"/>
  <c r="B5" i="1"/>
  <c r="B38" i="1"/>
  <c r="B40" i="1" l="1"/>
  <c r="B42" i="1" s="1"/>
  <c r="C42" i="1" s="1"/>
  <c r="D42" i="1" s="1"/>
  <c r="E42" i="1" s="1"/>
  <c r="F42" i="1" s="1"/>
  <c r="G42" i="1" s="1"/>
  <c r="O15" i="1"/>
  <c r="H42" i="1" l="1"/>
  <c r="I42" i="1" s="1"/>
  <c r="J42" i="1" s="1"/>
  <c r="K42" i="1" s="1"/>
  <c r="L42" i="1" s="1"/>
  <c r="M42" i="1" s="1"/>
  <c r="O42" i="1" s="1"/>
  <c r="B57" i="1" s="1"/>
  <c r="C57" i="1" s="1"/>
</calcChain>
</file>

<file path=xl/sharedStrings.xml><?xml version="1.0" encoding="utf-8"?>
<sst xmlns="http://schemas.openxmlformats.org/spreadsheetml/2006/main" count="114" uniqueCount="67">
  <si>
    <t>Gennaio</t>
  </si>
  <si>
    <t xml:space="preserve">Febbraio 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</si>
  <si>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</si>
  <si>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</si>
  <si>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</si>
  <si>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</si>
  <si>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</si>
  <si>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</si>
  <si>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</si>
  <si>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</si>
  <si>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</si>
  <si>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</si>
  <si>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Uscite</t>
  </si>
  <si>
    <t>IMPOSTE E TASSE</t>
  </si>
  <si>
    <t>TOTALE</t>
  </si>
  <si>
    <t>Descrizione</t>
  </si>
  <si>
    <t>Entrate</t>
  </si>
  <si>
    <t xml:space="preserve">Saldo Attuale </t>
  </si>
  <si>
    <t>LIBRI, RIVISTE E QUOTIDIANI</t>
  </si>
  <si>
    <t>DONAZIONI(REGALI, LIBERALITA')</t>
  </si>
  <si>
    <t xml:space="preserve"> </t>
  </si>
  <si>
    <t>ANNO DI RIFERIMENTO</t>
  </si>
  <si>
    <t>Tipologia del conto</t>
  </si>
  <si>
    <t>%</t>
  </si>
  <si>
    <t>Accantonamenti previsti</t>
  </si>
  <si>
    <t>Mese attuale</t>
  </si>
  <si>
    <t>Mese successivo</t>
  </si>
  <si>
    <t>Per utilizzare questo foglio si prega di abilitare le Macro cliccando sul pulsante "Abilita Contenuto", che si trova indicato in alto</t>
  </si>
  <si>
    <t>TOTALE ENTRATE</t>
  </si>
  <si>
    <t>TOTALE USCITE</t>
  </si>
  <si>
    <t>TOTALE ACCANTONAMENTI</t>
  </si>
  <si>
    <t>SALDO LIQUIDITA' DISPONIBILE AL NETTO ACCANTONAMENTI</t>
  </si>
  <si>
    <t>Differenziale(Entrate-Uscite)</t>
  </si>
  <si>
    <t>FINANZIAMENTI(MUTUO,CELLULARE, AUTO E VARIE)</t>
  </si>
  <si>
    <t>ALTRO</t>
  </si>
  <si>
    <t>SPESE BANCARIE</t>
  </si>
  <si>
    <t>Data operazione</t>
  </si>
  <si>
    <t>ACCANTONAMENTO 1° TIPOLOGIA</t>
  </si>
  <si>
    <t>ACCANTONAMENTO 2° TIPOLOGIA</t>
  </si>
  <si>
    <t>ACCANTONAMENTO 3° TIPOLOGIA</t>
  </si>
  <si>
    <t>CASA</t>
  </si>
  <si>
    <t>UTENZE(TELEFONO, ENERGIA ELETTRICA, ETC.ETC.)</t>
  </si>
  <si>
    <t>CARBURANTE TRASPORTI e assicurazioni</t>
  </si>
  <si>
    <t>SVAGO E DIVERTIMENTI(APERITIVI, CENE E VARIE)</t>
  </si>
  <si>
    <t>SPESE SANITARIE(MEDICINE, PRESTAZIONI ODONTOIATRICHE)</t>
  </si>
  <si>
    <t>BENESSERE PERSONALE(BARBIERE, MANICURE, SOLARIUM, MASSAGGI)</t>
  </si>
  <si>
    <t>SHOPPING(ABBIGLIAMENTO, ACCESSORI)</t>
  </si>
  <si>
    <t>SPESE VARIE</t>
  </si>
  <si>
    <t>ELETTRODOMESTICI E TECNOLOGIA</t>
  </si>
  <si>
    <t>VIAGGI E VACANZE</t>
  </si>
  <si>
    <t>CORSI DI FORMAZIONE</t>
  </si>
  <si>
    <t xml:space="preserve">ACQUISTO LAVORO </t>
  </si>
  <si>
    <t>DEPOSITO IN CASSA</t>
  </si>
  <si>
    <t>PRELIEVO BANCOMAT</t>
  </si>
  <si>
    <t>IMPOSTE, TASSE, CONTRIBUTI E SANZIONI</t>
  </si>
  <si>
    <t>RATA AUTOMOBILE</t>
  </si>
  <si>
    <t>RATA EQUITALIA PERSONALE 1</t>
  </si>
  <si>
    <t>RESTITUZIONE FONDI M</t>
  </si>
  <si>
    <t>RISPARMIO PERSONALE BASSO RISCHIO</t>
  </si>
  <si>
    <t>RISPARMIO PERSONALE ALTO RISCHIO</t>
  </si>
  <si>
    <t>BONIFICI</t>
  </si>
  <si>
    <t>ASSEGNI</t>
  </si>
  <si>
    <t>CONTANTE</t>
  </si>
  <si>
    <t xml:space="preserve">INTERESSI ATTIVI </t>
  </si>
  <si>
    <t>Mario Rossi</t>
  </si>
  <si>
    <t>NOME E COGNOME O ALIAS</t>
  </si>
  <si>
    <t>Prova movimento finanziario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</si>
</sst>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_-[$€-410]\ * #,##0.00_-;\-[$€-410]\ * #,##0.00_-;_-[$€-410]\ * &quot;-&quot;??_-;_-@_-"/>
    <numFmt numFmtId="166" formatCode="_-* #,##0.00\ [$€-410]_-;\-* #,##0.00\ [$€-410]_-;_-* &quot;-&quot;??\ [$€-410]_-;_-@_-"/>
    <numFmt numFmtId="167" formatCode="&quot;€&quot;\ #,##0.00"/>
    <numFmt numFmtId="168" formatCode="#,##0.0000000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00823B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rgb="FF00642D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rgb="FF0000CD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4"/>
      <color rgb="FF00642D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8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theme="1"/>
      </left>
      <right style="medium">
        <color theme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theme="1"/>
      </top>
      <bottom style="medium">
        <color theme="1"/>
      </bottom>
      <diagonal/>
    </border>
    <border>
      <left style="thin">
        <color auto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89">
    <xf numFmtId="0" fontId="0" fillId="0" borderId="0" xfId="0"/>
    <xf numFmtId="0" fontId="1" fillId="0" borderId="0" xfId="0" applyFont="1"/>
    <xf numFmtId="164" fontId="0" fillId="0" borderId="0" xfId="0" applyNumberFormat="1"/>
    <xf numFmtId="0" fontId="3" fillId="0" borderId="0" xfId="0" applyFont="1"/>
    <xf numFmtId="0" fontId="6" fillId="0" borderId="0" xfId="0" applyFont="1" applyAlignment="1">
      <alignment wrapText="1"/>
    </xf>
    <xf numFmtId="164" fontId="1" fillId="0" borderId="0" xfId="0" applyNumberFormat="1" applyFont="1"/>
    <xf numFmtId="166" fontId="1" fillId="0" borderId="0" xfId="0" applyNumberFormat="1" applyFont="1"/>
    <xf numFmtId="0" fontId="8" fillId="0" borderId="0" xfId="0" applyFont="1"/>
    <xf numFmtId="0" fontId="5" fillId="2" borderId="0" xfId="0" applyFont="1" applyFill="1"/>
    <xf numFmtId="0" fontId="0" fillId="2" borderId="0" xfId="0" applyFill="1"/>
    <xf numFmtId="0" fontId="0" fillId="0" borderId="0" xfId="0" applyFill="1"/>
    <xf numFmtId="164" fontId="0" fillId="0" borderId="0" xfId="1" applyFont="1" applyFill="1"/>
    <xf numFmtId="0" fontId="0" fillId="0" borderId="0" xfId="0" applyProtection="1">
      <protection hidden="1"/>
    </xf>
    <xf numFmtId="164" fontId="0" fillId="0" borderId="11" xfId="1" applyFont="1" applyBorder="1" applyProtection="1">
      <protection hidden="1"/>
    </xf>
    <xf numFmtId="164" fontId="0" fillId="0" borderId="1" xfId="1" applyFont="1" applyBorder="1" applyProtection="1">
      <protection hidden="1"/>
    </xf>
    <xf numFmtId="167" fontId="4" fillId="0" borderId="8" xfId="1" applyNumberFormat="1" applyFont="1" applyBorder="1" applyProtection="1">
      <protection hidden="1"/>
    </xf>
    <xf numFmtId="167" fontId="1" fillId="0" borderId="21" xfId="0" applyNumberFormat="1" applyFont="1" applyBorder="1" applyProtection="1">
      <protection hidden="1"/>
    </xf>
    <xf numFmtId="167" fontId="1" fillId="0" borderId="0" xfId="1" applyNumberFormat="1" applyFont="1" applyBorder="1" applyProtection="1">
      <protection hidden="1"/>
    </xf>
    <xf numFmtId="164" fontId="1" fillId="0" borderId="20" xfId="1" applyFont="1" applyBorder="1" applyProtection="1">
      <protection hidden="1"/>
    </xf>
    <xf numFmtId="0" fontId="13" fillId="0" borderId="0" xfId="0" applyFont="1"/>
    <xf numFmtId="0" fontId="14" fillId="2" borderId="0" xfId="0" applyFont="1" applyFill="1"/>
    <xf numFmtId="0" fontId="12" fillId="0" borderId="0" xfId="0" applyFont="1"/>
    <xf numFmtId="167" fontId="12" fillId="0" borderId="38" xfId="1" applyNumberFormat="1" applyFont="1" applyBorder="1" applyProtection="1">
      <protection hidden="1"/>
    </xf>
    <xf numFmtId="164" fontId="12" fillId="0" borderId="39" xfId="1" applyFont="1" applyBorder="1" applyProtection="1">
      <protection hidden="1"/>
    </xf>
    <xf numFmtId="165" fontId="1" fillId="0" borderId="55" xfId="1" applyNumberFormat="1" applyFont="1" applyBorder="1" applyAlignment="1" applyProtection="1">
      <protection hidden="1"/>
    </xf>
    <xf numFmtId="165" fontId="1" fillId="0" borderId="2" xfId="1" applyNumberFormat="1" applyFont="1" applyBorder="1" applyAlignment="1" applyProtection="1">
      <protection hidden="1"/>
    </xf>
    <xf numFmtId="10" fontId="1" fillId="0" borderId="57" xfId="2" applyNumberFormat="1" applyFont="1" applyBorder="1" applyAlignment="1" applyProtection="1">
      <protection hidden="1"/>
    </xf>
    <xf numFmtId="164" fontId="0" fillId="0" borderId="58" xfId="1" applyFont="1" applyBorder="1" applyProtection="1">
      <protection hidden="1"/>
    </xf>
    <xf numFmtId="165" fontId="1" fillId="0" borderId="59" xfId="1" applyNumberFormat="1" applyFont="1" applyBorder="1" applyAlignment="1" applyProtection="1">
      <protection hidden="1"/>
    </xf>
    <xf numFmtId="10" fontId="1" fillId="0" borderId="60" xfId="2" applyNumberFormat="1" applyFont="1" applyBorder="1" applyAlignment="1" applyProtection="1">
      <protection hidden="1"/>
    </xf>
    <xf numFmtId="167" fontId="4" fillId="0" borderId="61" xfId="1" applyNumberFormat="1" applyFont="1" applyBorder="1" applyProtection="1">
      <protection hidden="1"/>
    </xf>
    <xf numFmtId="164" fontId="1" fillId="0" borderId="62" xfId="1" applyFont="1" applyBorder="1" applyProtection="1">
      <protection hidden="1"/>
    </xf>
    <xf numFmtId="167" fontId="4" fillId="0" borderId="54" xfId="1" applyNumberFormat="1" applyFont="1" applyBorder="1" applyProtection="1">
      <protection hidden="1"/>
    </xf>
    <xf numFmtId="9" fontId="0" fillId="0" borderId="63" xfId="2" applyFont="1" applyBorder="1" applyProtection="1">
      <protection hidden="1"/>
    </xf>
    <xf numFmtId="0" fontId="0" fillId="0" borderId="0" xfId="0" applyProtection="1">
      <protection locked="0"/>
    </xf>
    <xf numFmtId="164" fontId="0" fillId="0" borderId="0" xfId="1" applyFont="1" applyProtection="1">
      <protection locked="0"/>
    </xf>
    <xf numFmtId="164" fontId="0" fillId="0" borderId="0" xfId="0" applyNumberFormat="1" applyProtection="1">
      <protection locked="0"/>
    </xf>
    <xf numFmtId="0" fontId="6" fillId="0" borderId="43" xfId="0" applyFont="1" applyBorder="1" applyAlignment="1" applyProtection="1">
      <alignment wrapText="1"/>
      <protection locked="0"/>
    </xf>
    <xf numFmtId="0" fontId="6" fillId="0" borderId="44" xfId="0" applyFont="1" applyBorder="1" applyAlignment="1" applyProtection="1">
      <alignment wrapText="1"/>
      <protection locked="0"/>
    </xf>
    <xf numFmtId="0" fontId="6" fillId="0" borderId="45" xfId="0" applyFont="1" applyBorder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46" xfId="0" applyBorder="1" applyAlignment="1" applyProtection="1">
      <alignment wrapText="1"/>
      <protection locked="0"/>
    </xf>
    <xf numFmtId="164" fontId="0" fillId="0" borderId="42" xfId="1" applyFont="1" applyBorder="1" applyProtection="1">
      <protection locked="0"/>
    </xf>
    <xf numFmtId="164" fontId="0" fillId="0" borderId="47" xfId="1" applyFont="1" applyBorder="1" applyProtection="1">
      <protection locked="0"/>
    </xf>
    <xf numFmtId="0" fontId="0" fillId="0" borderId="46" xfId="0" applyBorder="1" applyProtection="1">
      <protection locked="0"/>
    </xf>
    <xf numFmtId="164" fontId="0" fillId="0" borderId="42" xfId="0" applyNumberFormat="1" applyBorder="1" applyProtection="1">
      <protection locked="0"/>
    </xf>
    <xf numFmtId="164" fontId="0" fillId="0" borderId="47" xfId="0" applyNumberFormat="1" applyBorder="1" applyProtection="1">
      <protection locked="0"/>
    </xf>
    <xf numFmtId="0" fontId="0" fillId="0" borderId="48" xfId="0" applyBorder="1" applyProtection="1">
      <protection locked="0"/>
    </xf>
    <xf numFmtId="164" fontId="0" fillId="0" borderId="49" xfId="1" applyFont="1" applyBorder="1" applyProtection="1">
      <protection locked="0"/>
    </xf>
    <xf numFmtId="164" fontId="0" fillId="0" borderId="50" xfId="1" applyFont="1" applyBorder="1" applyProtection="1">
      <protection locked="0"/>
    </xf>
    <xf numFmtId="0" fontId="0" fillId="0" borderId="40" xfId="0" applyBorder="1" applyProtection="1">
      <protection locked="0"/>
    </xf>
    <xf numFmtId="164" fontId="0" fillId="0" borderId="0" xfId="0" applyNumberFormat="1" applyBorder="1" applyProtection="1">
      <protection locked="0"/>
    </xf>
    <xf numFmtId="164" fontId="0" fillId="0" borderId="41" xfId="0" applyNumberFormat="1" applyBorder="1" applyProtection="1">
      <protection locked="0"/>
    </xf>
    <xf numFmtId="0" fontId="1" fillId="0" borderId="51" xfId="0" applyFont="1" applyBorder="1" applyProtection="1">
      <protection locked="0"/>
    </xf>
    <xf numFmtId="164" fontId="1" fillId="0" borderId="52" xfId="0" applyNumberFormat="1" applyFont="1" applyBorder="1" applyProtection="1">
      <protection locked="0"/>
    </xf>
    <xf numFmtId="164" fontId="1" fillId="0" borderId="53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0" fontId="1" fillId="0" borderId="48" xfId="0" applyFont="1" applyBorder="1" applyAlignment="1" applyProtection="1">
      <alignment wrapText="1"/>
      <protection locked="0"/>
    </xf>
    <xf numFmtId="165" fontId="7" fillId="0" borderId="49" xfId="0" applyNumberFormat="1" applyFont="1" applyBorder="1" applyProtection="1">
      <protection locked="0"/>
    </xf>
    <xf numFmtId="165" fontId="7" fillId="0" borderId="50" xfId="0" applyNumberFormat="1" applyFont="1" applyBorder="1" applyProtection="1">
      <protection locked="0"/>
    </xf>
    <xf numFmtId="165" fontId="1" fillId="0" borderId="0" xfId="0" applyNumberFormat="1" applyFont="1" applyProtection="1">
      <protection locked="0"/>
    </xf>
    <xf numFmtId="0" fontId="0" fillId="2" borderId="0" xfId="0" applyFill="1" applyProtection="1">
      <protection hidden="1"/>
    </xf>
    <xf numFmtId="0" fontId="8" fillId="2" borderId="0" xfId="0" applyFont="1" applyFill="1" applyProtection="1">
      <protection hidden="1"/>
    </xf>
    <xf numFmtId="0" fontId="1" fillId="2" borderId="0" xfId="0" applyFont="1" applyFill="1" applyProtection="1">
      <protection hidden="1"/>
    </xf>
    <xf numFmtId="0" fontId="3" fillId="2" borderId="0" xfId="0" applyFont="1" applyFill="1" applyProtection="1">
      <protection hidden="1"/>
    </xf>
    <xf numFmtId="0" fontId="5" fillId="2" borderId="0" xfId="0" applyFont="1" applyFill="1" applyProtection="1">
      <protection hidden="1"/>
    </xf>
    <xf numFmtId="0" fontId="14" fillId="2" borderId="0" xfId="0" applyFont="1" applyFill="1" applyProtection="1">
      <protection hidden="1"/>
    </xf>
    <xf numFmtId="14" fontId="15" fillId="0" borderId="29" xfId="0" applyNumberFormat="1" applyFont="1" applyBorder="1" applyProtection="1">
      <protection locked="0"/>
    </xf>
    <xf numFmtId="164" fontId="15" fillId="0" borderId="30" xfId="1" applyFont="1" applyBorder="1" applyProtection="1">
      <protection locked="0"/>
    </xf>
    <xf numFmtId="0" fontId="15" fillId="0" borderId="31" xfId="0" applyFont="1" applyBorder="1" applyAlignment="1" applyProtection="1">
      <alignment wrapText="1"/>
      <protection locked="0"/>
    </xf>
    <xf numFmtId="14" fontId="15" fillId="0" borderId="26" xfId="0" applyNumberFormat="1" applyFont="1" applyBorder="1" applyProtection="1">
      <protection locked="0"/>
    </xf>
    <xf numFmtId="164" fontId="15" fillId="0" borderId="27" xfId="1" applyFont="1" applyBorder="1" applyProtection="1">
      <protection locked="0"/>
    </xf>
    <xf numFmtId="14" fontId="15" fillId="0" borderId="32" xfId="0" applyNumberFormat="1" applyFont="1" applyBorder="1" applyProtection="1">
      <protection locked="0"/>
    </xf>
    <xf numFmtId="164" fontId="15" fillId="0" borderId="33" xfId="1" applyFont="1" applyBorder="1" applyProtection="1">
      <protection locked="0"/>
    </xf>
    <xf numFmtId="14" fontId="14" fillId="0" borderId="1" xfId="0" applyNumberFormat="1" applyFont="1" applyFill="1" applyBorder="1" applyProtection="1">
      <protection locked="0"/>
    </xf>
    <xf numFmtId="164" fontId="14" fillId="0" borderId="1" xfId="1" applyFont="1" applyFill="1" applyBorder="1" applyProtection="1">
      <protection locked="0"/>
    </xf>
    <xf numFmtId="14" fontId="14" fillId="0" borderId="25" xfId="0" applyNumberFormat="1" applyFont="1" applyFill="1" applyBorder="1" applyProtection="1">
      <protection locked="0"/>
    </xf>
    <xf numFmtId="164" fontId="14" fillId="0" borderId="25" xfId="1" applyFont="1" applyFill="1" applyBorder="1" applyProtection="1">
      <protection locked="0"/>
    </xf>
    <xf numFmtId="14" fontId="0" fillId="0" borderId="25" xfId="0" applyNumberFormat="1" applyFill="1" applyBorder="1" applyProtection="1">
      <protection locked="0"/>
    </xf>
    <xf numFmtId="164" fontId="0" fillId="0" borderId="25" xfId="1" applyFont="1" applyFill="1" applyBorder="1" applyProtection="1">
      <protection locked="0"/>
    </xf>
    <xf numFmtId="14" fontId="0" fillId="0" borderId="1" xfId="0" applyNumberFormat="1" applyFill="1" applyBorder="1" applyProtection="1">
      <protection locked="0"/>
    </xf>
    <xf numFmtId="164" fontId="0" fillId="0" borderId="1" xfId="1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0" xfId="0" applyFill="1" applyProtection="1">
      <protection locked="0"/>
    </xf>
    <xf numFmtId="164" fontId="0" fillId="0" borderId="0" xfId="1" applyFont="1" applyFill="1" applyProtection="1">
      <protection locked="0"/>
    </xf>
    <xf numFmtId="0" fontId="0" fillId="0" borderId="4" xfId="0" applyBorder="1" applyAlignment="1" applyProtection="1">
      <alignment wrapText="1"/>
      <protection locked="0"/>
    </xf>
    <xf numFmtId="0" fontId="1" fillId="0" borderId="0" xfId="0" quotePrefix="1" applyFont="1" applyBorder="1" applyProtection="1"/>
    <xf numFmtId="167" fontId="4" fillId="0" borderId="0" xfId="1" applyNumberFormat="1" applyFont="1" applyBorder="1" applyProtection="1"/>
    <xf numFmtId="164" fontId="1" fillId="0" borderId="0" xfId="1" applyFont="1" applyBorder="1" applyProtection="1"/>
    <xf numFmtId="166" fontId="1" fillId="0" borderId="0" xfId="0" applyNumberFormat="1" applyFont="1" applyBorder="1" applyProtection="1"/>
    <xf numFmtId="0" fontId="1" fillId="0" borderId="0" xfId="0" applyFont="1" applyBorder="1" applyProtection="1"/>
    <xf numFmtId="0" fontId="0" fillId="0" borderId="0" xfId="0" applyBorder="1" applyProtection="1"/>
    <xf numFmtId="168" fontId="0" fillId="0" borderId="0" xfId="1" applyNumberFormat="1" applyFont="1" applyBorder="1" applyAlignment="1" applyProtection="1">
      <alignment wrapText="1"/>
    </xf>
    <xf numFmtId="164" fontId="0" fillId="0" borderId="0" xfId="1" applyFont="1" applyBorder="1" applyProtection="1"/>
    <xf numFmtId="14" fontId="15" fillId="0" borderId="29" xfId="0" applyNumberFormat="1" applyFont="1" applyFill="1" applyBorder="1" applyProtection="1">
      <protection locked="0"/>
    </xf>
    <xf numFmtId="164" fontId="15" fillId="0" borderId="30" xfId="1" applyFont="1" applyFill="1" applyBorder="1" applyProtection="1">
      <protection locked="0"/>
    </xf>
    <xf numFmtId="0" fontId="0" fillId="0" borderId="12" xfId="0" applyBorder="1" applyAlignment="1" applyProtection="1">
      <alignment wrapText="1"/>
      <protection locked="0"/>
    </xf>
    <xf numFmtId="0" fontId="8" fillId="0" borderId="7" xfId="0" applyFont="1" applyBorder="1" applyAlignment="1" applyProtection="1">
      <alignment wrapText="1"/>
      <protection hidden="1"/>
    </xf>
    <xf numFmtId="0" fontId="8" fillId="0" borderId="16" xfId="0" applyFont="1" applyBorder="1" applyAlignment="1" applyProtection="1">
      <alignment wrapText="1"/>
      <protection hidden="1"/>
    </xf>
    <xf numFmtId="0" fontId="0" fillId="0" borderId="12" xfId="0" quotePrefix="1" applyBorder="1" applyAlignment="1" applyProtection="1">
      <alignment wrapText="1"/>
      <protection locked="0"/>
    </xf>
    <xf numFmtId="0" fontId="3" fillId="0" borderId="12" xfId="0" applyFont="1" applyBorder="1" applyAlignment="1" applyProtection="1">
      <alignment wrapText="1"/>
      <protection locked="0"/>
    </xf>
    <xf numFmtId="0" fontId="0" fillId="0" borderId="22" xfId="0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>
      <alignment wrapText="1"/>
    </xf>
    <xf numFmtId="0" fontId="10" fillId="0" borderId="9" xfId="0" applyFont="1" applyBorder="1" applyAlignment="1" applyProtection="1">
      <alignment horizontal="right" wrapText="1"/>
      <protection locked="0"/>
    </xf>
    <xf numFmtId="4" fontId="9" fillId="0" borderId="9" xfId="0" applyNumberFormat="1" applyFont="1" applyBorder="1" applyAlignment="1" applyProtection="1">
      <alignment wrapText="1"/>
      <protection locked="0"/>
    </xf>
    <xf numFmtId="0" fontId="9" fillId="0" borderId="17" xfId="0" applyFont="1" applyBorder="1" applyAlignment="1" applyProtection="1">
      <alignment wrapText="1"/>
      <protection hidden="1"/>
    </xf>
    <xf numFmtId="0" fontId="0" fillId="0" borderId="5" xfId="0" applyBorder="1" applyAlignment="1" applyProtection="1">
      <alignment wrapText="1"/>
      <protection locked="0"/>
    </xf>
    <xf numFmtId="0" fontId="15" fillId="0" borderId="34" xfId="0" applyFont="1" applyBorder="1" applyAlignment="1" applyProtection="1">
      <alignment wrapText="1"/>
      <protection locked="0"/>
    </xf>
    <xf numFmtId="0" fontId="15" fillId="0" borderId="28" xfId="0" applyFont="1" applyBorder="1" applyAlignment="1" applyProtection="1">
      <alignment wrapText="1"/>
      <protection locked="0"/>
    </xf>
    <xf numFmtId="0" fontId="15" fillId="0" borderId="64" xfId="0" applyFont="1" applyFill="1" applyBorder="1" applyAlignment="1" applyProtection="1">
      <alignment wrapText="1"/>
      <protection locked="0"/>
    </xf>
    <xf numFmtId="0" fontId="15" fillId="0" borderId="66" xfId="0" applyFont="1" applyFill="1" applyBorder="1" applyAlignment="1" applyProtection="1">
      <alignment wrapText="1"/>
      <protection locked="0"/>
    </xf>
    <xf numFmtId="0" fontId="14" fillId="0" borderId="4" xfId="0" applyFont="1" applyFill="1" applyBorder="1" applyAlignment="1" applyProtection="1">
      <alignment wrapText="1"/>
      <protection locked="0"/>
    </xf>
    <xf numFmtId="0" fontId="0" fillId="0" borderId="6" xfId="0" applyFill="1" applyBorder="1" applyAlignment="1" applyProtection="1">
      <alignment wrapText="1"/>
      <protection locked="0"/>
    </xf>
    <xf numFmtId="0" fontId="0" fillId="0" borderId="4" xfId="0" applyFill="1" applyBorder="1" applyAlignment="1" applyProtection="1">
      <alignment wrapText="1"/>
      <protection locked="0"/>
    </xf>
    <xf numFmtId="0" fontId="0" fillId="0" borderId="5" xfId="0" applyFill="1" applyBorder="1" applyAlignment="1" applyProtection="1">
      <alignment wrapText="1"/>
      <protection locked="0"/>
    </xf>
    <xf numFmtId="0" fontId="0" fillId="0" borderId="0" xfId="0" applyFill="1" applyAlignment="1" applyProtection="1">
      <alignment wrapText="1"/>
      <protection locked="0"/>
    </xf>
    <xf numFmtId="0" fontId="0" fillId="0" borderId="0" xfId="0" applyFill="1" applyAlignment="1">
      <alignment wrapText="1"/>
    </xf>
    <xf numFmtId="0" fontId="15" fillId="0" borderId="31" xfId="0" applyFont="1" applyFill="1" applyBorder="1" applyAlignment="1" applyProtection="1">
      <alignment wrapText="1"/>
      <protection locked="0"/>
    </xf>
    <xf numFmtId="0" fontId="14" fillId="0" borderId="35" xfId="0" applyFont="1" applyFill="1" applyBorder="1" applyAlignment="1" applyProtection="1">
      <alignment wrapText="1"/>
      <protection locked="0"/>
    </xf>
    <xf numFmtId="0" fontId="14" fillId="0" borderId="2" xfId="0" applyFont="1" applyFill="1" applyBorder="1" applyAlignment="1" applyProtection="1">
      <alignment wrapText="1"/>
      <protection locked="0"/>
    </xf>
    <xf numFmtId="0" fontId="0" fillId="0" borderId="35" xfId="0" applyFill="1" applyBorder="1" applyAlignment="1" applyProtection="1">
      <alignment wrapText="1"/>
      <protection locked="0"/>
    </xf>
    <xf numFmtId="0" fontId="0" fillId="0" borderId="2" xfId="0" applyFill="1" applyBorder="1" applyAlignment="1" applyProtection="1">
      <alignment wrapText="1"/>
      <protection locked="0"/>
    </xf>
    <xf numFmtId="0" fontId="4" fillId="0" borderId="67" xfId="0" applyFont="1" applyFill="1" applyBorder="1" applyAlignment="1" applyProtection="1">
      <alignment horizontal="left" wrapText="1"/>
      <protection hidden="1"/>
    </xf>
    <xf numFmtId="0" fontId="4" fillId="0" borderId="65" xfId="0" applyFont="1" applyFill="1" applyBorder="1" applyAlignment="1" applyProtection="1">
      <alignment horizontal="left" wrapText="1"/>
      <protection hidden="1"/>
    </xf>
    <xf numFmtId="14" fontId="15" fillId="0" borderId="68" xfId="0" applyNumberFormat="1" applyFont="1" applyBorder="1" applyProtection="1">
      <protection locked="0"/>
    </xf>
    <xf numFmtId="164" fontId="15" fillId="0" borderId="69" xfId="1" applyFont="1" applyBorder="1" applyProtection="1">
      <protection locked="0"/>
    </xf>
    <xf numFmtId="0" fontId="15" fillId="0" borderId="70" xfId="0" applyFont="1" applyBorder="1" applyAlignment="1" applyProtection="1">
      <alignment wrapText="1"/>
      <protection locked="0"/>
    </xf>
    <xf numFmtId="0" fontId="15" fillId="0" borderId="71" xfId="0" applyFont="1" applyFill="1" applyBorder="1" applyAlignment="1" applyProtection="1">
      <alignment wrapText="1"/>
      <protection locked="0"/>
    </xf>
    <xf numFmtId="0" fontId="15" fillId="0" borderId="72" xfId="0" applyFont="1" applyFill="1" applyBorder="1" applyAlignment="1" applyProtection="1">
      <alignment wrapText="1"/>
      <protection locked="0"/>
    </xf>
    <xf numFmtId="0" fontId="4" fillId="0" borderId="73" xfId="0" applyFont="1" applyFill="1" applyBorder="1" applyAlignment="1" applyProtection="1">
      <alignment horizontal="left" wrapText="1"/>
      <protection hidden="1"/>
    </xf>
    <xf numFmtId="0" fontId="4" fillId="0" borderId="14" xfId="0" applyFont="1" applyFill="1" applyBorder="1" applyAlignment="1" applyProtection="1">
      <alignment horizontal="left" wrapText="1"/>
      <protection hidden="1"/>
    </xf>
    <xf numFmtId="164" fontId="5" fillId="0" borderId="76" xfId="0" applyNumberFormat="1" applyFont="1" applyFill="1" applyBorder="1" applyAlignment="1" applyProtection="1">
      <alignment wrapText="1"/>
      <protection hidden="1"/>
    </xf>
    <xf numFmtId="167" fontId="0" fillId="0" borderId="0" xfId="1" applyNumberFormat="1" applyFont="1" applyProtection="1">
      <protection hidden="1"/>
    </xf>
    <xf numFmtId="167" fontId="4" fillId="0" borderId="18" xfId="1" applyNumberFormat="1" applyFont="1" applyBorder="1" applyProtection="1">
      <protection hidden="1"/>
    </xf>
    <xf numFmtId="0" fontId="1" fillId="0" borderId="18" xfId="0" applyFont="1" applyBorder="1" applyProtection="1">
      <protection hidden="1"/>
    </xf>
    <xf numFmtId="167" fontId="6" fillId="0" borderId="24" xfId="1" applyNumberFormat="1" applyFont="1" applyBorder="1" applyProtection="1">
      <protection hidden="1"/>
    </xf>
    <xf numFmtId="14" fontId="15" fillId="0" borderId="32" xfId="0" applyNumberFormat="1" applyFont="1" applyFill="1" applyBorder="1" applyProtection="1">
      <protection locked="0"/>
    </xf>
    <xf numFmtId="164" fontId="15" fillId="0" borderId="33" xfId="1" applyFont="1" applyFill="1" applyBorder="1" applyProtection="1">
      <protection locked="0"/>
    </xf>
    <xf numFmtId="0" fontId="15" fillId="0" borderId="34" xfId="0" applyFont="1" applyFill="1" applyBorder="1" applyAlignment="1" applyProtection="1">
      <alignment wrapText="1"/>
      <protection locked="0"/>
    </xf>
    <xf numFmtId="167" fontId="12" fillId="0" borderId="0" xfId="0" applyNumberFormat="1" applyFont="1" applyBorder="1" applyProtection="1">
      <protection locked="0"/>
    </xf>
    <xf numFmtId="167" fontId="12" fillId="0" borderId="0" xfId="1" applyNumberFormat="1" applyFont="1" applyBorder="1" applyProtection="1">
      <protection locked="0"/>
    </xf>
    <xf numFmtId="164" fontId="12" fillId="0" borderId="0" xfId="1" applyFont="1" applyBorder="1" applyProtection="1">
      <protection locked="0"/>
    </xf>
    <xf numFmtId="14" fontId="15" fillId="0" borderId="77" xfId="0" applyNumberFormat="1" applyFont="1" applyFill="1" applyBorder="1" applyProtection="1">
      <protection locked="0"/>
    </xf>
    <xf numFmtId="164" fontId="15" fillId="0" borderId="78" xfId="1" applyFont="1" applyFill="1" applyBorder="1" applyProtection="1">
      <protection locked="0"/>
    </xf>
    <xf numFmtId="0" fontId="15" fillId="0" borderId="79" xfId="0" applyFont="1" applyFill="1" applyBorder="1" applyAlignment="1" applyProtection="1">
      <alignment wrapText="1"/>
      <protection locked="0"/>
    </xf>
    <xf numFmtId="0" fontId="16" fillId="0" borderId="10" xfId="0" applyFont="1" applyBorder="1" applyProtection="1">
      <protection hidden="1"/>
    </xf>
    <xf numFmtId="164" fontId="16" fillId="0" borderId="24" xfId="1" applyFont="1" applyBorder="1" applyProtection="1">
      <protection hidden="1"/>
    </xf>
    <xf numFmtId="0" fontId="16" fillId="0" borderId="0" xfId="0" applyFont="1"/>
    <xf numFmtId="0" fontId="6" fillId="0" borderId="24" xfId="0" applyFont="1" applyBorder="1" applyProtection="1"/>
    <xf numFmtId="0" fontId="6" fillId="0" borderId="7" xfId="0" applyFont="1" applyBorder="1" applyAlignment="1" applyProtection="1">
      <alignment horizontal="center"/>
    </xf>
    <xf numFmtId="0" fontId="6" fillId="0" borderId="8" xfId="0" applyFont="1" applyBorder="1" applyAlignment="1" applyProtection="1">
      <alignment horizontal="center"/>
    </xf>
    <xf numFmtId="0" fontId="6" fillId="0" borderId="54" xfId="0" applyFont="1" applyBorder="1" applyAlignment="1" applyProtection="1">
      <alignment horizontal="center"/>
    </xf>
    <xf numFmtId="0" fontId="6" fillId="0" borderId="56" xfId="0" applyFont="1" applyBorder="1" applyAlignment="1" applyProtection="1">
      <alignment horizontal="center"/>
    </xf>
    <xf numFmtId="0" fontId="17" fillId="0" borderId="0" xfId="0" applyFont="1" applyProtection="1"/>
    <xf numFmtId="0" fontId="6" fillId="0" borderId="10" xfId="0" applyFont="1" applyBorder="1" applyProtection="1">
      <protection hidden="1"/>
    </xf>
    <xf numFmtId="0" fontId="6" fillId="0" borderId="7" xfId="0" applyFont="1" applyBorder="1" applyAlignment="1" applyProtection="1">
      <alignment horizontal="center"/>
      <protection hidden="1"/>
    </xf>
    <xf numFmtId="0" fontId="6" fillId="0" borderId="8" xfId="0" applyFont="1" applyBorder="1" applyAlignment="1" applyProtection="1">
      <alignment horizontal="center"/>
      <protection hidden="1"/>
    </xf>
    <xf numFmtId="0" fontId="6" fillId="0" borderId="54" xfId="0" applyFont="1" applyBorder="1" applyAlignment="1" applyProtection="1">
      <alignment horizontal="center"/>
      <protection hidden="1"/>
    </xf>
    <xf numFmtId="0" fontId="6" fillId="0" borderId="36" xfId="0" applyFont="1" applyBorder="1" applyAlignment="1" applyProtection="1">
      <alignment horizontal="center"/>
      <protection hidden="1"/>
    </xf>
    <xf numFmtId="0" fontId="6" fillId="0" borderId="0" xfId="0" applyFont="1"/>
    <xf numFmtId="167" fontId="16" fillId="0" borderId="37" xfId="0" applyNumberFormat="1" applyFont="1" applyBorder="1" applyProtection="1">
      <protection hidden="1"/>
    </xf>
    <xf numFmtId="167" fontId="6" fillId="0" borderId="3" xfId="0" applyNumberFormat="1" applyFont="1" applyBorder="1" applyAlignment="1" applyProtection="1">
      <alignment wrapText="1"/>
      <protection hidden="1"/>
    </xf>
    <xf numFmtId="0" fontId="1" fillId="0" borderId="15" xfId="0" applyFont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wrapText="1"/>
      <protection hidden="1"/>
    </xf>
    <xf numFmtId="0" fontId="18" fillId="0" borderId="24" xfId="0" applyFont="1" applyBorder="1" applyProtection="1"/>
    <xf numFmtId="0" fontId="5" fillId="0" borderId="9" xfId="0" applyFont="1" applyBorder="1" applyAlignment="1" applyProtection="1">
      <alignment horizontal="right" wrapText="1"/>
      <protection locked="0"/>
    </xf>
    <xf numFmtId="0" fontId="1" fillId="0" borderId="0" xfId="0" applyFont="1" applyBorder="1" applyAlignment="1" applyProtection="1">
      <alignment wrapText="1"/>
      <protection hidden="1"/>
    </xf>
    <xf numFmtId="164" fontId="0" fillId="0" borderId="0" xfId="1" applyFont="1" applyBorder="1" applyProtection="1">
      <protection hidden="1"/>
    </xf>
    <xf numFmtId="165" fontId="0" fillId="0" borderId="0" xfId="1" applyNumberFormat="1" applyFont="1" applyBorder="1" applyAlignment="1" applyProtection="1">
      <protection hidden="1"/>
    </xf>
    <xf numFmtId="9" fontId="0" fillId="0" borderId="0" xfId="2" applyFont="1" applyBorder="1" applyProtection="1">
      <protection hidden="1"/>
    </xf>
    <xf numFmtId="0" fontId="6" fillId="0" borderId="24" xfId="0" applyFont="1" applyBorder="1"/>
    <xf numFmtId="4" fontId="9" fillId="0" borderId="76" xfId="0" applyNumberFormat="1" applyFont="1" applyFill="1" applyBorder="1" applyAlignment="1" applyProtection="1">
      <alignment wrapText="1"/>
      <protection hidden="1"/>
    </xf>
    <xf numFmtId="0" fontId="1" fillId="0" borderId="80" xfId="0" applyFont="1" applyBorder="1" applyAlignment="1" applyProtection="1">
      <alignment wrapText="1"/>
      <protection hidden="1"/>
    </xf>
    <xf numFmtId="0" fontId="1" fillId="0" borderId="3" xfId="0" applyFont="1" applyBorder="1" applyAlignment="1" applyProtection="1">
      <alignment wrapText="1"/>
      <protection hidden="1"/>
    </xf>
    <xf numFmtId="0" fontId="1" fillId="0" borderId="24" xfId="0" applyFont="1" applyBorder="1" applyAlignment="1" applyProtection="1">
      <alignment wrapText="1"/>
      <protection hidden="1"/>
    </xf>
    <xf numFmtId="0" fontId="0" fillId="0" borderId="6" xfId="0" applyBorder="1" applyProtection="1">
      <protection locked="0"/>
    </xf>
    <xf numFmtId="0" fontId="0" fillId="0" borderId="6" xfId="0" applyBorder="1" applyAlignment="1" applyProtection="1">
      <alignment wrapText="1"/>
      <protection locked="0"/>
    </xf>
    <xf numFmtId="0" fontId="0" fillId="0" borderId="4" xfId="0" applyBorder="1" applyProtection="1">
      <protection locked="0"/>
    </xf>
    <xf numFmtId="0" fontId="0" fillId="0" borderId="23" xfId="0" applyBorder="1" applyAlignment="1" applyProtection="1">
      <alignment wrapText="1"/>
      <protection locked="0"/>
    </xf>
    <xf numFmtId="164" fontId="0" fillId="0" borderId="28" xfId="1" applyFont="1" applyFill="1" applyBorder="1" applyAlignment="1">
      <alignment horizontal="center"/>
    </xf>
    <xf numFmtId="164" fontId="0" fillId="0" borderId="74" xfId="1" applyFont="1" applyFill="1" applyBorder="1" applyAlignment="1">
      <alignment horizontal="center"/>
    </xf>
    <xf numFmtId="164" fontId="0" fillId="0" borderId="75" xfId="1" applyFont="1" applyFill="1" applyBorder="1" applyAlignment="1">
      <alignment horizontal="center"/>
    </xf>
    <xf numFmtId="164" fontId="16" fillId="0" borderId="21" xfId="1" applyFont="1" applyBorder="1" applyAlignment="1" applyProtection="1">
      <alignment horizontal="center"/>
      <protection hidden="1"/>
    </xf>
    <xf numFmtId="164" fontId="16" fillId="0" borderId="0" xfId="1" applyFont="1" applyBorder="1" applyAlignment="1" applyProtection="1">
      <alignment horizontal="center"/>
      <protection hidden="1"/>
    </xf>
    <xf numFmtId="164" fontId="16" fillId="0" borderId="20" xfId="1" applyFont="1" applyBorder="1" applyAlignment="1" applyProtection="1">
      <alignment horizontal="center"/>
      <protection hidden="1"/>
    </xf>
    <xf numFmtId="0" fontId="11" fillId="0" borderId="3" xfId="0" applyFont="1" applyBorder="1" applyAlignment="1" applyProtection="1">
      <alignment horizontal="center" wrapText="1"/>
      <protection hidden="1"/>
    </xf>
    <xf numFmtId="0" fontId="11" fillId="0" borderId="18" xfId="0" applyFont="1" applyBorder="1" applyAlignment="1" applyProtection="1">
      <alignment horizontal="center" wrapText="1"/>
      <protection hidden="1"/>
    </xf>
    <xf numFmtId="0" fontId="11" fillId="0" borderId="19" xfId="0" applyFont="1" applyBorder="1" applyAlignment="1" applyProtection="1">
      <alignment horizontal="center" wrapText="1"/>
      <protection hidden="1"/>
    </xf>
  </cellXfs>
  <cellStyles count="3">
    <cellStyle name="Normale" xfId="0" builtinId="0"/>
    <cellStyle name="Percentuale" xfId="2" builtinId="5"/>
    <cellStyle name="Valuta" xfId="1" builtinId="4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823B"/>
      <color rgb="FF005828"/>
      <color rgb="FF0064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Panoramica Entrate</a:t>
            </a:r>
            <a:r>
              <a:rPr lang="it-IT" baseline="0"/>
              <a:t> e Uscite</a:t>
            </a:r>
            <a:endParaRPr lang="it-IT"/>
          </a:p>
        </c:rich>
      </c:tx>
      <c:layout>
        <c:manualLayout>
          <c:xMode val="edge"/>
          <c:yMode val="edge"/>
          <c:x val="0.40696575328083989"/>
          <c:y val="2.77778230921230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DIFFERENZIALE(ENTRATE-USCITE)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'Panoramica Entrate e Uscite'!$B$4:$M$4</c:f>
              <c:strCache>
                <c:ptCount val="12"/>
                <c:pt idx="0">
                  <c:v>Gennaio</c:v>
                </c:pt>
                <c:pt idx="1">
                  <c:v>Febbraio 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'Panoramica Entrate e Uscite'!$B$40:$M$40</c:f>
              <c:numCache>
                <c:formatCode>"$"\ #.##000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B8-4E77-9726-DBB021992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020368"/>
        <c:axId val="479024632"/>
      </c:lineChart>
      <c:catAx>
        <c:axId val="47902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9024632"/>
        <c:crosses val="autoZero"/>
        <c:auto val="1"/>
        <c:lblAlgn val="ctr"/>
        <c:lblOffset val="100"/>
        <c:noMultiLvlLbl val="0"/>
      </c:catAx>
      <c:valAx>
        <c:axId val="479024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902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Panoramica Entrate</a:t>
            </a:r>
            <a:r>
              <a:rPr lang="it-IT" baseline="0"/>
              <a:t> e Uscite</a:t>
            </a:r>
            <a:endParaRPr lang="it-IT"/>
          </a:p>
        </c:rich>
      </c:tx>
      <c:layout>
        <c:manualLayout>
          <c:xMode val="edge"/>
          <c:yMode val="edge"/>
          <c:x val="0.40696575328083989"/>
          <c:y val="2.77778230921230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SALDO LIQUIDITA DISPONIBILE</c:v>
          </c:tx>
          <c:spPr>
            <a:ln w="34925" cap="rnd">
              <a:solidFill>
                <a:srgbClr val="00206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'Panoramica Entrate e Uscite'!$B$4:$N$4</c:f>
              <c:strCache>
                <c:ptCount val="13"/>
                <c:pt idx="0">
                  <c:v>Gennaio</c:v>
                </c:pt>
                <c:pt idx="1">
                  <c:v>Febbraio 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  <c:pt idx="12">
                  <c:v>TOTALE</c:v>
                </c:pt>
              </c:strCache>
            </c:strRef>
          </c:cat>
          <c:val>
            <c:numRef>
              <c:f>'Panoramica Entrate e Uscite'!$B$42:$M$42</c:f>
              <c:numCache>
                <c:formatCode>"$"\ #.##000</c:formatCode>
                <c:ptCount val="12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  <c:pt idx="4">
                  <c:v>10000</c:v>
                </c:pt>
                <c:pt idx="5">
                  <c:v>10000</c:v>
                </c:pt>
                <c:pt idx="6">
                  <c:v>10000</c:v>
                </c:pt>
                <c:pt idx="7">
                  <c:v>10000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5B-4B61-80C0-5F06F2EFD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020368"/>
        <c:axId val="479024632"/>
      </c:lineChart>
      <c:catAx>
        <c:axId val="47902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9024632"/>
        <c:crosses val="autoZero"/>
        <c:auto val="1"/>
        <c:lblAlgn val="ctr"/>
        <c:lblOffset val="100"/>
        <c:noMultiLvlLbl val="0"/>
      </c:catAx>
      <c:valAx>
        <c:axId val="479024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7902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Panoramica</a:t>
            </a:r>
            <a:r>
              <a:rPr lang="it-IT" baseline="0"/>
              <a:t> Entrate-Uscite</a:t>
            </a:r>
            <a:endParaRPr lang="it-IT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'Panoramica Entrate e Uscite'!$A$10</c:f>
              <c:strCache>
                <c:ptCount val="1"/>
                <c:pt idx="0">
                  <c:v>TOTALE ENTRATE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'Panoramica Entrate e Uscite'!$B$4:$M$4</c:f>
              <c:strCache>
                <c:ptCount val="12"/>
                <c:pt idx="0">
                  <c:v>Gennaio</c:v>
                </c:pt>
                <c:pt idx="1">
                  <c:v>Febbraio 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'Panoramica Entrate e Uscite'!$B$10:$M$10</c:f>
              <c:numCache>
                <c:formatCode>"$"\ #.##000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4E-400C-9563-370B565A0DA7}"/>
            </c:ext>
          </c:extLst>
        </c:ser>
        <c:ser>
          <c:idx val="1"/>
          <c:order val="1"/>
          <c:tx>
            <c:strRef>
              <c:f>'Panoramica Entrate e Uscite'!$A$38</c:f>
              <c:strCache>
                <c:ptCount val="1"/>
                <c:pt idx="0">
                  <c:v>TOTALE USCITE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strRef>
              <c:f>'Panoramica Entrate e Uscite'!$B$4:$M$4</c:f>
              <c:strCache>
                <c:ptCount val="12"/>
                <c:pt idx="0">
                  <c:v>Gennaio</c:v>
                </c:pt>
                <c:pt idx="1">
                  <c:v>Febbraio </c:v>
                </c:pt>
                <c:pt idx="2">
                  <c:v>Marzo</c:v>
                </c:pt>
                <c:pt idx="3">
                  <c:v>Aprile</c:v>
                </c:pt>
                <c:pt idx="4">
                  <c:v>Maggio</c:v>
                </c:pt>
                <c:pt idx="5">
                  <c:v>Giugno</c:v>
                </c:pt>
                <c:pt idx="6">
                  <c:v>Luglio</c:v>
                </c:pt>
                <c:pt idx="7">
                  <c:v>Agosto</c:v>
                </c:pt>
                <c:pt idx="8">
                  <c:v>Settembre</c:v>
                </c:pt>
                <c:pt idx="9">
                  <c:v>Ottobre</c:v>
                </c:pt>
                <c:pt idx="10">
                  <c:v>Novembre</c:v>
                </c:pt>
                <c:pt idx="11">
                  <c:v>Dicembre</c:v>
                </c:pt>
              </c:strCache>
            </c:strRef>
          </c:cat>
          <c:val>
            <c:numRef>
              <c:f>'Panoramica Entrate e Uscite'!$B$38:$M$38</c:f>
              <c:numCache>
                <c:formatCode>"$"\ #.##000</c:formatCode>
                <c:ptCount val="12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4E-400C-9563-370B565A0D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5586024"/>
        <c:axId val="795586352"/>
      </c:lineChart>
      <c:catAx>
        <c:axId val="79558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5586352"/>
        <c:crosses val="autoZero"/>
        <c:auto val="1"/>
        <c:lblAlgn val="ctr"/>
        <c:lblOffset val="100"/>
        <c:noMultiLvlLbl val="0"/>
      </c:catAx>
      <c:valAx>
        <c:axId val="79558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.##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5586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://commons.wikimedia.org/wiki/File:Unlock_font_awesome.svg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89</xdr:row>
      <xdr:rowOff>0</xdr:rowOff>
    </xdr:from>
    <xdr:to>
      <xdr:col>14</xdr:col>
      <xdr:colOff>981074</xdr:colOff>
      <xdr:row>114</xdr:row>
      <xdr:rowOff>28575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14</xdr:col>
      <xdr:colOff>981074</xdr:colOff>
      <xdr:row>141</xdr:row>
      <xdr:rowOff>28575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38100</xdr:colOff>
      <xdr:row>42</xdr:row>
      <xdr:rowOff>203200</xdr:rowOff>
    </xdr:from>
    <xdr:to>
      <xdr:col>1</xdr:col>
      <xdr:colOff>25400</xdr:colOff>
      <xdr:row>44</xdr:row>
      <xdr:rowOff>177800</xdr:rowOff>
    </xdr:to>
    <xdr:sp macro="" textlink="">
      <xdr:nvSpPr>
        <xdr:cNvPr id="1026" name="Simulazione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1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95250</xdr:colOff>
      <xdr:row>57</xdr:row>
      <xdr:rowOff>190499</xdr:rowOff>
    </xdr:from>
    <xdr:to>
      <xdr:col>14</xdr:col>
      <xdr:colOff>962025</xdr:colOff>
      <xdr:row>87</xdr:row>
      <xdr:rowOff>123824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38100</xdr:colOff>
      <xdr:row>42</xdr:row>
      <xdr:rowOff>203200</xdr:rowOff>
    </xdr:from>
    <xdr:to>
      <xdr:col>1</xdr:col>
      <xdr:colOff>25400</xdr:colOff>
      <xdr:row>44</xdr:row>
      <xdr:rowOff>177800</xdr:rowOff>
    </xdr:to>
    <xdr:pic>
      <xdr:nvPicPr>
        <xdr:cNvPr id="2" name="Simulazione">
          <a:extLst>
            <a:ext uri="{FF2B5EF4-FFF2-40B4-BE49-F238E27FC236}">
              <a16:creationId xmlns:a16="http://schemas.microsoft.com/office/drawing/2014/main" id="{8C1D103F-A46F-D44A-ABBB-EF6FD097489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9994900"/>
          <a:ext cx="3060700" cy="381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523875</xdr:colOff>
      <xdr:row>2</xdr:row>
      <xdr:rowOff>38099</xdr:rowOff>
    </xdr:from>
    <xdr:to>
      <xdr:col>5</xdr:col>
      <xdr:colOff>28575</xdr:colOff>
      <xdr:row>12</xdr:row>
      <xdr:rowOff>85724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23875" y="419099"/>
          <a:ext cx="2552700" cy="19526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>
    <pageSetUpPr fitToPage="1"/>
  </sheetPr>
  <dimension ref="A1:ZX9980"/>
  <sheetViews>
    <sheetView zoomScale="85" zoomScaleNormal="85" workbookViewId="0">
      <pane ySplit="3" topLeftCell="A4" activePane="bottomLeft" state="frozen"/>
      <selection activeCell="C4" sqref="C4"/>
      <selection pane="bottomLeft" activeCell="D7" sqref="D7"/>
    </sheetView>
  </sheetViews>
  <sheetFormatPr defaultColWidth="8.85546875" defaultRowHeight="15" x14ac:dyDescent="0.25"/>
  <cols>
    <col min="1" max="1" width="24" style="10" bestFit="1" customWidth="1"/>
    <col min="2" max="2" width="20.7109375" style="11" bestFit="1" customWidth="1"/>
    <col min="3" max="3" width="14.7109375" style="11" bestFit="1" customWidth="1"/>
    <col min="4" max="4" width="75.85546875" style="117" bestFit="1" customWidth="1"/>
    <col min="5" max="5" width="76.85546875" style="117" customWidth="1"/>
    <col min="6" max="700" width="8.85546875" style="61"/>
    <col min="701" max="16384" width="8.85546875" style="9"/>
  </cols>
  <sheetData>
    <row r="1" spans="1:700" ht="23.25" x14ac:dyDescent="0.35">
      <c r="A1" s="132" t="s">
        <v>17</v>
      </c>
      <c r="B1" s="172">
        <f ca="1">'Impostazioni Software'!B3+SUM(INDIRECT("B"&amp;(ROW()+3)&amp;":B"&amp;10000))-SUM(INDIRECT("C"&amp;(ROW()+3)&amp;":C"&amp;10000))</f>
        <v>10000</v>
      </c>
      <c r="C1" s="180"/>
      <c r="D1" s="181"/>
      <c r="E1" s="182"/>
    </row>
    <row r="2" spans="1:700" ht="15.75" thickBot="1" x14ac:dyDescent="0.3"/>
    <row r="3" spans="1:700" s="8" customFormat="1" ht="24" customHeight="1" x14ac:dyDescent="0.35">
      <c r="A3" s="123" t="s">
        <v>36</v>
      </c>
      <c r="B3" s="124" t="s">
        <v>16</v>
      </c>
      <c r="C3" s="124" t="s">
        <v>12</v>
      </c>
      <c r="D3" s="130" t="s">
        <v>15</v>
      </c>
      <c r="E3" s="131" t="s">
        <v>22</v>
      </c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5"/>
      <c r="CN3" s="65"/>
      <c r="CO3" s="65"/>
      <c r="CP3" s="65"/>
      <c r="CQ3" s="65"/>
      <c r="CR3" s="65"/>
      <c r="CS3" s="65"/>
      <c r="CT3" s="65"/>
      <c r="CU3" s="65"/>
      <c r="CV3" s="65"/>
      <c r="CW3" s="65"/>
      <c r="CX3" s="65"/>
      <c r="CY3" s="65"/>
      <c r="CZ3" s="65"/>
      <c r="DA3" s="65"/>
      <c r="DB3" s="65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65"/>
      <c r="DN3" s="65"/>
      <c r="DO3" s="65"/>
      <c r="DP3" s="65"/>
      <c r="DQ3" s="65"/>
      <c r="DR3" s="65"/>
      <c r="DS3" s="65"/>
      <c r="DT3" s="65"/>
      <c r="DU3" s="65"/>
      <c r="DV3" s="65"/>
      <c r="DW3" s="65"/>
      <c r="DX3" s="65"/>
      <c r="DY3" s="65"/>
      <c r="DZ3" s="65"/>
      <c r="EA3" s="65"/>
      <c r="EB3" s="65"/>
      <c r="EC3" s="65"/>
      <c r="ED3" s="65"/>
      <c r="EE3" s="65"/>
      <c r="EF3" s="65"/>
      <c r="EG3" s="65"/>
      <c r="EH3" s="65"/>
      <c r="EI3" s="65"/>
      <c r="EJ3" s="65"/>
      <c r="EK3" s="65"/>
      <c r="EL3" s="65"/>
      <c r="EM3" s="65"/>
      <c r="EN3" s="65"/>
      <c r="EO3" s="65"/>
      <c r="EP3" s="65"/>
      <c r="EQ3" s="65"/>
      <c r="ER3" s="65"/>
      <c r="ES3" s="65"/>
      <c r="ET3" s="65"/>
      <c r="EU3" s="65"/>
      <c r="EV3" s="65"/>
      <c r="EW3" s="65"/>
      <c r="EX3" s="65"/>
      <c r="EY3" s="65"/>
      <c r="EZ3" s="65"/>
      <c r="FA3" s="65"/>
      <c r="FB3" s="65"/>
      <c r="FC3" s="65"/>
      <c r="FD3" s="65"/>
      <c r="FE3" s="65"/>
      <c r="FF3" s="65"/>
      <c r="FG3" s="65"/>
      <c r="FH3" s="65"/>
      <c r="FI3" s="65"/>
      <c r="FJ3" s="65"/>
      <c r="FK3" s="65"/>
      <c r="FL3" s="65"/>
      <c r="FM3" s="65"/>
      <c r="FN3" s="65"/>
      <c r="FO3" s="65"/>
      <c r="FP3" s="65"/>
      <c r="FQ3" s="65"/>
      <c r="FR3" s="65"/>
      <c r="FS3" s="65"/>
      <c r="FT3" s="65"/>
      <c r="FU3" s="65"/>
      <c r="FV3" s="65"/>
      <c r="FW3" s="65"/>
      <c r="FX3" s="65"/>
      <c r="FY3" s="65"/>
      <c r="FZ3" s="65"/>
      <c r="GA3" s="65"/>
      <c r="GB3" s="65"/>
      <c r="GC3" s="65"/>
      <c r="GD3" s="65"/>
      <c r="GE3" s="65"/>
      <c r="GF3" s="65"/>
      <c r="GG3" s="65"/>
      <c r="GH3" s="65"/>
      <c r="GI3" s="65"/>
      <c r="GJ3" s="65"/>
      <c r="GK3" s="65"/>
      <c r="GL3" s="65"/>
      <c r="GM3" s="65"/>
      <c r="GN3" s="65"/>
      <c r="GO3" s="65"/>
      <c r="GP3" s="65"/>
      <c r="GQ3" s="65"/>
      <c r="GR3" s="65"/>
      <c r="GS3" s="65"/>
      <c r="GT3" s="65"/>
      <c r="GU3" s="65"/>
      <c r="GV3" s="65"/>
      <c r="GW3" s="65"/>
      <c r="GX3" s="65"/>
      <c r="GY3" s="65"/>
      <c r="GZ3" s="65"/>
      <c r="HA3" s="65"/>
      <c r="HB3" s="65"/>
      <c r="HC3" s="65"/>
      <c r="HD3" s="65"/>
      <c r="HE3" s="65"/>
      <c r="HF3" s="65"/>
      <c r="HG3" s="65"/>
      <c r="HH3" s="65"/>
      <c r="HI3" s="65"/>
      <c r="HJ3" s="65"/>
      <c r="HK3" s="65"/>
      <c r="HL3" s="65"/>
      <c r="HM3" s="65"/>
      <c r="HN3" s="65"/>
      <c r="HO3" s="65"/>
      <c r="HP3" s="65"/>
      <c r="HQ3" s="65"/>
      <c r="HR3" s="65"/>
      <c r="HS3" s="65"/>
      <c r="HT3" s="65"/>
      <c r="HU3" s="65"/>
      <c r="HV3" s="65"/>
      <c r="HW3" s="65"/>
      <c r="HX3" s="65"/>
      <c r="HY3" s="65"/>
      <c r="HZ3" s="65"/>
      <c r="IA3" s="65"/>
      <c r="IB3" s="65"/>
      <c r="IC3" s="65"/>
      <c r="ID3" s="65"/>
      <c r="IE3" s="65"/>
      <c r="IF3" s="65"/>
      <c r="IG3" s="65"/>
      <c r="IH3" s="65"/>
      <c r="II3" s="65"/>
      <c r="IJ3" s="65"/>
      <c r="IK3" s="65"/>
      <c r="IL3" s="65"/>
      <c r="IM3" s="65"/>
      <c r="IN3" s="65"/>
      <c r="IO3" s="65"/>
      <c r="IP3" s="65"/>
      <c r="IQ3" s="65"/>
      <c r="IR3" s="65"/>
      <c r="IS3" s="65"/>
      <c r="IT3" s="65"/>
      <c r="IU3" s="65"/>
      <c r="IV3" s="65"/>
      <c r="IW3" s="65"/>
      <c r="IX3" s="65"/>
      <c r="IY3" s="65"/>
      <c r="IZ3" s="65"/>
      <c r="JA3" s="65"/>
      <c r="JB3" s="65"/>
      <c r="JC3" s="65"/>
      <c r="JD3" s="65"/>
      <c r="JE3" s="65"/>
      <c r="JF3" s="65"/>
      <c r="JG3" s="65"/>
      <c r="JH3" s="65"/>
      <c r="JI3" s="65"/>
      <c r="JJ3" s="65"/>
      <c r="JK3" s="65"/>
      <c r="JL3" s="65"/>
      <c r="JM3" s="65"/>
      <c r="JN3" s="65"/>
      <c r="JO3" s="65"/>
      <c r="JP3" s="65"/>
      <c r="JQ3" s="65"/>
      <c r="JR3" s="65"/>
      <c r="JS3" s="65"/>
      <c r="JT3" s="65"/>
      <c r="JU3" s="65"/>
      <c r="JV3" s="65"/>
      <c r="JW3" s="65"/>
      <c r="JX3" s="65"/>
      <c r="JY3" s="65"/>
      <c r="JZ3" s="65"/>
      <c r="KA3" s="65"/>
      <c r="KB3" s="65"/>
      <c r="KC3" s="65"/>
      <c r="KD3" s="65"/>
      <c r="KE3" s="65"/>
      <c r="KF3" s="65"/>
      <c r="KG3" s="65"/>
      <c r="KH3" s="65"/>
      <c r="KI3" s="65"/>
      <c r="KJ3" s="65"/>
      <c r="KK3" s="65"/>
      <c r="KL3" s="65"/>
      <c r="KM3" s="65"/>
      <c r="KN3" s="65"/>
      <c r="KO3" s="65"/>
      <c r="KP3" s="65"/>
      <c r="KQ3" s="65"/>
      <c r="KR3" s="65"/>
      <c r="KS3" s="65"/>
      <c r="KT3" s="65"/>
      <c r="KU3" s="65"/>
      <c r="KV3" s="65"/>
      <c r="KW3" s="65"/>
      <c r="KX3" s="65"/>
      <c r="KY3" s="65"/>
      <c r="KZ3" s="65"/>
      <c r="LA3" s="65"/>
      <c r="LB3" s="65"/>
      <c r="LC3" s="65"/>
      <c r="LD3" s="65"/>
      <c r="LE3" s="65"/>
      <c r="LF3" s="65"/>
      <c r="LG3" s="65"/>
      <c r="LH3" s="65"/>
      <c r="LI3" s="65"/>
      <c r="LJ3" s="65"/>
      <c r="LK3" s="65"/>
      <c r="LL3" s="65"/>
      <c r="LM3" s="65"/>
      <c r="LN3" s="65"/>
      <c r="LO3" s="65"/>
      <c r="LP3" s="65"/>
      <c r="LQ3" s="65"/>
      <c r="LR3" s="65"/>
      <c r="LS3" s="65"/>
      <c r="LT3" s="65"/>
      <c r="LU3" s="65"/>
      <c r="LV3" s="65"/>
      <c r="LW3" s="65"/>
      <c r="LX3" s="65"/>
      <c r="LY3" s="65"/>
      <c r="LZ3" s="65"/>
      <c r="MA3" s="65"/>
      <c r="MB3" s="65"/>
      <c r="MC3" s="65"/>
      <c r="MD3" s="65"/>
      <c r="ME3" s="65"/>
      <c r="MF3" s="65"/>
      <c r="MG3" s="65"/>
      <c r="MH3" s="65"/>
      <c r="MI3" s="65"/>
      <c r="MJ3" s="65"/>
      <c r="MK3" s="65"/>
      <c r="ML3" s="65"/>
      <c r="MM3" s="65"/>
      <c r="MN3" s="65"/>
      <c r="MO3" s="65"/>
      <c r="MP3" s="65"/>
      <c r="MQ3" s="65"/>
      <c r="MR3" s="65"/>
      <c r="MS3" s="65"/>
      <c r="MT3" s="65"/>
      <c r="MU3" s="65"/>
      <c r="MV3" s="65"/>
      <c r="MW3" s="65"/>
      <c r="MX3" s="65"/>
      <c r="MY3" s="65"/>
      <c r="MZ3" s="65"/>
      <c r="NA3" s="65"/>
      <c r="NB3" s="65"/>
      <c r="NC3" s="65"/>
      <c r="ND3" s="65"/>
      <c r="NE3" s="65"/>
      <c r="NF3" s="65"/>
      <c r="NG3" s="65"/>
      <c r="NH3" s="65"/>
      <c r="NI3" s="65"/>
      <c r="NJ3" s="65"/>
      <c r="NK3" s="65"/>
      <c r="NL3" s="65"/>
      <c r="NM3" s="65"/>
      <c r="NN3" s="65"/>
      <c r="NO3" s="65"/>
      <c r="NP3" s="65"/>
      <c r="NQ3" s="65"/>
      <c r="NR3" s="65"/>
      <c r="NS3" s="65"/>
      <c r="NT3" s="65"/>
      <c r="NU3" s="65"/>
      <c r="NV3" s="65"/>
      <c r="NW3" s="65"/>
      <c r="NX3" s="65"/>
      <c r="NY3" s="65"/>
      <c r="NZ3" s="65"/>
      <c r="OA3" s="65"/>
      <c r="OB3" s="65"/>
      <c r="OC3" s="65"/>
      <c r="OD3" s="65"/>
      <c r="OE3" s="65"/>
      <c r="OF3" s="65"/>
      <c r="OG3" s="65"/>
      <c r="OH3" s="65"/>
      <c r="OI3" s="65"/>
      <c r="OJ3" s="65"/>
      <c r="OK3" s="65"/>
      <c r="OL3" s="65"/>
      <c r="OM3" s="65"/>
      <c r="ON3" s="65"/>
      <c r="OO3" s="65"/>
      <c r="OP3" s="65"/>
      <c r="OQ3" s="65"/>
      <c r="OR3" s="65"/>
      <c r="OS3" s="65"/>
      <c r="OT3" s="65"/>
      <c r="OU3" s="65"/>
      <c r="OV3" s="65"/>
      <c r="OW3" s="65"/>
      <c r="OX3" s="65"/>
      <c r="OY3" s="65"/>
      <c r="OZ3" s="65"/>
      <c r="PA3" s="65"/>
      <c r="PB3" s="65"/>
      <c r="PC3" s="65"/>
      <c r="PD3" s="65"/>
      <c r="PE3" s="65"/>
      <c r="PF3" s="65"/>
      <c r="PG3" s="65"/>
      <c r="PH3" s="65"/>
      <c r="PI3" s="65"/>
      <c r="PJ3" s="65"/>
      <c r="PK3" s="65"/>
      <c r="PL3" s="65"/>
      <c r="PM3" s="65"/>
      <c r="PN3" s="65"/>
      <c r="PO3" s="65"/>
      <c r="PP3" s="65"/>
      <c r="PQ3" s="65"/>
      <c r="PR3" s="65"/>
      <c r="PS3" s="65"/>
      <c r="PT3" s="65"/>
      <c r="PU3" s="65"/>
      <c r="PV3" s="65"/>
      <c r="PW3" s="65"/>
      <c r="PX3" s="65"/>
      <c r="PY3" s="65"/>
      <c r="PZ3" s="65"/>
      <c r="QA3" s="65"/>
      <c r="QB3" s="65"/>
      <c r="QC3" s="65"/>
      <c r="QD3" s="65"/>
      <c r="QE3" s="65"/>
      <c r="QF3" s="65"/>
      <c r="QG3" s="65"/>
      <c r="QH3" s="65"/>
      <c r="QI3" s="65"/>
      <c r="QJ3" s="65"/>
      <c r="QK3" s="65"/>
      <c r="QL3" s="65"/>
      <c r="QM3" s="65"/>
      <c r="QN3" s="65"/>
      <c r="QO3" s="65"/>
      <c r="QP3" s="65"/>
      <c r="QQ3" s="65"/>
      <c r="QR3" s="65"/>
      <c r="QS3" s="65"/>
      <c r="QT3" s="65"/>
      <c r="QU3" s="65"/>
      <c r="QV3" s="65"/>
      <c r="QW3" s="65"/>
      <c r="QX3" s="65"/>
      <c r="QY3" s="65"/>
      <c r="QZ3" s="65"/>
      <c r="RA3" s="65"/>
      <c r="RB3" s="65"/>
      <c r="RC3" s="65"/>
      <c r="RD3" s="65"/>
      <c r="RE3" s="65"/>
      <c r="RF3" s="65"/>
      <c r="RG3" s="65"/>
      <c r="RH3" s="65"/>
      <c r="RI3" s="65"/>
      <c r="RJ3" s="65"/>
      <c r="RK3" s="65"/>
      <c r="RL3" s="65"/>
      <c r="RM3" s="65"/>
      <c r="RN3" s="65"/>
      <c r="RO3" s="65"/>
      <c r="RP3" s="65"/>
      <c r="RQ3" s="65"/>
      <c r="RR3" s="65"/>
      <c r="RS3" s="65"/>
      <c r="RT3" s="65"/>
      <c r="RU3" s="65"/>
      <c r="RV3" s="65"/>
      <c r="RW3" s="65"/>
      <c r="RX3" s="65"/>
      <c r="RY3" s="65"/>
      <c r="RZ3" s="65"/>
      <c r="SA3" s="65"/>
      <c r="SB3" s="65"/>
      <c r="SC3" s="65"/>
      <c r="SD3" s="65"/>
      <c r="SE3" s="65"/>
      <c r="SF3" s="65"/>
      <c r="SG3" s="65"/>
      <c r="SH3" s="65"/>
      <c r="SI3" s="65"/>
      <c r="SJ3" s="65"/>
      <c r="SK3" s="65"/>
      <c r="SL3" s="65"/>
      <c r="SM3" s="65"/>
      <c r="SN3" s="65"/>
      <c r="SO3" s="65"/>
      <c r="SP3" s="65"/>
      <c r="SQ3" s="65"/>
      <c r="SR3" s="65"/>
      <c r="SS3" s="65"/>
      <c r="ST3" s="65"/>
      <c r="SU3" s="65"/>
      <c r="SV3" s="65"/>
      <c r="SW3" s="65"/>
      <c r="SX3" s="65"/>
      <c r="SY3" s="65"/>
      <c r="SZ3" s="65"/>
      <c r="TA3" s="65"/>
      <c r="TB3" s="65"/>
      <c r="TC3" s="65"/>
      <c r="TD3" s="65"/>
      <c r="TE3" s="65"/>
      <c r="TF3" s="65"/>
      <c r="TG3" s="65"/>
      <c r="TH3" s="65"/>
      <c r="TI3" s="65"/>
      <c r="TJ3" s="65"/>
      <c r="TK3" s="65"/>
      <c r="TL3" s="65"/>
      <c r="TM3" s="65"/>
      <c r="TN3" s="65"/>
      <c r="TO3" s="65"/>
      <c r="TP3" s="65"/>
      <c r="TQ3" s="65"/>
      <c r="TR3" s="65"/>
      <c r="TS3" s="65"/>
      <c r="TT3" s="65"/>
      <c r="TU3" s="65"/>
      <c r="TV3" s="65"/>
      <c r="TW3" s="65"/>
      <c r="TX3" s="65"/>
      <c r="TY3" s="65"/>
      <c r="TZ3" s="65"/>
      <c r="UA3" s="65"/>
      <c r="UB3" s="65"/>
      <c r="UC3" s="65"/>
      <c r="UD3" s="65"/>
      <c r="UE3" s="65"/>
      <c r="UF3" s="65"/>
      <c r="UG3" s="65"/>
      <c r="UH3" s="65"/>
      <c r="UI3" s="65"/>
      <c r="UJ3" s="65"/>
      <c r="UK3" s="65"/>
      <c r="UL3" s="65"/>
      <c r="UM3" s="65"/>
      <c r="UN3" s="65"/>
      <c r="UO3" s="65"/>
      <c r="UP3" s="65"/>
      <c r="UQ3" s="65"/>
      <c r="UR3" s="65"/>
      <c r="US3" s="65"/>
      <c r="UT3" s="65"/>
      <c r="UU3" s="65"/>
      <c r="UV3" s="65"/>
      <c r="UW3" s="65"/>
      <c r="UX3" s="65"/>
      <c r="UY3" s="65"/>
      <c r="UZ3" s="65"/>
      <c r="VA3" s="65"/>
      <c r="VB3" s="65"/>
      <c r="VC3" s="65"/>
      <c r="VD3" s="65"/>
      <c r="VE3" s="65"/>
      <c r="VF3" s="65"/>
      <c r="VG3" s="65"/>
      <c r="VH3" s="65"/>
      <c r="VI3" s="65"/>
      <c r="VJ3" s="65"/>
      <c r="VK3" s="65"/>
      <c r="VL3" s="65"/>
      <c r="VM3" s="65"/>
      <c r="VN3" s="65"/>
      <c r="VO3" s="65"/>
      <c r="VP3" s="65"/>
      <c r="VQ3" s="65"/>
      <c r="VR3" s="65"/>
      <c r="VS3" s="65"/>
      <c r="VT3" s="65"/>
      <c r="VU3" s="65"/>
      <c r="VV3" s="65"/>
      <c r="VW3" s="65"/>
      <c r="VX3" s="65"/>
      <c r="VY3" s="65"/>
      <c r="VZ3" s="65"/>
      <c r="WA3" s="65"/>
      <c r="WB3" s="65"/>
      <c r="WC3" s="65"/>
      <c r="WD3" s="65"/>
      <c r="WE3" s="65"/>
      <c r="WF3" s="65"/>
      <c r="WG3" s="65"/>
      <c r="WH3" s="65"/>
      <c r="WI3" s="65"/>
      <c r="WJ3" s="65"/>
      <c r="WK3" s="65"/>
      <c r="WL3" s="65"/>
      <c r="WM3" s="65"/>
      <c r="WN3" s="65"/>
      <c r="WO3" s="65"/>
      <c r="WP3" s="65"/>
      <c r="WQ3" s="65"/>
      <c r="WR3" s="65"/>
      <c r="WS3" s="65"/>
      <c r="WT3" s="65"/>
      <c r="WU3" s="65"/>
      <c r="WV3" s="65"/>
      <c r="WW3" s="65"/>
      <c r="WX3" s="65"/>
      <c r="WY3" s="65"/>
      <c r="WZ3" s="65"/>
      <c r="XA3" s="65"/>
      <c r="XB3" s="65"/>
      <c r="XC3" s="65"/>
      <c r="XD3" s="65"/>
      <c r="XE3" s="65"/>
      <c r="XF3" s="65"/>
      <c r="XG3" s="65"/>
      <c r="XH3" s="65"/>
      <c r="XI3" s="65"/>
      <c r="XJ3" s="65"/>
      <c r="XK3" s="65"/>
      <c r="XL3" s="65"/>
      <c r="XM3" s="65"/>
      <c r="XN3" s="65"/>
      <c r="XO3" s="65"/>
      <c r="XP3" s="65"/>
      <c r="XQ3" s="65"/>
      <c r="XR3" s="65"/>
      <c r="XS3" s="65"/>
      <c r="XT3" s="65"/>
      <c r="XU3" s="65"/>
      <c r="XV3" s="65"/>
      <c r="XW3" s="65"/>
      <c r="XX3" s="65"/>
      <c r="XY3" s="65"/>
      <c r="XZ3" s="65"/>
      <c r="YA3" s="65"/>
      <c r="YB3" s="65"/>
      <c r="YC3" s="65"/>
      <c r="YD3" s="65"/>
      <c r="YE3" s="65"/>
      <c r="YF3" s="65"/>
      <c r="YG3" s="65"/>
      <c r="YH3" s="65"/>
      <c r="YI3" s="65"/>
      <c r="YJ3" s="65"/>
      <c r="YK3" s="65"/>
      <c r="YL3" s="65"/>
      <c r="YM3" s="65"/>
      <c r="YN3" s="65"/>
      <c r="YO3" s="65"/>
      <c r="YP3" s="65"/>
      <c r="YQ3" s="65"/>
      <c r="YR3" s="65"/>
      <c r="YS3" s="65"/>
      <c r="YT3" s="65"/>
      <c r="YU3" s="65"/>
      <c r="YV3" s="65"/>
      <c r="YW3" s="65"/>
      <c r="YX3" s="65"/>
      <c r="YY3" s="65"/>
      <c r="YZ3" s="65"/>
      <c r="ZA3" s="65"/>
      <c r="ZB3" s="65"/>
      <c r="ZC3" s="65"/>
      <c r="ZD3" s="65"/>
      <c r="ZE3" s="65"/>
      <c r="ZF3" s="65"/>
      <c r="ZG3" s="65"/>
      <c r="ZH3" s="65"/>
      <c r="ZI3" s="65"/>
      <c r="ZJ3" s="65"/>
      <c r="ZK3" s="65"/>
      <c r="ZL3" s="65"/>
      <c r="ZM3" s="65"/>
      <c r="ZN3" s="65"/>
      <c r="ZO3" s="65"/>
      <c r="ZP3" s="65"/>
      <c r="ZQ3" s="65"/>
      <c r="ZR3" s="65"/>
      <c r="ZS3" s="65"/>
      <c r="ZT3" s="65"/>
      <c r="ZU3" s="65"/>
      <c r="ZV3" s="65"/>
      <c r="ZW3" s="65"/>
      <c r="ZX3" s="65"/>
    </row>
    <row r="4" spans="1:700" s="20" customFormat="1" ht="15.75" x14ac:dyDescent="0.25">
      <c r="A4" s="67">
        <v>43466</v>
      </c>
      <c r="B4" s="68">
        <v>1</v>
      </c>
      <c r="C4" s="68"/>
      <c r="D4" s="69" t="s">
        <v>66</v>
      </c>
      <c r="E4" s="110" t="s">
        <v>60</v>
      </c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  <c r="CH4" s="66"/>
      <c r="CI4" s="66"/>
      <c r="CJ4" s="66"/>
      <c r="CK4" s="66"/>
      <c r="CL4" s="66"/>
      <c r="CM4" s="66"/>
      <c r="CN4" s="66"/>
      <c r="CO4" s="66"/>
      <c r="CP4" s="66"/>
      <c r="CQ4" s="66"/>
      <c r="CR4" s="66"/>
      <c r="CS4" s="66"/>
      <c r="CT4" s="66"/>
      <c r="CU4" s="66"/>
      <c r="CV4" s="66"/>
      <c r="CW4" s="66"/>
      <c r="CX4" s="66"/>
      <c r="CY4" s="66"/>
      <c r="CZ4" s="66"/>
      <c r="DA4" s="66"/>
      <c r="DB4" s="66"/>
      <c r="DC4" s="66"/>
      <c r="DD4" s="66"/>
      <c r="DE4" s="66"/>
      <c r="DF4" s="66"/>
      <c r="DG4" s="66"/>
      <c r="DH4" s="66"/>
      <c r="DI4" s="66"/>
      <c r="DJ4" s="66"/>
      <c r="DK4" s="66"/>
      <c r="DL4" s="66"/>
      <c r="DM4" s="66"/>
      <c r="DN4" s="66"/>
      <c r="DO4" s="66"/>
      <c r="DP4" s="66"/>
      <c r="DQ4" s="66"/>
      <c r="DR4" s="66"/>
      <c r="DS4" s="66"/>
      <c r="DT4" s="66"/>
      <c r="DU4" s="66"/>
      <c r="DV4" s="66"/>
      <c r="DW4" s="66"/>
      <c r="DX4" s="66"/>
      <c r="DY4" s="66"/>
      <c r="DZ4" s="66"/>
      <c r="EA4" s="66"/>
      <c r="EB4" s="66"/>
      <c r="EC4" s="66"/>
      <c r="ED4" s="66"/>
      <c r="EE4" s="66"/>
      <c r="EF4" s="66"/>
      <c r="EG4" s="66"/>
      <c r="EH4" s="66"/>
      <c r="EI4" s="66"/>
      <c r="EJ4" s="66"/>
      <c r="EK4" s="66"/>
      <c r="EL4" s="66"/>
      <c r="EM4" s="66"/>
      <c r="EN4" s="66"/>
      <c r="EO4" s="66"/>
      <c r="EP4" s="66"/>
      <c r="EQ4" s="66"/>
      <c r="ER4" s="66"/>
      <c r="ES4" s="66"/>
      <c r="ET4" s="66"/>
      <c r="EU4" s="66"/>
      <c r="EV4" s="66"/>
      <c r="EW4" s="66"/>
      <c r="EX4" s="66"/>
      <c r="EY4" s="66"/>
      <c r="EZ4" s="66"/>
      <c r="FA4" s="66"/>
      <c r="FB4" s="66"/>
      <c r="FC4" s="66"/>
      <c r="FD4" s="66"/>
      <c r="FE4" s="66"/>
      <c r="FF4" s="66"/>
      <c r="FG4" s="66"/>
      <c r="FH4" s="66"/>
      <c r="FI4" s="66"/>
      <c r="FJ4" s="66"/>
      <c r="FK4" s="66"/>
      <c r="FL4" s="66"/>
      <c r="FM4" s="66"/>
      <c r="FN4" s="66"/>
      <c r="FO4" s="66"/>
      <c r="FP4" s="66"/>
      <c r="FQ4" s="66"/>
      <c r="FR4" s="66"/>
      <c r="FS4" s="66"/>
      <c r="FT4" s="66"/>
      <c r="FU4" s="66"/>
      <c r="FV4" s="66"/>
      <c r="FW4" s="66"/>
      <c r="FX4" s="66"/>
      <c r="FY4" s="66"/>
      <c r="FZ4" s="66"/>
      <c r="GA4" s="66"/>
      <c r="GB4" s="66"/>
      <c r="GC4" s="66"/>
      <c r="GD4" s="66"/>
      <c r="GE4" s="66"/>
      <c r="GF4" s="66"/>
      <c r="GG4" s="66"/>
      <c r="GH4" s="66"/>
      <c r="GI4" s="66"/>
      <c r="GJ4" s="66"/>
      <c r="GK4" s="66"/>
      <c r="GL4" s="66"/>
      <c r="GM4" s="66"/>
      <c r="GN4" s="66"/>
      <c r="GO4" s="66"/>
      <c r="GP4" s="66"/>
      <c r="GQ4" s="66"/>
      <c r="GR4" s="66"/>
      <c r="GS4" s="66"/>
      <c r="GT4" s="66"/>
      <c r="GU4" s="66"/>
      <c r="GV4" s="66"/>
      <c r="GW4" s="66"/>
      <c r="GX4" s="66"/>
      <c r="GY4" s="66"/>
      <c r="GZ4" s="66"/>
      <c r="HA4" s="66"/>
      <c r="HB4" s="66"/>
      <c r="HC4" s="66"/>
      <c r="HD4" s="66"/>
      <c r="HE4" s="66"/>
      <c r="HF4" s="66"/>
      <c r="HG4" s="66"/>
      <c r="HH4" s="66"/>
      <c r="HI4" s="66"/>
      <c r="HJ4" s="66"/>
      <c r="HK4" s="66"/>
      <c r="HL4" s="66"/>
      <c r="HM4" s="66"/>
      <c r="HN4" s="66"/>
      <c r="HO4" s="66"/>
      <c r="HP4" s="66"/>
      <c r="HQ4" s="66"/>
      <c r="HR4" s="66"/>
      <c r="HS4" s="66"/>
      <c r="HT4" s="66"/>
      <c r="HU4" s="66"/>
      <c r="HV4" s="66"/>
      <c r="HW4" s="66"/>
      <c r="HX4" s="66"/>
      <c r="HY4" s="66"/>
      <c r="HZ4" s="66"/>
      <c r="IA4" s="66"/>
      <c r="IB4" s="66"/>
      <c r="IC4" s="66"/>
      <c r="ID4" s="66"/>
      <c r="IE4" s="66"/>
      <c r="IF4" s="66"/>
      <c r="IG4" s="66"/>
      <c r="IH4" s="66"/>
      <c r="II4" s="66"/>
      <c r="IJ4" s="66"/>
      <c r="IK4" s="66"/>
      <c r="IL4" s="66"/>
      <c r="IM4" s="66"/>
      <c r="IN4" s="66"/>
      <c r="IO4" s="66"/>
      <c r="IP4" s="66"/>
      <c r="IQ4" s="66"/>
      <c r="IR4" s="66"/>
      <c r="IS4" s="66"/>
      <c r="IT4" s="66"/>
      <c r="IU4" s="66"/>
      <c r="IV4" s="66"/>
      <c r="IW4" s="66"/>
      <c r="IX4" s="66"/>
      <c r="IY4" s="66"/>
      <c r="IZ4" s="66"/>
      <c r="JA4" s="66"/>
      <c r="JB4" s="66"/>
      <c r="JC4" s="66"/>
      <c r="JD4" s="66"/>
      <c r="JE4" s="66"/>
      <c r="JF4" s="66"/>
      <c r="JG4" s="66"/>
      <c r="JH4" s="66"/>
      <c r="JI4" s="66"/>
      <c r="JJ4" s="66"/>
      <c r="JK4" s="66"/>
      <c r="JL4" s="66"/>
      <c r="JM4" s="66"/>
      <c r="JN4" s="66"/>
      <c r="JO4" s="66"/>
      <c r="JP4" s="66"/>
      <c r="JQ4" s="66"/>
      <c r="JR4" s="66"/>
      <c r="JS4" s="66"/>
      <c r="JT4" s="66"/>
      <c r="JU4" s="66"/>
      <c r="JV4" s="66"/>
      <c r="JW4" s="66"/>
      <c r="JX4" s="66"/>
      <c r="JY4" s="66"/>
      <c r="JZ4" s="66"/>
      <c r="KA4" s="66"/>
      <c r="KB4" s="66"/>
      <c r="KC4" s="66"/>
      <c r="KD4" s="66"/>
      <c r="KE4" s="66"/>
      <c r="KF4" s="66"/>
      <c r="KG4" s="66"/>
      <c r="KH4" s="66"/>
      <c r="KI4" s="66"/>
      <c r="KJ4" s="66"/>
      <c r="KK4" s="66"/>
      <c r="KL4" s="66"/>
      <c r="KM4" s="66"/>
      <c r="KN4" s="66"/>
      <c r="KO4" s="66"/>
      <c r="KP4" s="66"/>
      <c r="KQ4" s="66"/>
      <c r="KR4" s="66"/>
      <c r="KS4" s="66"/>
      <c r="KT4" s="66"/>
      <c r="KU4" s="66"/>
      <c r="KV4" s="66"/>
      <c r="KW4" s="66"/>
      <c r="KX4" s="66"/>
      <c r="KY4" s="66"/>
      <c r="KZ4" s="66"/>
      <c r="LA4" s="66"/>
      <c r="LB4" s="66"/>
      <c r="LC4" s="66"/>
      <c r="LD4" s="66"/>
      <c r="LE4" s="66"/>
      <c r="LF4" s="66"/>
      <c r="LG4" s="66"/>
      <c r="LH4" s="66"/>
      <c r="LI4" s="66"/>
      <c r="LJ4" s="66"/>
      <c r="LK4" s="66"/>
      <c r="LL4" s="66"/>
      <c r="LM4" s="66"/>
      <c r="LN4" s="66"/>
      <c r="LO4" s="66"/>
      <c r="LP4" s="66"/>
      <c r="LQ4" s="66"/>
      <c r="LR4" s="66"/>
      <c r="LS4" s="66"/>
      <c r="LT4" s="66"/>
      <c r="LU4" s="66"/>
      <c r="LV4" s="66"/>
      <c r="LW4" s="66"/>
      <c r="LX4" s="66"/>
      <c r="LY4" s="66"/>
      <c r="LZ4" s="66"/>
      <c r="MA4" s="66"/>
      <c r="MB4" s="66"/>
      <c r="MC4" s="66"/>
      <c r="MD4" s="66"/>
      <c r="ME4" s="66"/>
      <c r="MF4" s="66"/>
      <c r="MG4" s="66"/>
      <c r="MH4" s="66"/>
      <c r="MI4" s="66"/>
      <c r="MJ4" s="66"/>
      <c r="MK4" s="66"/>
      <c r="ML4" s="66"/>
      <c r="MM4" s="66"/>
      <c r="MN4" s="66"/>
      <c r="MO4" s="66"/>
      <c r="MP4" s="66"/>
      <c r="MQ4" s="66"/>
      <c r="MR4" s="66"/>
      <c r="MS4" s="66"/>
      <c r="MT4" s="66"/>
      <c r="MU4" s="66"/>
      <c r="MV4" s="66"/>
      <c r="MW4" s="66"/>
      <c r="MX4" s="66"/>
      <c r="MY4" s="66"/>
      <c r="MZ4" s="66"/>
      <c r="NA4" s="66"/>
      <c r="NB4" s="66"/>
      <c r="NC4" s="66"/>
      <c r="ND4" s="66"/>
      <c r="NE4" s="66"/>
      <c r="NF4" s="66"/>
      <c r="NG4" s="66"/>
      <c r="NH4" s="66"/>
      <c r="NI4" s="66"/>
      <c r="NJ4" s="66"/>
      <c r="NK4" s="66"/>
      <c r="NL4" s="66"/>
      <c r="NM4" s="66"/>
      <c r="NN4" s="66"/>
      <c r="NO4" s="66"/>
      <c r="NP4" s="66"/>
      <c r="NQ4" s="66"/>
      <c r="NR4" s="66"/>
      <c r="NS4" s="66"/>
      <c r="NT4" s="66"/>
      <c r="NU4" s="66"/>
      <c r="NV4" s="66"/>
      <c r="NW4" s="66"/>
      <c r="NX4" s="66"/>
      <c r="NY4" s="66"/>
      <c r="NZ4" s="66"/>
      <c r="OA4" s="66"/>
      <c r="OB4" s="66"/>
      <c r="OC4" s="66"/>
      <c r="OD4" s="66"/>
      <c r="OE4" s="66"/>
      <c r="OF4" s="66"/>
      <c r="OG4" s="66"/>
      <c r="OH4" s="66"/>
      <c r="OI4" s="66"/>
      <c r="OJ4" s="66"/>
      <c r="OK4" s="66"/>
      <c r="OL4" s="66"/>
      <c r="OM4" s="66"/>
      <c r="ON4" s="66"/>
      <c r="OO4" s="66"/>
      <c r="OP4" s="66"/>
      <c r="OQ4" s="66"/>
      <c r="OR4" s="66"/>
      <c r="OS4" s="66"/>
      <c r="OT4" s="66"/>
      <c r="OU4" s="66"/>
      <c r="OV4" s="66"/>
      <c r="OW4" s="66"/>
      <c r="OX4" s="66"/>
      <c r="OY4" s="66"/>
      <c r="OZ4" s="66"/>
      <c r="PA4" s="66"/>
      <c r="PB4" s="66"/>
      <c r="PC4" s="66"/>
      <c r="PD4" s="66"/>
      <c r="PE4" s="66"/>
      <c r="PF4" s="66"/>
      <c r="PG4" s="66"/>
      <c r="PH4" s="66"/>
      <c r="PI4" s="66"/>
      <c r="PJ4" s="66"/>
      <c r="PK4" s="66"/>
      <c r="PL4" s="66"/>
      <c r="PM4" s="66"/>
      <c r="PN4" s="66"/>
      <c r="PO4" s="66"/>
      <c r="PP4" s="66"/>
      <c r="PQ4" s="66"/>
      <c r="PR4" s="66"/>
      <c r="PS4" s="66"/>
      <c r="PT4" s="66"/>
      <c r="PU4" s="66"/>
      <c r="PV4" s="66"/>
      <c r="PW4" s="66"/>
      <c r="PX4" s="66"/>
      <c r="PY4" s="66"/>
      <c r="PZ4" s="66"/>
      <c r="QA4" s="66"/>
      <c r="QB4" s="66"/>
      <c r="QC4" s="66"/>
      <c r="QD4" s="66"/>
      <c r="QE4" s="66"/>
      <c r="QF4" s="66"/>
      <c r="QG4" s="66"/>
      <c r="QH4" s="66"/>
      <c r="QI4" s="66"/>
      <c r="QJ4" s="66"/>
      <c r="QK4" s="66"/>
      <c r="QL4" s="66"/>
      <c r="QM4" s="66"/>
      <c r="QN4" s="66"/>
      <c r="QO4" s="66"/>
      <c r="QP4" s="66"/>
      <c r="QQ4" s="66"/>
      <c r="QR4" s="66"/>
      <c r="QS4" s="66"/>
      <c r="QT4" s="66"/>
      <c r="QU4" s="66"/>
      <c r="QV4" s="66"/>
      <c r="QW4" s="66"/>
      <c r="QX4" s="66"/>
      <c r="QY4" s="66"/>
      <c r="QZ4" s="66"/>
      <c r="RA4" s="66"/>
      <c r="RB4" s="66"/>
      <c r="RC4" s="66"/>
      <c r="RD4" s="66"/>
      <c r="RE4" s="66"/>
      <c r="RF4" s="66"/>
      <c r="RG4" s="66"/>
      <c r="RH4" s="66"/>
      <c r="RI4" s="66"/>
      <c r="RJ4" s="66"/>
      <c r="RK4" s="66"/>
      <c r="RL4" s="66"/>
      <c r="RM4" s="66"/>
      <c r="RN4" s="66"/>
      <c r="RO4" s="66"/>
      <c r="RP4" s="66"/>
      <c r="RQ4" s="66"/>
      <c r="RR4" s="66"/>
      <c r="RS4" s="66"/>
      <c r="RT4" s="66"/>
      <c r="RU4" s="66"/>
      <c r="RV4" s="66"/>
      <c r="RW4" s="66"/>
      <c r="RX4" s="66"/>
      <c r="RY4" s="66"/>
      <c r="RZ4" s="66"/>
      <c r="SA4" s="66"/>
      <c r="SB4" s="66"/>
      <c r="SC4" s="66"/>
      <c r="SD4" s="66"/>
      <c r="SE4" s="66"/>
      <c r="SF4" s="66"/>
      <c r="SG4" s="66"/>
      <c r="SH4" s="66"/>
      <c r="SI4" s="66"/>
      <c r="SJ4" s="66"/>
      <c r="SK4" s="66"/>
      <c r="SL4" s="66"/>
      <c r="SM4" s="66"/>
      <c r="SN4" s="66"/>
      <c r="SO4" s="66"/>
      <c r="SP4" s="66"/>
      <c r="SQ4" s="66"/>
      <c r="SR4" s="66"/>
      <c r="SS4" s="66"/>
      <c r="ST4" s="66"/>
      <c r="SU4" s="66"/>
      <c r="SV4" s="66"/>
      <c r="SW4" s="66"/>
      <c r="SX4" s="66"/>
      <c r="SY4" s="66"/>
      <c r="SZ4" s="66"/>
      <c r="TA4" s="66"/>
      <c r="TB4" s="66"/>
      <c r="TC4" s="66"/>
      <c r="TD4" s="66"/>
      <c r="TE4" s="66"/>
      <c r="TF4" s="66"/>
      <c r="TG4" s="66"/>
      <c r="TH4" s="66"/>
      <c r="TI4" s="66"/>
      <c r="TJ4" s="66"/>
      <c r="TK4" s="66"/>
      <c r="TL4" s="66"/>
      <c r="TM4" s="66"/>
      <c r="TN4" s="66"/>
      <c r="TO4" s="66"/>
      <c r="TP4" s="66"/>
      <c r="TQ4" s="66"/>
      <c r="TR4" s="66"/>
      <c r="TS4" s="66"/>
      <c r="TT4" s="66"/>
      <c r="TU4" s="66"/>
      <c r="TV4" s="66"/>
      <c r="TW4" s="66"/>
      <c r="TX4" s="66"/>
      <c r="TY4" s="66"/>
      <c r="TZ4" s="66"/>
      <c r="UA4" s="66"/>
      <c r="UB4" s="66"/>
      <c r="UC4" s="66"/>
      <c r="UD4" s="66"/>
      <c r="UE4" s="66"/>
      <c r="UF4" s="66"/>
      <c r="UG4" s="66"/>
      <c r="UH4" s="66"/>
      <c r="UI4" s="66"/>
      <c r="UJ4" s="66"/>
      <c r="UK4" s="66"/>
      <c r="UL4" s="66"/>
      <c r="UM4" s="66"/>
      <c r="UN4" s="66"/>
      <c r="UO4" s="66"/>
      <c r="UP4" s="66"/>
      <c r="UQ4" s="66"/>
      <c r="UR4" s="66"/>
      <c r="US4" s="66"/>
      <c r="UT4" s="66"/>
      <c r="UU4" s="66"/>
      <c r="UV4" s="66"/>
      <c r="UW4" s="66"/>
      <c r="UX4" s="66"/>
      <c r="UY4" s="66"/>
      <c r="UZ4" s="66"/>
      <c r="VA4" s="66"/>
      <c r="VB4" s="66"/>
      <c r="VC4" s="66"/>
      <c r="VD4" s="66"/>
      <c r="VE4" s="66"/>
      <c r="VF4" s="66"/>
      <c r="VG4" s="66"/>
      <c r="VH4" s="66"/>
      <c r="VI4" s="66"/>
      <c r="VJ4" s="66"/>
      <c r="VK4" s="66"/>
      <c r="VL4" s="66"/>
      <c r="VM4" s="66"/>
      <c r="VN4" s="66"/>
      <c r="VO4" s="66"/>
      <c r="VP4" s="66"/>
      <c r="VQ4" s="66"/>
      <c r="VR4" s="66"/>
      <c r="VS4" s="66"/>
      <c r="VT4" s="66"/>
      <c r="VU4" s="66"/>
      <c r="VV4" s="66"/>
      <c r="VW4" s="66"/>
      <c r="VX4" s="66"/>
      <c r="VY4" s="66"/>
      <c r="VZ4" s="66"/>
      <c r="WA4" s="66"/>
      <c r="WB4" s="66"/>
      <c r="WC4" s="66"/>
      <c r="WD4" s="66"/>
      <c r="WE4" s="66"/>
      <c r="WF4" s="66"/>
      <c r="WG4" s="66"/>
      <c r="WH4" s="66"/>
      <c r="WI4" s="66"/>
      <c r="WJ4" s="66"/>
      <c r="WK4" s="66"/>
      <c r="WL4" s="66"/>
      <c r="WM4" s="66"/>
      <c r="WN4" s="66"/>
      <c r="WO4" s="66"/>
      <c r="WP4" s="66"/>
      <c r="WQ4" s="66"/>
      <c r="WR4" s="66"/>
      <c r="WS4" s="66"/>
      <c r="WT4" s="66"/>
      <c r="WU4" s="66"/>
      <c r="WV4" s="66"/>
      <c r="WW4" s="66"/>
      <c r="WX4" s="66"/>
      <c r="WY4" s="66"/>
      <c r="WZ4" s="66"/>
      <c r="XA4" s="66"/>
      <c r="XB4" s="66"/>
      <c r="XC4" s="66"/>
      <c r="XD4" s="66"/>
      <c r="XE4" s="66"/>
      <c r="XF4" s="66"/>
      <c r="XG4" s="66"/>
      <c r="XH4" s="66"/>
      <c r="XI4" s="66"/>
      <c r="XJ4" s="66"/>
      <c r="XK4" s="66"/>
      <c r="XL4" s="66"/>
      <c r="XM4" s="66"/>
      <c r="XN4" s="66"/>
      <c r="XO4" s="66"/>
      <c r="XP4" s="66"/>
      <c r="XQ4" s="66"/>
      <c r="XR4" s="66"/>
      <c r="XS4" s="66"/>
      <c r="XT4" s="66"/>
      <c r="XU4" s="66"/>
      <c r="XV4" s="66"/>
      <c r="XW4" s="66"/>
      <c r="XX4" s="66"/>
      <c r="XY4" s="66"/>
      <c r="XZ4" s="66"/>
      <c r="YA4" s="66"/>
      <c r="YB4" s="66"/>
      <c r="YC4" s="66"/>
      <c r="YD4" s="66"/>
      <c r="YE4" s="66"/>
      <c r="YF4" s="66"/>
      <c r="YG4" s="66"/>
      <c r="YH4" s="66"/>
      <c r="YI4" s="66"/>
      <c r="YJ4" s="66"/>
      <c r="YK4" s="66"/>
      <c r="YL4" s="66"/>
      <c r="YM4" s="66"/>
      <c r="YN4" s="66"/>
      <c r="YO4" s="66"/>
      <c r="YP4" s="66"/>
      <c r="YQ4" s="66"/>
      <c r="YR4" s="66"/>
      <c r="YS4" s="66"/>
      <c r="YT4" s="66"/>
      <c r="YU4" s="66"/>
      <c r="YV4" s="66"/>
      <c r="YW4" s="66"/>
      <c r="YX4" s="66"/>
      <c r="YY4" s="66"/>
      <c r="YZ4" s="66"/>
      <c r="ZA4" s="66"/>
      <c r="ZB4" s="66"/>
      <c r="ZC4" s="66"/>
      <c r="ZD4" s="66"/>
      <c r="ZE4" s="66"/>
      <c r="ZF4" s="66"/>
      <c r="ZG4" s="66"/>
      <c r="ZH4" s="66"/>
      <c r="ZI4" s="66"/>
      <c r="ZJ4" s="66"/>
      <c r="ZK4" s="66"/>
      <c r="ZL4" s="66"/>
      <c r="ZM4" s="66"/>
      <c r="ZN4" s="66"/>
      <c r="ZO4" s="66"/>
      <c r="ZP4" s="66"/>
      <c r="ZQ4" s="66"/>
      <c r="ZR4" s="66"/>
      <c r="ZS4" s="66"/>
      <c r="ZT4" s="66"/>
      <c r="ZU4" s="66"/>
      <c r="ZV4" s="66"/>
      <c r="ZW4" s="66"/>
      <c r="ZX4" s="66"/>
    </row>
    <row r="5" spans="1:700" s="20" customFormat="1" ht="15.75" x14ac:dyDescent="0.25">
      <c r="A5" s="70">
        <v>43467</v>
      </c>
      <c r="B5" s="71"/>
      <c r="C5" s="71">
        <v>1</v>
      </c>
      <c r="D5" s="109" t="s">
        <v>66</v>
      </c>
      <c r="E5" s="111" t="s">
        <v>40</v>
      </c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  <c r="CH5" s="66"/>
      <c r="CI5" s="66"/>
      <c r="CJ5" s="66"/>
      <c r="CK5" s="66"/>
      <c r="CL5" s="66"/>
      <c r="CM5" s="66"/>
      <c r="CN5" s="66"/>
      <c r="CO5" s="66"/>
      <c r="CP5" s="66"/>
      <c r="CQ5" s="66"/>
      <c r="CR5" s="66"/>
      <c r="CS5" s="66"/>
      <c r="CT5" s="66"/>
      <c r="CU5" s="66"/>
      <c r="CV5" s="66"/>
      <c r="CW5" s="66"/>
      <c r="CX5" s="66"/>
      <c r="CY5" s="66"/>
      <c r="CZ5" s="66"/>
      <c r="DA5" s="66"/>
      <c r="DB5" s="66"/>
      <c r="DC5" s="66"/>
      <c r="DD5" s="66"/>
      <c r="DE5" s="66"/>
      <c r="DF5" s="66"/>
      <c r="DG5" s="66"/>
      <c r="DH5" s="66"/>
      <c r="DI5" s="66"/>
      <c r="DJ5" s="66"/>
      <c r="DK5" s="66"/>
      <c r="DL5" s="66"/>
      <c r="DM5" s="66"/>
      <c r="DN5" s="66"/>
      <c r="DO5" s="66"/>
      <c r="DP5" s="66"/>
      <c r="DQ5" s="66"/>
      <c r="DR5" s="66"/>
      <c r="DS5" s="66"/>
      <c r="DT5" s="66"/>
      <c r="DU5" s="66"/>
      <c r="DV5" s="66"/>
      <c r="DW5" s="66"/>
      <c r="DX5" s="66"/>
      <c r="DY5" s="66"/>
      <c r="DZ5" s="66"/>
      <c r="EA5" s="66"/>
      <c r="EB5" s="66"/>
      <c r="EC5" s="66"/>
      <c r="ED5" s="66"/>
      <c r="EE5" s="66"/>
      <c r="EF5" s="66"/>
      <c r="EG5" s="66"/>
      <c r="EH5" s="66"/>
      <c r="EI5" s="66"/>
      <c r="EJ5" s="66"/>
      <c r="EK5" s="66"/>
      <c r="EL5" s="66"/>
      <c r="EM5" s="66"/>
      <c r="EN5" s="66"/>
      <c r="EO5" s="66"/>
      <c r="EP5" s="66"/>
      <c r="EQ5" s="66"/>
      <c r="ER5" s="66"/>
      <c r="ES5" s="66"/>
      <c r="ET5" s="66"/>
      <c r="EU5" s="66"/>
      <c r="EV5" s="66"/>
      <c r="EW5" s="66"/>
      <c r="EX5" s="66"/>
      <c r="EY5" s="66"/>
      <c r="EZ5" s="66"/>
      <c r="FA5" s="66"/>
      <c r="FB5" s="66"/>
      <c r="FC5" s="66"/>
      <c r="FD5" s="66"/>
      <c r="FE5" s="66"/>
      <c r="FF5" s="66"/>
      <c r="FG5" s="66"/>
      <c r="FH5" s="66"/>
      <c r="FI5" s="66"/>
      <c r="FJ5" s="66"/>
      <c r="FK5" s="66"/>
      <c r="FL5" s="66"/>
      <c r="FM5" s="66"/>
      <c r="FN5" s="66"/>
      <c r="FO5" s="66"/>
      <c r="FP5" s="66"/>
      <c r="FQ5" s="66"/>
      <c r="FR5" s="66"/>
      <c r="FS5" s="66"/>
      <c r="FT5" s="66"/>
      <c r="FU5" s="66"/>
      <c r="FV5" s="66"/>
      <c r="FW5" s="66"/>
      <c r="FX5" s="66"/>
      <c r="FY5" s="66"/>
      <c r="FZ5" s="66"/>
      <c r="GA5" s="66"/>
      <c r="GB5" s="66"/>
      <c r="GC5" s="66"/>
      <c r="GD5" s="66"/>
      <c r="GE5" s="66"/>
      <c r="GF5" s="66"/>
      <c r="GG5" s="66"/>
      <c r="GH5" s="66"/>
      <c r="GI5" s="66"/>
      <c r="GJ5" s="66"/>
      <c r="GK5" s="66"/>
      <c r="GL5" s="66"/>
      <c r="GM5" s="66"/>
      <c r="GN5" s="66"/>
      <c r="GO5" s="66"/>
      <c r="GP5" s="66"/>
      <c r="GQ5" s="66"/>
      <c r="GR5" s="66"/>
      <c r="GS5" s="66"/>
      <c r="GT5" s="66"/>
      <c r="GU5" s="66"/>
      <c r="GV5" s="66"/>
      <c r="GW5" s="66"/>
      <c r="GX5" s="66"/>
      <c r="GY5" s="66"/>
      <c r="GZ5" s="66"/>
      <c r="HA5" s="66"/>
      <c r="HB5" s="66"/>
      <c r="HC5" s="66"/>
      <c r="HD5" s="66"/>
      <c r="HE5" s="66"/>
      <c r="HF5" s="66"/>
      <c r="HG5" s="66"/>
      <c r="HH5" s="66"/>
      <c r="HI5" s="66"/>
      <c r="HJ5" s="66"/>
      <c r="HK5" s="66"/>
      <c r="HL5" s="66"/>
      <c r="HM5" s="66"/>
      <c r="HN5" s="66"/>
      <c r="HO5" s="66"/>
      <c r="HP5" s="66"/>
      <c r="HQ5" s="66"/>
      <c r="HR5" s="66"/>
      <c r="HS5" s="66"/>
      <c r="HT5" s="66"/>
      <c r="HU5" s="66"/>
      <c r="HV5" s="66"/>
      <c r="HW5" s="66"/>
      <c r="HX5" s="66"/>
      <c r="HY5" s="66"/>
      <c r="HZ5" s="66"/>
      <c r="IA5" s="66"/>
      <c r="IB5" s="66"/>
      <c r="IC5" s="66"/>
      <c r="ID5" s="66"/>
      <c r="IE5" s="66"/>
      <c r="IF5" s="66"/>
      <c r="IG5" s="66"/>
      <c r="IH5" s="66"/>
      <c r="II5" s="66"/>
      <c r="IJ5" s="66"/>
      <c r="IK5" s="66"/>
      <c r="IL5" s="66"/>
      <c r="IM5" s="66"/>
      <c r="IN5" s="66"/>
      <c r="IO5" s="66"/>
      <c r="IP5" s="66"/>
      <c r="IQ5" s="66"/>
      <c r="IR5" s="66"/>
      <c r="IS5" s="66"/>
      <c r="IT5" s="66"/>
      <c r="IU5" s="66"/>
      <c r="IV5" s="66"/>
      <c r="IW5" s="66"/>
      <c r="IX5" s="66"/>
      <c r="IY5" s="66"/>
      <c r="IZ5" s="66"/>
      <c r="JA5" s="66"/>
      <c r="JB5" s="66"/>
      <c r="JC5" s="66"/>
      <c r="JD5" s="66"/>
      <c r="JE5" s="66"/>
      <c r="JF5" s="66"/>
      <c r="JG5" s="66"/>
      <c r="JH5" s="66"/>
      <c r="JI5" s="66"/>
      <c r="JJ5" s="66"/>
      <c r="JK5" s="66"/>
      <c r="JL5" s="66"/>
      <c r="JM5" s="66"/>
      <c r="JN5" s="66"/>
      <c r="JO5" s="66"/>
      <c r="JP5" s="66"/>
      <c r="JQ5" s="66"/>
      <c r="JR5" s="66"/>
      <c r="JS5" s="66"/>
      <c r="JT5" s="66"/>
      <c r="JU5" s="66"/>
      <c r="JV5" s="66"/>
      <c r="JW5" s="66"/>
      <c r="JX5" s="66"/>
      <c r="JY5" s="66"/>
      <c r="JZ5" s="66"/>
      <c r="KA5" s="66"/>
      <c r="KB5" s="66"/>
      <c r="KC5" s="66"/>
      <c r="KD5" s="66"/>
      <c r="KE5" s="66"/>
      <c r="KF5" s="66"/>
      <c r="KG5" s="66"/>
      <c r="KH5" s="66"/>
      <c r="KI5" s="66"/>
      <c r="KJ5" s="66"/>
      <c r="KK5" s="66"/>
      <c r="KL5" s="66"/>
      <c r="KM5" s="66"/>
      <c r="KN5" s="66"/>
      <c r="KO5" s="66"/>
      <c r="KP5" s="66"/>
      <c r="KQ5" s="66"/>
      <c r="KR5" s="66"/>
      <c r="KS5" s="66"/>
      <c r="KT5" s="66"/>
      <c r="KU5" s="66"/>
      <c r="KV5" s="66"/>
      <c r="KW5" s="66"/>
      <c r="KX5" s="66"/>
      <c r="KY5" s="66"/>
      <c r="KZ5" s="66"/>
      <c r="LA5" s="66"/>
      <c r="LB5" s="66"/>
      <c r="LC5" s="66"/>
      <c r="LD5" s="66"/>
      <c r="LE5" s="66"/>
      <c r="LF5" s="66"/>
      <c r="LG5" s="66"/>
      <c r="LH5" s="66"/>
      <c r="LI5" s="66"/>
      <c r="LJ5" s="66"/>
      <c r="LK5" s="66"/>
      <c r="LL5" s="66"/>
      <c r="LM5" s="66"/>
      <c r="LN5" s="66"/>
      <c r="LO5" s="66"/>
      <c r="LP5" s="66"/>
      <c r="LQ5" s="66"/>
      <c r="LR5" s="66"/>
      <c r="LS5" s="66"/>
      <c r="LT5" s="66"/>
      <c r="LU5" s="66"/>
      <c r="LV5" s="66"/>
      <c r="LW5" s="66"/>
      <c r="LX5" s="66"/>
      <c r="LY5" s="66"/>
      <c r="LZ5" s="66"/>
      <c r="MA5" s="66"/>
      <c r="MB5" s="66"/>
      <c r="MC5" s="66"/>
      <c r="MD5" s="66"/>
      <c r="ME5" s="66"/>
      <c r="MF5" s="66"/>
      <c r="MG5" s="66"/>
      <c r="MH5" s="66"/>
      <c r="MI5" s="66"/>
      <c r="MJ5" s="66"/>
      <c r="MK5" s="66"/>
      <c r="ML5" s="66"/>
      <c r="MM5" s="66"/>
      <c r="MN5" s="66"/>
      <c r="MO5" s="66"/>
      <c r="MP5" s="66"/>
      <c r="MQ5" s="66"/>
      <c r="MR5" s="66"/>
      <c r="MS5" s="66"/>
      <c r="MT5" s="66"/>
      <c r="MU5" s="66"/>
      <c r="MV5" s="66"/>
      <c r="MW5" s="66"/>
      <c r="MX5" s="66"/>
      <c r="MY5" s="66"/>
      <c r="MZ5" s="66"/>
      <c r="NA5" s="66"/>
      <c r="NB5" s="66"/>
      <c r="NC5" s="66"/>
      <c r="ND5" s="66"/>
      <c r="NE5" s="66"/>
      <c r="NF5" s="66"/>
      <c r="NG5" s="66"/>
      <c r="NH5" s="66"/>
      <c r="NI5" s="66"/>
      <c r="NJ5" s="66"/>
      <c r="NK5" s="66"/>
      <c r="NL5" s="66"/>
      <c r="NM5" s="66"/>
      <c r="NN5" s="66"/>
      <c r="NO5" s="66"/>
      <c r="NP5" s="66"/>
      <c r="NQ5" s="66"/>
      <c r="NR5" s="66"/>
      <c r="NS5" s="66"/>
      <c r="NT5" s="66"/>
      <c r="NU5" s="66"/>
      <c r="NV5" s="66"/>
      <c r="NW5" s="66"/>
      <c r="NX5" s="66"/>
      <c r="NY5" s="66"/>
      <c r="NZ5" s="66"/>
      <c r="OA5" s="66"/>
      <c r="OB5" s="66"/>
      <c r="OC5" s="66"/>
      <c r="OD5" s="66"/>
      <c r="OE5" s="66"/>
      <c r="OF5" s="66"/>
      <c r="OG5" s="66"/>
      <c r="OH5" s="66"/>
      <c r="OI5" s="66"/>
      <c r="OJ5" s="66"/>
      <c r="OK5" s="66"/>
      <c r="OL5" s="66"/>
      <c r="OM5" s="66"/>
      <c r="ON5" s="66"/>
      <c r="OO5" s="66"/>
      <c r="OP5" s="66"/>
      <c r="OQ5" s="66"/>
      <c r="OR5" s="66"/>
      <c r="OS5" s="66"/>
      <c r="OT5" s="66"/>
      <c r="OU5" s="66"/>
      <c r="OV5" s="66"/>
      <c r="OW5" s="66"/>
      <c r="OX5" s="66"/>
      <c r="OY5" s="66"/>
      <c r="OZ5" s="66"/>
      <c r="PA5" s="66"/>
      <c r="PB5" s="66"/>
      <c r="PC5" s="66"/>
      <c r="PD5" s="66"/>
      <c r="PE5" s="66"/>
      <c r="PF5" s="66"/>
      <c r="PG5" s="66"/>
      <c r="PH5" s="66"/>
      <c r="PI5" s="66"/>
      <c r="PJ5" s="66"/>
      <c r="PK5" s="66"/>
      <c r="PL5" s="66"/>
      <c r="PM5" s="66"/>
      <c r="PN5" s="66"/>
      <c r="PO5" s="66"/>
      <c r="PP5" s="66"/>
      <c r="PQ5" s="66"/>
      <c r="PR5" s="66"/>
      <c r="PS5" s="66"/>
      <c r="PT5" s="66"/>
      <c r="PU5" s="66"/>
      <c r="PV5" s="66"/>
      <c r="PW5" s="66"/>
      <c r="PX5" s="66"/>
      <c r="PY5" s="66"/>
      <c r="PZ5" s="66"/>
      <c r="QA5" s="66"/>
      <c r="QB5" s="66"/>
      <c r="QC5" s="66"/>
      <c r="QD5" s="66"/>
      <c r="QE5" s="66"/>
      <c r="QF5" s="66"/>
      <c r="QG5" s="66"/>
      <c r="QH5" s="66"/>
      <c r="QI5" s="66"/>
      <c r="QJ5" s="66"/>
      <c r="QK5" s="66"/>
      <c r="QL5" s="66"/>
      <c r="QM5" s="66"/>
      <c r="QN5" s="66"/>
      <c r="QO5" s="66"/>
      <c r="QP5" s="66"/>
      <c r="QQ5" s="66"/>
      <c r="QR5" s="66"/>
      <c r="QS5" s="66"/>
      <c r="QT5" s="66"/>
      <c r="QU5" s="66"/>
      <c r="QV5" s="66"/>
      <c r="QW5" s="66"/>
      <c r="QX5" s="66"/>
      <c r="QY5" s="66"/>
      <c r="QZ5" s="66"/>
      <c r="RA5" s="66"/>
      <c r="RB5" s="66"/>
      <c r="RC5" s="66"/>
      <c r="RD5" s="66"/>
      <c r="RE5" s="66"/>
      <c r="RF5" s="66"/>
      <c r="RG5" s="66"/>
      <c r="RH5" s="66"/>
      <c r="RI5" s="66"/>
      <c r="RJ5" s="66"/>
      <c r="RK5" s="66"/>
      <c r="RL5" s="66"/>
      <c r="RM5" s="66"/>
      <c r="RN5" s="66"/>
      <c r="RO5" s="66"/>
      <c r="RP5" s="66"/>
      <c r="RQ5" s="66"/>
      <c r="RR5" s="66"/>
      <c r="RS5" s="66"/>
      <c r="RT5" s="66"/>
      <c r="RU5" s="66"/>
      <c r="RV5" s="66"/>
      <c r="RW5" s="66"/>
      <c r="RX5" s="66"/>
      <c r="RY5" s="66"/>
      <c r="RZ5" s="66"/>
      <c r="SA5" s="66"/>
      <c r="SB5" s="66"/>
      <c r="SC5" s="66"/>
      <c r="SD5" s="66"/>
      <c r="SE5" s="66"/>
      <c r="SF5" s="66"/>
      <c r="SG5" s="66"/>
      <c r="SH5" s="66"/>
      <c r="SI5" s="66"/>
      <c r="SJ5" s="66"/>
      <c r="SK5" s="66"/>
      <c r="SL5" s="66"/>
      <c r="SM5" s="66"/>
      <c r="SN5" s="66"/>
      <c r="SO5" s="66"/>
      <c r="SP5" s="66"/>
      <c r="SQ5" s="66"/>
      <c r="SR5" s="66"/>
      <c r="SS5" s="66"/>
      <c r="ST5" s="66"/>
      <c r="SU5" s="66"/>
      <c r="SV5" s="66"/>
      <c r="SW5" s="66"/>
      <c r="SX5" s="66"/>
      <c r="SY5" s="66"/>
      <c r="SZ5" s="66"/>
      <c r="TA5" s="66"/>
      <c r="TB5" s="66"/>
      <c r="TC5" s="66"/>
      <c r="TD5" s="66"/>
      <c r="TE5" s="66"/>
      <c r="TF5" s="66"/>
      <c r="TG5" s="66"/>
      <c r="TH5" s="66"/>
      <c r="TI5" s="66"/>
      <c r="TJ5" s="66"/>
      <c r="TK5" s="66"/>
      <c r="TL5" s="66"/>
      <c r="TM5" s="66"/>
      <c r="TN5" s="66"/>
      <c r="TO5" s="66"/>
      <c r="TP5" s="66"/>
      <c r="TQ5" s="66"/>
      <c r="TR5" s="66"/>
      <c r="TS5" s="66"/>
      <c r="TT5" s="66"/>
      <c r="TU5" s="66"/>
      <c r="TV5" s="66"/>
      <c r="TW5" s="66"/>
      <c r="TX5" s="66"/>
      <c r="TY5" s="66"/>
      <c r="TZ5" s="66"/>
      <c r="UA5" s="66"/>
      <c r="UB5" s="66"/>
      <c r="UC5" s="66"/>
      <c r="UD5" s="66"/>
      <c r="UE5" s="66"/>
      <c r="UF5" s="66"/>
      <c r="UG5" s="66"/>
      <c r="UH5" s="66"/>
      <c r="UI5" s="66"/>
      <c r="UJ5" s="66"/>
      <c r="UK5" s="66"/>
      <c r="UL5" s="66"/>
      <c r="UM5" s="66"/>
      <c r="UN5" s="66"/>
      <c r="UO5" s="66"/>
      <c r="UP5" s="66"/>
      <c r="UQ5" s="66"/>
      <c r="UR5" s="66"/>
      <c r="US5" s="66"/>
      <c r="UT5" s="66"/>
      <c r="UU5" s="66"/>
      <c r="UV5" s="66"/>
      <c r="UW5" s="66"/>
      <c r="UX5" s="66"/>
      <c r="UY5" s="66"/>
      <c r="UZ5" s="66"/>
      <c r="VA5" s="66"/>
      <c r="VB5" s="66"/>
      <c r="VC5" s="66"/>
      <c r="VD5" s="66"/>
      <c r="VE5" s="66"/>
      <c r="VF5" s="66"/>
      <c r="VG5" s="66"/>
      <c r="VH5" s="66"/>
      <c r="VI5" s="66"/>
      <c r="VJ5" s="66"/>
      <c r="VK5" s="66"/>
      <c r="VL5" s="66"/>
      <c r="VM5" s="66"/>
      <c r="VN5" s="66"/>
      <c r="VO5" s="66"/>
      <c r="VP5" s="66"/>
      <c r="VQ5" s="66"/>
      <c r="VR5" s="66"/>
      <c r="VS5" s="66"/>
      <c r="VT5" s="66"/>
      <c r="VU5" s="66"/>
      <c r="VV5" s="66"/>
      <c r="VW5" s="66"/>
      <c r="VX5" s="66"/>
      <c r="VY5" s="66"/>
      <c r="VZ5" s="66"/>
      <c r="WA5" s="66"/>
      <c r="WB5" s="66"/>
      <c r="WC5" s="66"/>
      <c r="WD5" s="66"/>
      <c r="WE5" s="66"/>
      <c r="WF5" s="66"/>
      <c r="WG5" s="66"/>
      <c r="WH5" s="66"/>
      <c r="WI5" s="66"/>
      <c r="WJ5" s="66"/>
      <c r="WK5" s="66"/>
      <c r="WL5" s="66"/>
      <c r="WM5" s="66"/>
      <c r="WN5" s="66"/>
      <c r="WO5" s="66"/>
      <c r="WP5" s="66"/>
      <c r="WQ5" s="66"/>
      <c r="WR5" s="66"/>
      <c r="WS5" s="66"/>
      <c r="WT5" s="66"/>
      <c r="WU5" s="66"/>
      <c r="WV5" s="66"/>
      <c r="WW5" s="66"/>
      <c r="WX5" s="66"/>
      <c r="WY5" s="66"/>
      <c r="WZ5" s="66"/>
      <c r="XA5" s="66"/>
      <c r="XB5" s="66"/>
      <c r="XC5" s="66"/>
      <c r="XD5" s="66"/>
      <c r="XE5" s="66"/>
      <c r="XF5" s="66"/>
      <c r="XG5" s="66"/>
      <c r="XH5" s="66"/>
      <c r="XI5" s="66"/>
      <c r="XJ5" s="66"/>
      <c r="XK5" s="66"/>
      <c r="XL5" s="66"/>
      <c r="XM5" s="66"/>
      <c r="XN5" s="66"/>
      <c r="XO5" s="66"/>
      <c r="XP5" s="66"/>
      <c r="XQ5" s="66"/>
      <c r="XR5" s="66"/>
      <c r="XS5" s="66"/>
      <c r="XT5" s="66"/>
      <c r="XU5" s="66"/>
      <c r="XV5" s="66"/>
      <c r="XW5" s="66"/>
      <c r="XX5" s="66"/>
      <c r="XY5" s="66"/>
      <c r="XZ5" s="66"/>
      <c r="YA5" s="66"/>
      <c r="YB5" s="66"/>
      <c r="YC5" s="66"/>
      <c r="YD5" s="66"/>
      <c r="YE5" s="66"/>
      <c r="YF5" s="66"/>
      <c r="YG5" s="66"/>
      <c r="YH5" s="66"/>
      <c r="YI5" s="66"/>
      <c r="YJ5" s="66"/>
      <c r="YK5" s="66"/>
      <c r="YL5" s="66"/>
      <c r="YM5" s="66"/>
      <c r="YN5" s="66"/>
      <c r="YO5" s="66"/>
      <c r="YP5" s="66"/>
      <c r="YQ5" s="66"/>
      <c r="YR5" s="66"/>
      <c r="YS5" s="66"/>
      <c r="YT5" s="66"/>
      <c r="YU5" s="66"/>
      <c r="YV5" s="66"/>
      <c r="YW5" s="66"/>
      <c r="YX5" s="66"/>
      <c r="YY5" s="66"/>
      <c r="YZ5" s="66"/>
      <c r="ZA5" s="66"/>
      <c r="ZB5" s="66"/>
      <c r="ZC5" s="66"/>
      <c r="ZD5" s="66"/>
      <c r="ZE5" s="66"/>
      <c r="ZF5" s="66"/>
      <c r="ZG5" s="66"/>
      <c r="ZH5" s="66"/>
      <c r="ZI5" s="66"/>
      <c r="ZJ5" s="66"/>
      <c r="ZK5" s="66"/>
      <c r="ZL5" s="66"/>
      <c r="ZM5" s="66"/>
      <c r="ZN5" s="66"/>
      <c r="ZO5" s="66"/>
      <c r="ZP5" s="66"/>
      <c r="ZQ5" s="66"/>
      <c r="ZR5" s="66"/>
      <c r="ZS5" s="66"/>
      <c r="ZT5" s="66"/>
      <c r="ZU5" s="66"/>
      <c r="ZV5" s="66"/>
      <c r="ZW5" s="66"/>
      <c r="ZX5" s="66"/>
    </row>
    <row r="6" spans="1:700" s="20" customFormat="1" ht="15.75" x14ac:dyDescent="0.25">
      <c r="A6" s="72"/>
      <c r="B6" s="73"/>
      <c r="C6" s="73"/>
      <c r="D6" s="108"/>
      <c r="E6" s="129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/>
      <c r="DS6" s="66"/>
      <c r="DT6" s="66"/>
      <c r="DU6" s="66"/>
      <c r="DV6" s="66"/>
      <c r="DW6" s="66"/>
      <c r="DX6" s="66"/>
      <c r="DY6" s="66"/>
      <c r="DZ6" s="66"/>
      <c r="EA6" s="66"/>
      <c r="EB6" s="66"/>
      <c r="EC6" s="66"/>
      <c r="ED6" s="66"/>
      <c r="EE6" s="66"/>
      <c r="EF6" s="66"/>
      <c r="EG6" s="66"/>
      <c r="EH6" s="66"/>
      <c r="EI6" s="66"/>
      <c r="EJ6" s="66"/>
      <c r="EK6" s="66"/>
      <c r="EL6" s="66"/>
      <c r="EM6" s="66"/>
      <c r="EN6" s="66"/>
      <c r="EO6" s="66"/>
      <c r="EP6" s="66"/>
      <c r="EQ6" s="66"/>
      <c r="ER6" s="66"/>
      <c r="ES6" s="66"/>
      <c r="ET6" s="66"/>
      <c r="EU6" s="66"/>
      <c r="EV6" s="66"/>
      <c r="EW6" s="66"/>
      <c r="EX6" s="66"/>
      <c r="EY6" s="66"/>
      <c r="EZ6" s="66"/>
      <c r="FA6" s="66"/>
      <c r="FB6" s="66"/>
      <c r="FC6" s="66"/>
      <c r="FD6" s="66"/>
      <c r="FE6" s="66"/>
      <c r="FF6" s="66"/>
      <c r="FG6" s="66"/>
      <c r="FH6" s="66"/>
      <c r="FI6" s="66"/>
      <c r="FJ6" s="66"/>
      <c r="FK6" s="66"/>
      <c r="FL6" s="66"/>
      <c r="FM6" s="66"/>
      <c r="FN6" s="66"/>
      <c r="FO6" s="66"/>
      <c r="FP6" s="66"/>
      <c r="FQ6" s="66"/>
      <c r="FR6" s="66"/>
      <c r="FS6" s="66"/>
      <c r="FT6" s="66"/>
      <c r="FU6" s="66"/>
      <c r="FV6" s="66"/>
      <c r="FW6" s="66"/>
      <c r="FX6" s="66"/>
      <c r="FY6" s="66"/>
      <c r="FZ6" s="66"/>
      <c r="GA6" s="66"/>
      <c r="GB6" s="66"/>
      <c r="GC6" s="66"/>
      <c r="GD6" s="66"/>
      <c r="GE6" s="66"/>
      <c r="GF6" s="66"/>
      <c r="GG6" s="66"/>
      <c r="GH6" s="66"/>
      <c r="GI6" s="66"/>
      <c r="GJ6" s="66"/>
      <c r="GK6" s="66"/>
      <c r="GL6" s="66"/>
      <c r="GM6" s="66"/>
      <c r="GN6" s="66"/>
      <c r="GO6" s="66"/>
      <c r="GP6" s="66"/>
      <c r="GQ6" s="66"/>
      <c r="GR6" s="66"/>
      <c r="GS6" s="66"/>
      <c r="GT6" s="66"/>
      <c r="GU6" s="66"/>
      <c r="GV6" s="66"/>
      <c r="GW6" s="66"/>
      <c r="GX6" s="66"/>
      <c r="GY6" s="66"/>
      <c r="GZ6" s="66"/>
      <c r="HA6" s="66"/>
      <c r="HB6" s="66"/>
      <c r="HC6" s="66"/>
      <c r="HD6" s="66"/>
      <c r="HE6" s="66"/>
      <c r="HF6" s="66"/>
      <c r="HG6" s="66"/>
      <c r="HH6" s="66"/>
      <c r="HI6" s="66"/>
      <c r="HJ6" s="66"/>
      <c r="HK6" s="66"/>
      <c r="HL6" s="66"/>
      <c r="HM6" s="66"/>
      <c r="HN6" s="66"/>
      <c r="HO6" s="66"/>
      <c r="HP6" s="66"/>
      <c r="HQ6" s="66"/>
      <c r="HR6" s="66"/>
      <c r="HS6" s="66"/>
      <c r="HT6" s="66"/>
      <c r="HU6" s="66"/>
      <c r="HV6" s="66"/>
      <c r="HW6" s="66"/>
      <c r="HX6" s="66"/>
      <c r="HY6" s="66"/>
      <c r="HZ6" s="66"/>
      <c r="IA6" s="66"/>
      <c r="IB6" s="66"/>
      <c r="IC6" s="66"/>
      <c r="ID6" s="66"/>
      <c r="IE6" s="66"/>
      <c r="IF6" s="66"/>
      <c r="IG6" s="66"/>
      <c r="IH6" s="66"/>
      <c r="II6" s="66"/>
      <c r="IJ6" s="66"/>
      <c r="IK6" s="66"/>
      <c r="IL6" s="66"/>
      <c r="IM6" s="66"/>
      <c r="IN6" s="66"/>
      <c r="IO6" s="66"/>
      <c r="IP6" s="66"/>
      <c r="IQ6" s="66"/>
      <c r="IR6" s="66"/>
      <c r="IS6" s="66"/>
      <c r="IT6" s="66"/>
      <c r="IU6" s="66"/>
      <c r="IV6" s="66"/>
      <c r="IW6" s="66"/>
      <c r="IX6" s="66"/>
      <c r="IY6" s="66"/>
      <c r="IZ6" s="66"/>
      <c r="JA6" s="66"/>
      <c r="JB6" s="66"/>
      <c r="JC6" s="66"/>
      <c r="JD6" s="66"/>
      <c r="JE6" s="66"/>
      <c r="JF6" s="66"/>
      <c r="JG6" s="66"/>
      <c r="JH6" s="66"/>
      <c r="JI6" s="66"/>
      <c r="JJ6" s="66"/>
      <c r="JK6" s="66"/>
      <c r="JL6" s="66"/>
      <c r="JM6" s="66"/>
      <c r="JN6" s="66"/>
      <c r="JO6" s="66"/>
      <c r="JP6" s="66"/>
      <c r="JQ6" s="66"/>
      <c r="JR6" s="66"/>
      <c r="JS6" s="66"/>
      <c r="JT6" s="66"/>
      <c r="JU6" s="66"/>
      <c r="JV6" s="66"/>
      <c r="JW6" s="66"/>
      <c r="JX6" s="66"/>
      <c r="JY6" s="66"/>
      <c r="JZ6" s="66"/>
      <c r="KA6" s="66"/>
      <c r="KB6" s="66"/>
      <c r="KC6" s="66"/>
      <c r="KD6" s="66"/>
      <c r="KE6" s="66"/>
      <c r="KF6" s="66"/>
      <c r="KG6" s="66"/>
      <c r="KH6" s="66"/>
      <c r="KI6" s="66"/>
      <c r="KJ6" s="66"/>
      <c r="KK6" s="66"/>
      <c r="KL6" s="66"/>
      <c r="KM6" s="66"/>
      <c r="KN6" s="66"/>
      <c r="KO6" s="66"/>
      <c r="KP6" s="66"/>
      <c r="KQ6" s="66"/>
      <c r="KR6" s="66"/>
      <c r="KS6" s="66"/>
      <c r="KT6" s="66"/>
      <c r="KU6" s="66"/>
      <c r="KV6" s="66"/>
      <c r="KW6" s="66"/>
      <c r="KX6" s="66"/>
      <c r="KY6" s="66"/>
      <c r="KZ6" s="66"/>
      <c r="LA6" s="66"/>
      <c r="LB6" s="66"/>
      <c r="LC6" s="66"/>
      <c r="LD6" s="66"/>
      <c r="LE6" s="66"/>
      <c r="LF6" s="66"/>
      <c r="LG6" s="66"/>
      <c r="LH6" s="66"/>
      <c r="LI6" s="66"/>
      <c r="LJ6" s="66"/>
      <c r="LK6" s="66"/>
      <c r="LL6" s="66"/>
      <c r="LM6" s="66"/>
      <c r="LN6" s="66"/>
      <c r="LO6" s="66"/>
      <c r="LP6" s="66"/>
      <c r="LQ6" s="66"/>
      <c r="LR6" s="66"/>
      <c r="LS6" s="66"/>
      <c r="LT6" s="66"/>
      <c r="LU6" s="66"/>
      <c r="LV6" s="66"/>
      <c r="LW6" s="66"/>
      <c r="LX6" s="66"/>
      <c r="LY6" s="66"/>
      <c r="LZ6" s="66"/>
      <c r="MA6" s="66"/>
      <c r="MB6" s="66"/>
      <c r="MC6" s="66"/>
      <c r="MD6" s="66"/>
      <c r="ME6" s="66"/>
      <c r="MF6" s="66"/>
      <c r="MG6" s="66"/>
      <c r="MH6" s="66"/>
      <c r="MI6" s="66"/>
      <c r="MJ6" s="66"/>
      <c r="MK6" s="66"/>
      <c r="ML6" s="66"/>
      <c r="MM6" s="66"/>
      <c r="MN6" s="66"/>
      <c r="MO6" s="66"/>
      <c r="MP6" s="66"/>
      <c r="MQ6" s="66"/>
      <c r="MR6" s="66"/>
      <c r="MS6" s="66"/>
      <c r="MT6" s="66"/>
      <c r="MU6" s="66"/>
      <c r="MV6" s="66"/>
      <c r="MW6" s="66"/>
      <c r="MX6" s="66"/>
      <c r="MY6" s="66"/>
      <c r="MZ6" s="66"/>
      <c r="NA6" s="66"/>
      <c r="NB6" s="66"/>
      <c r="NC6" s="66"/>
      <c r="ND6" s="66"/>
      <c r="NE6" s="66"/>
      <c r="NF6" s="66"/>
      <c r="NG6" s="66"/>
      <c r="NH6" s="66"/>
      <c r="NI6" s="66"/>
      <c r="NJ6" s="66"/>
      <c r="NK6" s="66"/>
      <c r="NL6" s="66"/>
      <c r="NM6" s="66"/>
      <c r="NN6" s="66"/>
      <c r="NO6" s="66"/>
      <c r="NP6" s="66"/>
      <c r="NQ6" s="66"/>
      <c r="NR6" s="66"/>
      <c r="NS6" s="66"/>
      <c r="NT6" s="66"/>
      <c r="NU6" s="66"/>
      <c r="NV6" s="66"/>
      <c r="NW6" s="66"/>
      <c r="NX6" s="66"/>
      <c r="NY6" s="66"/>
      <c r="NZ6" s="66"/>
      <c r="OA6" s="66"/>
      <c r="OB6" s="66"/>
      <c r="OC6" s="66"/>
      <c r="OD6" s="66"/>
      <c r="OE6" s="66"/>
      <c r="OF6" s="66"/>
      <c r="OG6" s="66"/>
      <c r="OH6" s="66"/>
      <c r="OI6" s="66"/>
      <c r="OJ6" s="66"/>
      <c r="OK6" s="66"/>
      <c r="OL6" s="66"/>
      <c r="OM6" s="66"/>
      <c r="ON6" s="66"/>
      <c r="OO6" s="66"/>
      <c r="OP6" s="66"/>
      <c r="OQ6" s="66"/>
      <c r="OR6" s="66"/>
      <c r="OS6" s="66"/>
      <c r="OT6" s="66"/>
      <c r="OU6" s="66"/>
      <c r="OV6" s="66"/>
      <c r="OW6" s="66"/>
      <c r="OX6" s="66"/>
      <c r="OY6" s="66"/>
      <c r="OZ6" s="66"/>
      <c r="PA6" s="66"/>
      <c r="PB6" s="66"/>
      <c r="PC6" s="66"/>
      <c r="PD6" s="66"/>
      <c r="PE6" s="66"/>
      <c r="PF6" s="66"/>
      <c r="PG6" s="66"/>
      <c r="PH6" s="66"/>
      <c r="PI6" s="66"/>
      <c r="PJ6" s="66"/>
      <c r="PK6" s="66"/>
      <c r="PL6" s="66"/>
      <c r="PM6" s="66"/>
      <c r="PN6" s="66"/>
      <c r="PO6" s="66"/>
      <c r="PP6" s="66"/>
      <c r="PQ6" s="66"/>
      <c r="PR6" s="66"/>
      <c r="PS6" s="66"/>
      <c r="PT6" s="66"/>
      <c r="PU6" s="66"/>
      <c r="PV6" s="66"/>
      <c r="PW6" s="66"/>
      <c r="PX6" s="66"/>
      <c r="PY6" s="66"/>
      <c r="PZ6" s="66"/>
      <c r="QA6" s="66"/>
      <c r="QB6" s="66"/>
      <c r="QC6" s="66"/>
      <c r="QD6" s="66"/>
      <c r="QE6" s="66"/>
      <c r="QF6" s="66"/>
      <c r="QG6" s="66"/>
      <c r="QH6" s="66"/>
      <c r="QI6" s="66"/>
      <c r="QJ6" s="66"/>
      <c r="QK6" s="66"/>
      <c r="QL6" s="66"/>
      <c r="QM6" s="66"/>
      <c r="QN6" s="66"/>
      <c r="QO6" s="66"/>
      <c r="QP6" s="66"/>
      <c r="QQ6" s="66"/>
      <c r="QR6" s="66"/>
      <c r="QS6" s="66"/>
      <c r="QT6" s="66"/>
      <c r="QU6" s="66"/>
      <c r="QV6" s="66"/>
      <c r="QW6" s="66"/>
      <c r="QX6" s="66"/>
      <c r="QY6" s="66"/>
      <c r="QZ6" s="66"/>
      <c r="RA6" s="66"/>
      <c r="RB6" s="66"/>
      <c r="RC6" s="66"/>
      <c r="RD6" s="66"/>
      <c r="RE6" s="66"/>
      <c r="RF6" s="66"/>
      <c r="RG6" s="66"/>
      <c r="RH6" s="66"/>
      <c r="RI6" s="66"/>
      <c r="RJ6" s="66"/>
      <c r="RK6" s="66"/>
      <c r="RL6" s="66"/>
      <c r="RM6" s="66"/>
      <c r="RN6" s="66"/>
      <c r="RO6" s="66"/>
      <c r="RP6" s="66"/>
      <c r="RQ6" s="66"/>
      <c r="RR6" s="66"/>
      <c r="RS6" s="66"/>
      <c r="RT6" s="66"/>
      <c r="RU6" s="66"/>
      <c r="RV6" s="66"/>
      <c r="RW6" s="66"/>
      <c r="RX6" s="66"/>
      <c r="RY6" s="66"/>
      <c r="RZ6" s="66"/>
      <c r="SA6" s="66"/>
      <c r="SB6" s="66"/>
      <c r="SC6" s="66"/>
      <c r="SD6" s="66"/>
      <c r="SE6" s="66"/>
      <c r="SF6" s="66"/>
      <c r="SG6" s="66"/>
      <c r="SH6" s="66"/>
      <c r="SI6" s="66"/>
      <c r="SJ6" s="66"/>
      <c r="SK6" s="66"/>
      <c r="SL6" s="66"/>
      <c r="SM6" s="66"/>
      <c r="SN6" s="66"/>
      <c r="SO6" s="66"/>
      <c r="SP6" s="66"/>
      <c r="SQ6" s="66"/>
      <c r="SR6" s="66"/>
      <c r="SS6" s="66"/>
      <c r="ST6" s="66"/>
      <c r="SU6" s="66"/>
      <c r="SV6" s="66"/>
      <c r="SW6" s="66"/>
      <c r="SX6" s="66"/>
      <c r="SY6" s="66"/>
      <c r="SZ6" s="66"/>
      <c r="TA6" s="66"/>
      <c r="TB6" s="66"/>
      <c r="TC6" s="66"/>
      <c r="TD6" s="66"/>
      <c r="TE6" s="66"/>
      <c r="TF6" s="66"/>
      <c r="TG6" s="66"/>
      <c r="TH6" s="66"/>
      <c r="TI6" s="66"/>
      <c r="TJ6" s="66"/>
      <c r="TK6" s="66"/>
      <c r="TL6" s="66"/>
      <c r="TM6" s="66"/>
      <c r="TN6" s="66"/>
      <c r="TO6" s="66"/>
      <c r="TP6" s="66"/>
      <c r="TQ6" s="66"/>
      <c r="TR6" s="66"/>
      <c r="TS6" s="66"/>
      <c r="TT6" s="66"/>
      <c r="TU6" s="66"/>
      <c r="TV6" s="66"/>
      <c r="TW6" s="66"/>
      <c r="TX6" s="66"/>
      <c r="TY6" s="66"/>
      <c r="TZ6" s="66"/>
      <c r="UA6" s="66"/>
      <c r="UB6" s="66"/>
      <c r="UC6" s="66"/>
      <c r="UD6" s="66"/>
      <c r="UE6" s="66"/>
      <c r="UF6" s="66"/>
      <c r="UG6" s="66"/>
      <c r="UH6" s="66"/>
      <c r="UI6" s="66"/>
      <c r="UJ6" s="66"/>
      <c r="UK6" s="66"/>
      <c r="UL6" s="66"/>
      <c r="UM6" s="66"/>
      <c r="UN6" s="66"/>
      <c r="UO6" s="66"/>
      <c r="UP6" s="66"/>
      <c r="UQ6" s="66"/>
      <c r="UR6" s="66"/>
      <c r="US6" s="66"/>
      <c r="UT6" s="66"/>
      <c r="UU6" s="66"/>
      <c r="UV6" s="66"/>
      <c r="UW6" s="66"/>
      <c r="UX6" s="66"/>
      <c r="UY6" s="66"/>
      <c r="UZ6" s="66"/>
      <c r="VA6" s="66"/>
      <c r="VB6" s="66"/>
      <c r="VC6" s="66"/>
      <c r="VD6" s="66"/>
      <c r="VE6" s="66"/>
      <c r="VF6" s="66"/>
      <c r="VG6" s="66"/>
      <c r="VH6" s="66"/>
      <c r="VI6" s="66"/>
      <c r="VJ6" s="66"/>
      <c r="VK6" s="66"/>
      <c r="VL6" s="66"/>
      <c r="VM6" s="66"/>
      <c r="VN6" s="66"/>
      <c r="VO6" s="66"/>
      <c r="VP6" s="66"/>
      <c r="VQ6" s="66"/>
      <c r="VR6" s="66"/>
      <c r="VS6" s="66"/>
      <c r="VT6" s="66"/>
      <c r="VU6" s="66"/>
      <c r="VV6" s="66"/>
      <c r="VW6" s="66"/>
      <c r="VX6" s="66"/>
      <c r="VY6" s="66"/>
      <c r="VZ6" s="66"/>
      <c r="WA6" s="66"/>
      <c r="WB6" s="66"/>
      <c r="WC6" s="66"/>
      <c r="WD6" s="66"/>
      <c r="WE6" s="66"/>
      <c r="WF6" s="66"/>
      <c r="WG6" s="66"/>
      <c r="WH6" s="66"/>
      <c r="WI6" s="66"/>
      <c r="WJ6" s="66"/>
      <c r="WK6" s="66"/>
      <c r="WL6" s="66"/>
      <c r="WM6" s="66"/>
      <c r="WN6" s="66"/>
      <c r="WO6" s="66"/>
      <c r="WP6" s="66"/>
      <c r="WQ6" s="66"/>
      <c r="WR6" s="66"/>
      <c r="WS6" s="66"/>
      <c r="WT6" s="66"/>
      <c r="WU6" s="66"/>
      <c r="WV6" s="66"/>
      <c r="WW6" s="66"/>
      <c r="WX6" s="66"/>
      <c r="WY6" s="66"/>
      <c r="WZ6" s="66"/>
      <c r="XA6" s="66"/>
      <c r="XB6" s="66"/>
      <c r="XC6" s="66"/>
      <c r="XD6" s="66"/>
      <c r="XE6" s="66"/>
      <c r="XF6" s="66"/>
      <c r="XG6" s="66"/>
      <c r="XH6" s="66"/>
      <c r="XI6" s="66"/>
      <c r="XJ6" s="66"/>
      <c r="XK6" s="66"/>
      <c r="XL6" s="66"/>
      <c r="XM6" s="66"/>
      <c r="XN6" s="66"/>
      <c r="XO6" s="66"/>
      <c r="XP6" s="66"/>
      <c r="XQ6" s="66"/>
      <c r="XR6" s="66"/>
      <c r="XS6" s="66"/>
      <c r="XT6" s="66"/>
      <c r="XU6" s="66"/>
      <c r="XV6" s="66"/>
      <c r="XW6" s="66"/>
      <c r="XX6" s="66"/>
      <c r="XY6" s="66"/>
      <c r="XZ6" s="66"/>
      <c r="YA6" s="66"/>
      <c r="YB6" s="66"/>
      <c r="YC6" s="66"/>
      <c r="YD6" s="66"/>
      <c r="YE6" s="66"/>
      <c r="YF6" s="66"/>
      <c r="YG6" s="66"/>
      <c r="YH6" s="66"/>
      <c r="YI6" s="66"/>
      <c r="YJ6" s="66"/>
      <c r="YK6" s="66"/>
      <c r="YL6" s="66"/>
      <c r="YM6" s="66"/>
      <c r="YN6" s="66"/>
      <c r="YO6" s="66"/>
      <c r="YP6" s="66"/>
      <c r="YQ6" s="66"/>
      <c r="YR6" s="66"/>
      <c r="YS6" s="66"/>
      <c r="YT6" s="66"/>
      <c r="YU6" s="66"/>
      <c r="YV6" s="66"/>
      <c r="YW6" s="66"/>
      <c r="YX6" s="66"/>
      <c r="YY6" s="66"/>
      <c r="YZ6" s="66"/>
      <c r="ZA6" s="66"/>
      <c r="ZB6" s="66"/>
      <c r="ZC6" s="66"/>
      <c r="ZD6" s="66"/>
      <c r="ZE6" s="66"/>
      <c r="ZF6" s="66"/>
      <c r="ZG6" s="66"/>
      <c r="ZH6" s="66"/>
      <c r="ZI6" s="66"/>
      <c r="ZJ6" s="66"/>
      <c r="ZK6" s="66"/>
      <c r="ZL6" s="66"/>
      <c r="ZM6" s="66"/>
      <c r="ZN6" s="66"/>
      <c r="ZO6" s="66"/>
      <c r="ZP6" s="66"/>
      <c r="ZQ6" s="66"/>
      <c r="ZR6" s="66"/>
      <c r="ZS6" s="66"/>
      <c r="ZT6" s="66"/>
      <c r="ZU6" s="66"/>
      <c r="ZV6" s="66"/>
      <c r="ZW6" s="66"/>
      <c r="ZX6" s="66"/>
    </row>
    <row r="7" spans="1:700" s="20" customFormat="1" ht="15.75" x14ac:dyDescent="0.25">
      <c r="A7" s="70"/>
      <c r="B7" s="71"/>
      <c r="C7" s="71"/>
      <c r="D7" s="109"/>
      <c r="E7" s="111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  <c r="CH7" s="66"/>
      <c r="CI7" s="66"/>
      <c r="CJ7" s="66"/>
      <c r="CK7" s="66"/>
      <c r="CL7" s="66"/>
      <c r="CM7" s="66"/>
      <c r="CN7" s="66"/>
      <c r="CO7" s="66"/>
      <c r="CP7" s="66"/>
      <c r="CQ7" s="66"/>
      <c r="CR7" s="66"/>
      <c r="CS7" s="66"/>
      <c r="CT7" s="66"/>
      <c r="CU7" s="66"/>
      <c r="CV7" s="66"/>
      <c r="CW7" s="66"/>
      <c r="CX7" s="66"/>
      <c r="CY7" s="66"/>
      <c r="CZ7" s="66"/>
      <c r="DA7" s="66"/>
      <c r="DB7" s="66"/>
      <c r="DC7" s="66"/>
      <c r="DD7" s="66"/>
      <c r="DE7" s="66"/>
      <c r="DF7" s="66"/>
      <c r="DG7" s="66"/>
      <c r="DH7" s="66"/>
      <c r="DI7" s="66"/>
      <c r="DJ7" s="66"/>
      <c r="DK7" s="66"/>
      <c r="DL7" s="66"/>
      <c r="DM7" s="66"/>
      <c r="DN7" s="66"/>
      <c r="DO7" s="66"/>
      <c r="DP7" s="66"/>
      <c r="DQ7" s="66"/>
      <c r="DR7" s="66"/>
      <c r="DS7" s="66"/>
      <c r="DT7" s="66"/>
      <c r="DU7" s="66"/>
      <c r="DV7" s="66"/>
      <c r="DW7" s="66"/>
      <c r="DX7" s="66"/>
      <c r="DY7" s="66"/>
      <c r="DZ7" s="66"/>
      <c r="EA7" s="66"/>
      <c r="EB7" s="66"/>
      <c r="EC7" s="66"/>
      <c r="ED7" s="66"/>
      <c r="EE7" s="66"/>
      <c r="EF7" s="66"/>
      <c r="EG7" s="66"/>
      <c r="EH7" s="66"/>
      <c r="EI7" s="66"/>
      <c r="EJ7" s="66"/>
      <c r="EK7" s="66"/>
      <c r="EL7" s="66"/>
      <c r="EM7" s="66"/>
      <c r="EN7" s="66"/>
      <c r="EO7" s="66"/>
      <c r="EP7" s="66"/>
      <c r="EQ7" s="66"/>
      <c r="ER7" s="66"/>
      <c r="ES7" s="66"/>
      <c r="ET7" s="66"/>
      <c r="EU7" s="66"/>
      <c r="EV7" s="66"/>
      <c r="EW7" s="66"/>
      <c r="EX7" s="66"/>
      <c r="EY7" s="66"/>
      <c r="EZ7" s="66"/>
      <c r="FA7" s="66"/>
      <c r="FB7" s="66"/>
      <c r="FC7" s="66"/>
      <c r="FD7" s="66"/>
      <c r="FE7" s="66"/>
      <c r="FF7" s="66"/>
      <c r="FG7" s="66"/>
      <c r="FH7" s="66"/>
      <c r="FI7" s="66"/>
      <c r="FJ7" s="66"/>
      <c r="FK7" s="66"/>
      <c r="FL7" s="66"/>
      <c r="FM7" s="66"/>
      <c r="FN7" s="66"/>
      <c r="FO7" s="66"/>
      <c r="FP7" s="66"/>
      <c r="FQ7" s="66"/>
      <c r="FR7" s="66"/>
      <c r="FS7" s="66"/>
      <c r="FT7" s="66"/>
      <c r="FU7" s="66"/>
      <c r="FV7" s="66"/>
      <c r="FW7" s="66"/>
      <c r="FX7" s="66"/>
      <c r="FY7" s="66"/>
      <c r="FZ7" s="66"/>
      <c r="GA7" s="66"/>
      <c r="GB7" s="66"/>
      <c r="GC7" s="66"/>
      <c r="GD7" s="66"/>
      <c r="GE7" s="66"/>
      <c r="GF7" s="66"/>
      <c r="GG7" s="66"/>
      <c r="GH7" s="66"/>
      <c r="GI7" s="66"/>
      <c r="GJ7" s="66"/>
      <c r="GK7" s="66"/>
      <c r="GL7" s="66"/>
      <c r="GM7" s="66"/>
      <c r="GN7" s="66"/>
      <c r="GO7" s="66"/>
      <c r="GP7" s="66"/>
      <c r="GQ7" s="66"/>
      <c r="GR7" s="66"/>
      <c r="GS7" s="66"/>
      <c r="GT7" s="66"/>
      <c r="GU7" s="66"/>
      <c r="GV7" s="66"/>
      <c r="GW7" s="66"/>
      <c r="GX7" s="66"/>
      <c r="GY7" s="66"/>
      <c r="GZ7" s="66"/>
      <c r="HA7" s="66"/>
      <c r="HB7" s="66"/>
      <c r="HC7" s="66"/>
      <c r="HD7" s="66"/>
      <c r="HE7" s="66"/>
      <c r="HF7" s="66"/>
      <c r="HG7" s="66"/>
      <c r="HH7" s="66"/>
      <c r="HI7" s="66"/>
      <c r="HJ7" s="66"/>
      <c r="HK7" s="66"/>
      <c r="HL7" s="66"/>
      <c r="HM7" s="66"/>
      <c r="HN7" s="66"/>
      <c r="HO7" s="66"/>
      <c r="HP7" s="66"/>
      <c r="HQ7" s="66"/>
      <c r="HR7" s="66"/>
      <c r="HS7" s="66"/>
      <c r="HT7" s="66"/>
      <c r="HU7" s="66"/>
      <c r="HV7" s="66"/>
      <c r="HW7" s="66"/>
      <c r="HX7" s="66"/>
      <c r="HY7" s="66"/>
      <c r="HZ7" s="66"/>
      <c r="IA7" s="66"/>
      <c r="IB7" s="66"/>
      <c r="IC7" s="66"/>
      <c r="ID7" s="66"/>
      <c r="IE7" s="66"/>
      <c r="IF7" s="66"/>
      <c r="IG7" s="66"/>
      <c r="IH7" s="66"/>
      <c r="II7" s="66"/>
      <c r="IJ7" s="66"/>
      <c r="IK7" s="66"/>
      <c r="IL7" s="66"/>
      <c r="IM7" s="66"/>
      <c r="IN7" s="66"/>
      <c r="IO7" s="66"/>
      <c r="IP7" s="66"/>
      <c r="IQ7" s="66"/>
      <c r="IR7" s="66"/>
      <c r="IS7" s="66"/>
      <c r="IT7" s="66"/>
      <c r="IU7" s="66"/>
      <c r="IV7" s="66"/>
      <c r="IW7" s="66"/>
      <c r="IX7" s="66"/>
      <c r="IY7" s="66"/>
      <c r="IZ7" s="66"/>
      <c r="JA7" s="66"/>
      <c r="JB7" s="66"/>
      <c r="JC7" s="66"/>
      <c r="JD7" s="66"/>
      <c r="JE7" s="66"/>
      <c r="JF7" s="66"/>
      <c r="JG7" s="66"/>
      <c r="JH7" s="66"/>
      <c r="JI7" s="66"/>
      <c r="JJ7" s="66"/>
      <c r="JK7" s="66"/>
      <c r="JL7" s="66"/>
      <c r="JM7" s="66"/>
      <c r="JN7" s="66"/>
      <c r="JO7" s="66"/>
      <c r="JP7" s="66"/>
      <c r="JQ7" s="66"/>
      <c r="JR7" s="66"/>
      <c r="JS7" s="66"/>
      <c r="JT7" s="66"/>
      <c r="JU7" s="66"/>
      <c r="JV7" s="66"/>
      <c r="JW7" s="66"/>
      <c r="JX7" s="66"/>
      <c r="JY7" s="66"/>
      <c r="JZ7" s="66"/>
      <c r="KA7" s="66"/>
      <c r="KB7" s="66"/>
      <c r="KC7" s="66"/>
      <c r="KD7" s="66"/>
      <c r="KE7" s="66"/>
      <c r="KF7" s="66"/>
      <c r="KG7" s="66"/>
      <c r="KH7" s="66"/>
      <c r="KI7" s="66"/>
      <c r="KJ7" s="66"/>
      <c r="KK7" s="66"/>
      <c r="KL7" s="66"/>
      <c r="KM7" s="66"/>
      <c r="KN7" s="66"/>
      <c r="KO7" s="66"/>
      <c r="KP7" s="66"/>
      <c r="KQ7" s="66"/>
      <c r="KR7" s="66"/>
      <c r="KS7" s="66"/>
      <c r="KT7" s="66"/>
      <c r="KU7" s="66"/>
      <c r="KV7" s="66"/>
      <c r="KW7" s="66"/>
      <c r="KX7" s="66"/>
      <c r="KY7" s="66"/>
      <c r="KZ7" s="66"/>
      <c r="LA7" s="66"/>
      <c r="LB7" s="66"/>
      <c r="LC7" s="66"/>
      <c r="LD7" s="66"/>
      <c r="LE7" s="66"/>
      <c r="LF7" s="66"/>
      <c r="LG7" s="66"/>
      <c r="LH7" s="66"/>
      <c r="LI7" s="66"/>
      <c r="LJ7" s="66"/>
      <c r="LK7" s="66"/>
      <c r="LL7" s="66"/>
      <c r="LM7" s="66"/>
      <c r="LN7" s="66"/>
      <c r="LO7" s="66"/>
      <c r="LP7" s="66"/>
      <c r="LQ7" s="66"/>
      <c r="LR7" s="66"/>
      <c r="LS7" s="66"/>
      <c r="LT7" s="66"/>
      <c r="LU7" s="66"/>
      <c r="LV7" s="66"/>
      <c r="LW7" s="66"/>
      <c r="LX7" s="66"/>
      <c r="LY7" s="66"/>
      <c r="LZ7" s="66"/>
      <c r="MA7" s="66"/>
      <c r="MB7" s="66"/>
      <c r="MC7" s="66"/>
      <c r="MD7" s="66"/>
      <c r="ME7" s="66"/>
      <c r="MF7" s="66"/>
      <c r="MG7" s="66"/>
      <c r="MH7" s="66"/>
      <c r="MI7" s="66"/>
      <c r="MJ7" s="66"/>
      <c r="MK7" s="66"/>
      <c r="ML7" s="66"/>
      <c r="MM7" s="66"/>
      <c r="MN7" s="66"/>
      <c r="MO7" s="66"/>
      <c r="MP7" s="66"/>
      <c r="MQ7" s="66"/>
      <c r="MR7" s="66"/>
      <c r="MS7" s="66"/>
      <c r="MT7" s="66"/>
      <c r="MU7" s="66"/>
      <c r="MV7" s="66"/>
      <c r="MW7" s="66"/>
      <c r="MX7" s="66"/>
      <c r="MY7" s="66"/>
      <c r="MZ7" s="66"/>
      <c r="NA7" s="66"/>
      <c r="NB7" s="66"/>
      <c r="NC7" s="66"/>
      <c r="ND7" s="66"/>
      <c r="NE7" s="66"/>
      <c r="NF7" s="66"/>
      <c r="NG7" s="66"/>
      <c r="NH7" s="66"/>
      <c r="NI7" s="66"/>
      <c r="NJ7" s="66"/>
      <c r="NK7" s="66"/>
      <c r="NL7" s="66"/>
      <c r="NM7" s="66"/>
      <c r="NN7" s="66"/>
      <c r="NO7" s="66"/>
      <c r="NP7" s="66"/>
      <c r="NQ7" s="66"/>
      <c r="NR7" s="66"/>
      <c r="NS7" s="66"/>
      <c r="NT7" s="66"/>
      <c r="NU7" s="66"/>
      <c r="NV7" s="66"/>
      <c r="NW7" s="66"/>
      <c r="NX7" s="66"/>
      <c r="NY7" s="66"/>
      <c r="NZ7" s="66"/>
      <c r="OA7" s="66"/>
      <c r="OB7" s="66"/>
      <c r="OC7" s="66"/>
      <c r="OD7" s="66"/>
      <c r="OE7" s="66"/>
      <c r="OF7" s="66"/>
      <c r="OG7" s="66"/>
      <c r="OH7" s="66"/>
      <c r="OI7" s="66"/>
      <c r="OJ7" s="66"/>
      <c r="OK7" s="66"/>
      <c r="OL7" s="66"/>
      <c r="OM7" s="66"/>
      <c r="ON7" s="66"/>
      <c r="OO7" s="66"/>
      <c r="OP7" s="66"/>
      <c r="OQ7" s="66"/>
      <c r="OR7" s="66"/>
      <c r="OS7" s="66"/>
      <c r="OT7" s="66"/>
      <c r="OU7" s="66"/>
      <c r="OV7" s="66"/>
      <c r="OW7" s="66"/>
      <c r="OX7" s="66"/>
      <c r="OY7" s="66"/>
      <c r="OZ7" s="66"/>
      <c r="PA7" s="66"/>
      <c r="PB7" s="66"/>
      <c r="PC7" s="66"/>
      <c r="PD7" s="66"/>
      <c r="PE7" s="66"/>
      <c r="PF7" s="66"/>
      <c r="PG7" s="66"/>
      <c r="PH7" s="66"/>
      <c r="PI7" s="66"/>
      <c r="PJ7" s="66"/>
      <c r="PK7" s="66"/>
      <c r="PL7" s="66"/>
      <c r="PM7" s="66"/>
      <c r="PN7" s="66"/>
      <c r="PO7" s="66"/>
      <c r="PP7" s="66"/>
      <c r="PQ7" s="66"/>
      <c r="PR7" s="66"/>
      <c r="PS7" s="66"/>
      <c r="PT7" s="66"/>
      <c r="PU7" s="66"/>
      <c r="PV7" s="66"/>
      <c r="PW7" s="66"/>
      <c r="PX7" s="66"/>
      <c r="PY7" s="66"/>
      <c r="PZ7" s="66"/>
      <c r="QA7" s="66"/>
      <c r="QB7" s="66"/>
      <c r="QC7" s="66"/>
      <c r="QD7" s="66"/>
      <c r="QE7" s="66"/>
      <c r="QF7" s="66"/>
      <c r="QG7" s="66"/>
      <c r="QH7" s="66"/>
      <c r="QI7" s="66"/>
      <c r="QJ7" s="66"/>
      <c r="QK7" s="66"/>
      <c r="QL7" s="66"/>
      <c r="QM7" s="66"/>
      <c r="QN7" s="66"/>
      <c r="QO7" s="66"/>
      <c r="QP7" s="66"/>
      <c r="QQ7" s="66"/>
      <c r="QR7" s="66"/>
      <c r="QS7" s="66"/>
      <c r="QT7" s="66"/>
      <c r="QU7" s="66"/>
      <c r="QV7" s="66"/>
      <c r="QW7" s="66"/>
      <c r="QX7" s="66"/>
      <c r="QY7" s="66"/>
      <c r="QZ7" s="66"/>
      <c r="RA7" s="66"/>
      <c r="RB7" s="66"/>
      <c r="RC7" s="66"/>
      <c r="RD7" s="66"/>
      <c r="RE7" s="66"/>
      <c r="RF7" s="66"/>
      <c r="RG7" s="66"/>
      <c r="RH7" s="66"/>
      <c r="RI7" s="66"/>
      <c r="RJ7" s="66"/>
      <c r="RK7" s="66"/>
      <c r="RL7" s="66"/>
      <c r="RM7" s="66"/>
      <c r="RN7" s="66"/>
      <c r="RO7" s="66"/>
      <c r="RP7" s="66"/>
      <c r="RQ7" s="66"/>
      <c r="RR7" s="66"/>
      <c r="RS7" s="66"/>
      <c r="RT7" s="66"/>
      <c r="RU7" s="66"/>
      <c r="RV7" s="66"/>
      <c r="RW7" s="66"/>
      <c r="RX7" s="66"/>
      <c r="RY7" s="66"/>
      <c r="RZ7" s="66"/>
      <c r="SA7" s="66"/>
      <c r="SB7" s="66"/>
      <c r="SC7" s="66"/>
      <c r="SD7" s="66"/>
      <c r="SE7" s="66"/>
      <c r="SF7" s="66"/>
      <c r="SG7" s="66"/>
      <c r="SH7" s="66"/>
      <c r="SI7" s="66"/>
      <c r="SJ7" s="66"/>
      <c r="SK7" s="66"/>
      <c r="SL7" s="66"/>
      <c r="SM7" s="66"/>
      <c r="SN7" s="66"/>
      <c r="SO7" s="66"/>
      <c r="SP7" s="66"/>
      <c r="SQ7" s="66"/>
      <c r="SR7" s="66"/>
      <c r="SS7" s="66"/>
      <c r="ST7" s="66"/>
      <c r="SU7" s="66"/>
      <c r="SV7" s="66"/>
      <c r="SW7" s="66"/>
      <c r="SX7" s="66"/>
      <c r="SY7" s="66"/>
      <c r="SZ7" s="66"/>
      <c r="TA7" s="66"/>
      <c r="TB7" s="66"/>
      <c r="TC7" s="66"/>
      <c r="TD7" s="66"/>
      <c r="TE7" s="66"/>
      <c r="TF7" s="66"/>
      <c r="TG7" s="66"/>
      <c r="TH7" s="66"/>
      <c r="TI7" s="66"/>
      <c r="TJ7" s="66"/>
      <c r="TK7" s="66"/>
      <c r="TL7" s="66"/>
      <c r="TM7" s="66"/>
      <c r="TN7" s="66"/>
      <c r="TO7" s="66"/>
      <c r="TP7" s="66"/>
      <c r="TQ7" s="66"/>
      <c r="TR7" s="66"/>
      <c r="TS7" s="66"/>
      <c r="TT7" s="66"/>
      <c r="TU7" s="66"/>
      <c r="TV7" s="66"/>
      <c r="TW7" s="66"/>
      <c r="TX7" s="66"/>
      <c r="TY7" s="66"/>
      <c r="TZ7" s="66"/>
      <c r="UA7" s="66"/>
      <c r="UB7" s="66"/>
      <c r="UC7" s="66"/>
      <c r="UD7" s="66"/>
      <c r="UE7" s="66"/>
      <c r="UF7" s="66"/>
      <c r="UG7" s="66"/>
      <c r="UH7" s="66"/>
      <c r="UI7" s="66"/>
      <c r="UJ7" s="66"/>
      <c r="UK7" s="66"/>
      <c r="UL7" s="66"/>
      <c r="UM7" s="66"/>
      <c r="UN7" s="66"/>
      <c r="UO7" s="66"/>
      <c r="UP7" s="66"/>
      <c r="UQ7" s="66"/>
      <c r="UR7" s="66"/>
      <c r="US7" s="66"/>
      <c r="UT7" s="66"/>
      <c r="UU7" s="66"/>
      <c r="UV7" s="66"/>
      <c r="UW7" s="66"/>
      <c r="UX7" s="66"/>
      <c r="UY7" s="66"/>
      <c r="UZ7" s="66"/>
      <c r="VA7" s="66"/>
      <c r="VB7" s="66"/>
      <c r="VC7" s="66"/>
      <c r="VD7" s="66"/>
      <c r="VE7" s="66"/>
      <c r="VF7" s="66"/>
      <c r="VG7" s="66"/>
      <c r="VH7" s="66"/>
      <c r="VI7" s="66"/>
      <c r="VJ7" s="66"/>
      <c r="VK7" s="66"/>
      <c r="VL7" s="66"/>
      <c r="VM7" s="66"/>
      <c r="VN7" s="66"/>
      <c r="VO7" s="66"/>
      <c r="VP7" s="66"/>
      <c r="VQ7" s="66"/>
      <c r="VR7" s="66"/>
      <c r="VS7" s="66"/>
      <c r="VT7" s="66"/>
      <c r="VU7" s="66"/>
      <c r="VV7" s="66"/>
      <c r="VW7" s="66"/>
      <c r="VX7" s="66"/>
      <c r="VY7" s="66"/>
      <c r="VZ7" s="66"/>
      <c r="WA7" s="66"/>
      <c r="WB7" s="66"/>
      <c r="WC7" s="66"/>
      <c r="WD7" s="66"/>
      <c r="WE7" s="66"/>
      <c r="WF7" s="66"/>
      <c r="WG7" s="66"/>
      <c r="WH7" s="66"/>
      <c r="WI7" s="66"/>
      <c r="WJ7" s="66"/>
      <c r="WK7" s="66"/>
      <c r="WL7" s="66"/>
      <c r="WM7" s="66"/>
      <c r="WN7" s="66"/>
      <c r="WO7" s="66"/>
      <c r="WP7" s="66"/>
      <c r="WQ7" s="66"/>
      <c r="WR7" s="66"/>
      <c r="WS7" s="66"/>
      <c r="WT7" s="66"/>
      <c r="WU7" s="66"/>
      <c r="WV7" s="66"/>
      <c r="WW7" s="66"/>
      <c r="WX7" s="66"/>
      <c r="WY7" s="66"/>
      <c r="WZ7" s="66"/>
      <c r="XA7" s="66"/>
      <c r="XB7" s="66"/>
      <c r="XC7" s="66"/>
      <c r="XD7" s="66"/>
      <c r="XE7" s="66"/>
      <c r="XF7" s="66"/>
      <c r="XG7" s="66"/>
      <c r="XH7" s="66"/>
      <c r="XI7" s="66"/>
      <c r="XJ7" s="66"/>
      <c r="XK7" s="66"/>
      <c r="XL7" s="66"/>
      <c r="XM7" s="66"/>
      <c r="XN7" s="66"/>
      <c r="XO7" s="66"/>
      <c r="XP7" s="66"/>
      <c r="XQ7" s="66"/>
      <c r="XR7" s="66"/>
      <c r="XS7" s="66"/>
      <c r="XT7" s="66"/>
      <c r="XU7" s="66"/>
      <c r="XV7" s="66"/>
      <c r="XW7" s="66"/>
      <c r="XX7" s="66"/>
      <c r="XY7" s="66"/>
      <c r="XZ7" s="66"/>
      <c r="YA7" s="66"/>
      <c r="YB7" s="66"/>
      <c r="YC7" s="66"/>
      <c r="YD7" s="66"/>
      <c r="YE7" s="66"/>
      <c r="YF7" s="66"/>
      <c r="YG7" s="66"/>
      <c r="YH7" s="66"/>
      <c r="YI7" s="66"/>
      <c r="YJ7" s="66"/>
      <c r="YK7" s="66"/>
      <c r="YL7" s="66"/>
      <c r="YM7" s="66"/>
      <c r="YN7" s="66"/>
      <c r="YO7" s="66"/>
      <c r="YP7" s="66"/>
      <c r="YQ7" s="66"/>
      <c r="YR7" s="66"/>
      <c r="YS7" s="66"/>
      <c r="YT7" s="66"/>
      <c r="YU7" s="66"/>
      <c r="YV7" s="66"/>
      <c r="YW7" s="66"/>
      <c r="YX7" s="66"/>
      <c r="YY7" s="66"/>
      <c r="YZ7" s="66"/>
      <c r="ZA7" s="66"/>
      <c r="ZB7" s="66"/>
      <c r="ZC7" s="66"/>
      <c r="ZD7" s="66"/>
      <c r="ZE7" s="66"/>
      <c r="ZF7" s="66"/>
      <c r="ZG7" s="66"/>
      <c r="ZH7" s="66"/>
      <c r="ZI7" s="66"/>
      <c r="ZJ7" s="66"/>
      <c r="ZK7" s="66"/>
      <c r="ZL7" s="66"/>
      <c r="ZM7" s="66"/>
      <c r="ZN7" s="66"/>
      <c r="ZO7" s="66"/>
      <c r="ZP7" s="66"/>
      <c r="ZQ7" s="66"/>
      <c r="ZR7" s="66"/>
      <c r="ZS7" s="66"/>
      <c r="ZT7" s="66"/>
      <c r="ZU7" s="66"/>
      <c r="ZV7" s="66"/>
      <c r="ZW7" s="66"/>
      <c r="ZX7" s="66"/>
    </row>
    <row r="8" spans="1:700" s="20" customFormat="1" ht="15.75" x14ac:dyDescent="0.25">
      <c r="A8" s="72"/>
      <c r="B8" s="73"/>
      <c r="C8" s="73"/>
      <c r="D8" s="108"/>
      <c r="E8" s="129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  <c r="CH8" s="66"/>
      <c r="CI8" s="66"/>
      <c r="CJ8" s="66"/>
      <c r="CK8" s="66"/>
      <c r="CL8" s="66"/>
      <c r="CM8" s="66"/>
      <c r="CN8" s="66"/>
      <c r="CO8" s="66"/>
      <c r="CP8" s="66"/>
      <c r="CQ8" s="66"/>
      <c r="CR8" s="66"/>
      <c r="CS8" s="66"/>
      <c r="CT8" s="66"/>
      <c r="CU8" s="66"/>
      <c r="CV8" s="66"/>
      <c r="CW8" s="66"/>
      <c r="CX8" s="66"/>
      <c r="CY8" s="66"/>
      <c r="CZ8" s="66"/>
      <c r="DA8" s="66"/>
      <c r="DB8" s="66"/>
      <c r="DC8" s="66"/>
      <c r="DD8" s="66"/>
      <c r="DE8" s="66"/>
      <c r="DF8" s="66"/>
      <c r="DG8" s="66"/>
      <c r="DH8" s="66"/>
      <c r="DI8" s="66"/>
      <c r="DJ8" s="66"/>
      <c r="DK8" s="66"/>
      <c r="DL8" s="66"/>
      <c r="DM8" s="66"/>
      <c r="DN8" s="66"/>
      <c r="DO8" s="66"/>
      <c r="DP8" s="66"/>
      <c r="DQ8" s="66"/>
      <c r="DR8" s="66"/>
      <c r="DS8" s="66"/>
      <c r="DT8" s="66"/>
      <c r="DU8" s="66"/>
      <c r="DV8" s="66"/>
      <c r="DW8" s="66"/>
      <c r="DX8" s="66"/>
      <c r="DY8" s="66"/>
      <c r="DZ8" s="66"/>
      <c r="EA8" s="66"/>
      <c r="EB8" s="66"/>
      <c r="EC8" s="66"/>
      <c r="ED8" s="66"/>
      <c r="EE8" s="66"/>
      <c r="EF8" s="66"/>
      <c r="EG8" s="66"/>
      <c r="EH8" s="66"/>
      <c r="EI8" s="66"/>
      <c r="EJ8" s="66"/>
      <c r="EK8" s="66"/>
      <c r="EL8" s="66"/>
      <c r="EM8" s="66"/>
      <c r="EN8" s="66"/>
      <c r="EO8" s="66"/>
      <c r="EP8" s="66"/>
      <c r="EQ8" s="66"/>
      <c r="ER8" s="66"/>
      <c r="ES8" s="66"/>
      <c r="ET8" s="66"/>
      <c r="EU8" s="66"/>
      <c r="EV8" s="66"/>
      <c r="EW8" s="66"/>
      <c r="EX8" s="66"/>
      <c r="EY8" s="66"/>
      <c r="EZ8" s="66"/>
      <c r="FA8" s="66"/>
      <c r="FB8" s="66"/>
      <c r="FC8" s="66"/>
      <c r="FD8" s="66"/>
      <c r="FE8" s="66"/>
      <c r="FF8" s="66"/>
      <c r="FG8" s="66"/>
      <c r="FH8" s="66"/>
      <c r="FI8" s="66"/>
      <c r="FJ8" s="66"/>
      <c r="FK8" s="66"/>
      <c r="FL8" s="66"/>
      <c r="FM8" s="66"/>
      <c r="FN8" s="66"/>
      <c r="FO8" s="66"/>
      <c r="FP8" s="66"/>
      <c r="FQ8" s="66"/>
      <c r="FR8" s="66"/>
      <c r="FS8" s="66"/>
      <c r="FT8" s="66"/>
      <c r="FU8" s="66"/>
      <c r="FV8" s="66"/>
      <c r="FW8" s="66"/>
      <c r="FX8" s="66"/>
      <c r="FY8" s="66"/>
      <c r="FZ8" s="66"/>
      <c r="GA8" s="66"/>
      <c r="GB8" s="66"/>
      <c r="GC8" s="66"/>
      <c r="GD8" s="66"/>
      <c r="GE8" s="66"/>
      <c r="GF8" s="66"/>
      <c r="GG8" s="66"/>
      <c r="GH8" s="66"/>
      <c r="GI8" s="66"/>
      <c r="GJ8" s="66"/>
      <c r="GK8" s="66"/>
      <c r="GL8" s="66"/>
      <c r="GM8" s="66"/>
      <c r="GN8" s="66"/>
      <c r="GO8" s="66"/>
      <c r="GP8" s="66"/>
      <c r="GQ8" s="66"/>
      <c r="GR8" s="66"/>
      <c r="GS8" s="66"/>
      <c r="GT8" s="66"/>
      <c r="GU8" s="66"/>
      <c r="GV8" s="66"/>
      <c r="GW8" s="66"/>
      <c r="GX8" s="66"/>
      <c r="GY8" s="66"/>
      <c r="GZ8" s="66"/>
      <c r="HA8" s="66"/>
      <c r="HB8" s="66"/>
      <c r="HC8" s="66"/>
      <c r="HD8" s="66"/>
      <c r="HE8" s="66"/>
      <c r="HF8" s="66"/>
      <c r="HG8" s="66"/>
      <c r="HH8" s="66"/>
      <c r="HI8" s="66"/>
      <c r="HJ8" s="66"/>
      <c r="HK8" s="66"/>
      <c r="HL8" s="66"/>
      <c r="HM8" s="66"/>
      <c r="HN8" s="66"/>
      <c r="HO8" s="66"/>
      <c r="HP8" s="66"/>
      <c r="HQ8" s="66"/>
      <c r="HR8" s="66"/>
      <c r="HS8" s="66"/>
      <c r="HT8" s="66"/>
      <c r="HU8" s="66"/>
      <c r="HV8" s="66"/>
      <c r="HW8" s="66"/>
      <c r="HX8" s="66"/>
      <c r="HY8" s="66"/>
      <c r="HZ8" s="66"/>
      <c r="IA8" s="66"/>
      <c r="IB8" s="66"/>
      <c r="IC8" s="66"/>
      <c r="ID8" s="66"/>
      <c r="IE8" s="66"/>
      <c r="IF8" s="66"/>
      <c r="IG8" s="66"/>
      <c r="IH8" s="66"/>
      <c r="II8" s="66"/>
      <c r="IJ8" s="66"/>
      <c r="IK8" s="66"/>
      <c r="IL8" s="66"/>
      <c r="IM8" s="66"/>
      <c r="IN8" s="66"/>
      <c r="IO8" s="66"/>
      <c r="IP8" s="66"/>
      <c r="IQ8" s="66"/>
      <c r="IR8" s="66"/>
      <c r="IS8" s="66"/>
      <c r="IT8" s="66"/>
      <c r="IU8" s="66"/>
      <c r="IV8" s="66"/>
      <c r="IW8" s="66"/>
      <c r="IX8" s="66"/>
      <c r="IY8" s="66"/>
      <c r="IZ8" s="66"/>
      <c r="JA8" s="66"/>
      <c r="JB8" s="66"/>
      <c r="JC8" s="66"/>
      <c r="JD8" s="66"/>
      <c r="JE8" s="66"/>
      <c r="JF8" s="66"/>
      <c r="JG8" s="66"/>
      <c r="JH8" s="66"/>
      <c r="JI8" s="66"/>
      <c r="JJ8" s="66"/>
      <c r="JK8" s="66"/>
      <c r="JL8" s="66"/>
      <c r="JM8" s="66"/>
      <c r="JN8" s="66"/>
      <c r="JO8" s="66"/>
      <c r="JP8" s="66"/>
      <c r="JQ8" s="66"/>
      <c r="JR8" s="66"/>
      <c r="JS8" s="66"/>
      <c r="JT8" s="66"/>
      <c r="JU8" s="66"/>
      <c r="JV8" s="66"/>
      <c r="JW8" s="66"/>
      <c r="JX8" s="66"/>
      <c r="JY8" s="66"/>
      <c r="JZ8" s="66"/>
      <c r="KA8" s="66"/>
      <c r="KB8" s="66"/>
      <c r="KC8" s="66"/>
      <c r="KD8" s="66"/>
      <c r="KE8" s="66"/>
      <c r="KF8" s="66"/>
      <c r="KG8" s="66"/>
      <c r="KH8" s="66"/>
      <c r="KI8" s="66"/>
      <c r="KJ8" s="66"/>
      <c r="KK8" s="66"/>
      <c r="KL8" s="66"/>
      <c r="KM8" s="66"/>
      <c r="KN8" s="66"/>
      <c r="KO8" s="66"/>
      <c r="KP8" s="66"/>
      <c r="KQ8" s="66"/>
      <c r="KR8" s="66"/>
      <c r="KS8" s="66"/>
      <c r="KT8" s="66"/>
      <c r="KU8" s="66"/>
      <c r="KV8" s="66"/>
      <c r="KW8" s="66"/>
      <c r="KX8" s="66"/>
      <c r="KY8" s="66"/>
      <c r="KZ8" s="66"/>
      <c r="LA8" s="66"/>
      <c r="LB8" s="66"/>
      <c r="LC8" s="66"/>
      <c r="LD8" s="66"/>
      <c r="LE8" s="66"/>
      <c r="LF8" s="66"/>
      <c r="LG8" s="66"/>
      <c r="LH8" s="66"/>
      <c r="LI8" s="66"/>
      <c r="LJ8" s="66"/>
      <c r="LK8" s="66"/>
      <c r="LL8" s="66"/>
      <c r="LM8" s="66"/>
      <c r="LN8" s="66"/>
      <c r="LO8" s="66"/>
      <c r="LP8" s="66"/>
      <c r="LQ8" s="66"/>
      <c r="LR8" s="66"/>
      <c r="LS8" s="66"/>
      <c r="LT8" s="66"/>
      <c r="LU8" s="66"/>
      <c r="LV8" s="66"/>
      <c r="LW8" s="66"/>
      <c r="LX8" s="66"/>
      <c r="LY8" s="66"/>
      <c r="LZ8" s="66"/>
      <c r="MA8" s="66"/>
      <c r="MB8" s="66"/>
      <c r="MC8" s="66"/>
      <c r="MD8" s="66"/>
      <c r="ME8" s="66"/>
      <c r="MF8" s="66"/>
      <c r="MG8" s="66"/>
      <c r="MH8" s="66"/>
      <c r="MI8" s="66"/>
      <c r="MJ8" s="66"/>
      <c r="MK8" s="66"/>
      <c r="ML8" s="66"/>
      <c r="MM8" s="66"/>
      <c r="MN8" s="66"/>
      <c r="MO8" s="66"/>
      <c r="MP8" s="66"/>
      <c r="MQ8" s="66"/>
      <c r="MR8" s="66"/>
      <c r="MS8" s="66"/>
      <c r="MT8" s="66"/>
      <c r="MU8" s="66"/>
      <c r="MV8" s="66"/>
      <c r="MW8" s="66"/>
      <c r="MX8" s="66"/>
      <c r="MY8" s="66"/>
      <c r="MZ8" s="66"/>
      <c r="NA8" s="66"/>
      <c r="NB8" s="66"/>
      <c r="NC8" s="66"/>
      <c r="ND8" s="66"/>
      <c r="NE8" s="66"/>
      <c r="NF8" s="66"/>
      <c r="NG8" s="66"/>
      <c r="NH8" s="66"/>
      <c r="NI8" s="66"/>
      <c r="NJ8" s="66"/>
      <c r="NK8" s="66"/>
      <c r="NL8" s="66"/>
      <c r="NM8" s="66"/>
      <c r="NN8" s="66"/>
      <c r="NO8" s="66"/>
      <c r="NP8" s="66"/>
      <c r="NQ8" s="66"/>
      <c r="NR8" s="66"/>
      <c r="NS8" s="66"/>
      <c r="NT8" s="66"/>
      <c r="NU8" s="66"/>
      <c r="NV8" s="66"/>
      <c r="NW8" s="66"/>
      <c r="NX8" s="66"/>
      <c r="NY8" s="66"/>
      <c r="NZ8" s="66"/>
      <c r="OA8" s="66"/>
      <c r="OB8" s="66"/>
      <c r="OC8" s="66"/>
      <c r="OD8" s="66"/>
      <c r="OE8" s="66"/>
      <c r="OF8" s="66"/>
      <c r="OG8" s="66"/>
      <c r="OH8" s="66"/>
      <c r="OI8" s="66"/>
      <c r="OJ8" s="66"/>
      <c r="OK8" s="66"/>
      <c r="OL8" s="66"/>
      <c r="OM8" s="66"/>
      <c r="ON8" s="66"/>
      <c r="OO8" s="66"/>
      <c r="OP8" s="66"/>
      <c r="OQ8" s="66"/>
      <c r="OR8" s="66"/>
      <c r="OS8" s="66"/>
      <c r="OT8" s="66"/>
      <c r="OU8" s="66"/>
      <c r="OV8" s="66"/>
      <c r="OW8" s="66"/>
      <c r="OX8" s="66"/>
      <c r="OY8" s="66"/>
      <c r="OZ8" s="66"/>
      <c r="PA8" s="66"/>
      <c r="PB8" s="66"/>
      <c r="PC8" s="66"/>
      <c r="PD8" s="66"/>
      <c r="PE8" s="66"/>
      <c r="PF8" s="66"/>
      <c r="PG8" s="66"/>
      <c r="PH8" s="66"/>
      <c r="PI8" s="66"/>
      <c r="PJ8" s="66"/>
      <c r="PK8" s="66"/>
      <c r="PL8" s="66"/>
      <c r="PM8" s="66"/>
      <c r="PN8" s="66"/>
      <c r="PO8" s="66"/>
      <c r="PP8" s="66"/>
      <c r="PQ8" s="66"/>
      <c r="PR8" s="66"/>
      <c r="PS8" s="66"/>
      <c r="PT8" s="66"/>
      <c r="PU8" s="66"/>
      <c r="PV8" s="66"/>
      <c r="PW8" s="66"/>
      <c r="PX8" s="66"/>
      <c r="PY8" s="66"/>
      <c r="PZ8" s="66"/>
      <c r="QA8" s="66"/>
      <c r="QB8" s="66"/>
      <c r="QC8" s="66"/>
      <c r="QD8" s="66"/>
      <c r="QE8" s="66"/>
      <c r="QF8" s="66"/>
      <c r="QG8" s="66"/>
      <c r="QH8" s="66"/>
      <c r="QI8" s="66"/>
      <c r="QJ8" s="66"/>
      <c r="QK8" s="66"/>
      <c r="QL8" s="66"/>
      <c r="QM8" s="66"/>
      <c r="QN8" s="66"/>
      <c r="QO8" s="66"/>
      <c r="QP8" s="66"/>
      <c r="QQ8" s="66"/>
      <c r="QR8" s="66"/>
      <c r="QS8" s="66"/>
      <c r="QT8" s="66"/>
      <c r="QU8" s="66"/>
      <c r="QV8" s="66"/>
      <c r="QW8" s="66"/>
      <c r="QX8" s="66"/>
      <c r="QY8" s="66"/>
      <c r="QZ8" s="66"/>
      <c r="RA8" s="66"/>
      <c r="RB8" s="66"/>
      <c r="RC8" s="66"/>
      <c r="RD8" s="66"/>
      <c r="RE8" s="66"/>
      <c r="RF8" s="66"/>
      <c r="RG8" s="66"/>
      <c r="RH8" s="66"/>
      <c r="RI8" s="66"/>
      <c r="RJ8" s="66"/>
      <c r="RK8" s="66"/>
      <c r="RL8" s="66"/>
      <c r="RM8" s="66"/>
      <c r="RN8" s="66"/>
      <c r="RO8" s="66"/>
      <c r="RP8" s="66"/>
      <c r="RQ8" s="66"/>
      <c r="RR8" s="66"/>
      <c r="RS8" s="66"/>
      <c r="RT8" s="66"/>
      <c r="RU8" s="66"/>
      <c r="RV8" s="66"/>
      <c r="RW8" s="66"/>
      <c r="RX8" s="66"/>
      <c r="RY8" s="66"/>
      <c r="RZ8" s="66"/>
      <c r="SA8" s="66"/>
      <c r="SB8" s="66"/>
      <c r="SC8" s="66"/>
      <c r="SD8" s="66"/>
      <c r="SE8" s="66"/>
      <c r="SF8" s="66"/>
      <c r="SG8" s="66"/>
      <c r="SH8" s="66"/>
      <c r="SI8" s="66"/>
      <c r="SJ8" s="66"/>
      <c r="SK8" s="66"/>
      <c r="SL8" s="66"/>
      <c r="SM8" s="66"/>
      <c r="SN8" s="66"/>
      <c r="SO8" s="66"/>
      <c r="SP8" s="66"/>
      <c r="SQ8" s="66"/>
      <c r="SR8" s="66"/>
      <c r="SS8" s="66"/>
      <c r="ST8" s="66"/>
      <c r="SU8" s="66"/>
      <c r="SV8" s="66"/>
      <c r="SW8" s="66"/>
      <c r="SX8" s="66"/>
      <c r="SY8" s="66"/>
      <c r="SZ8" s="66"/>
      <c r="TA8" s="66"/>
      <c r="TB8" s="66"/>
      <c r="TC8" s="66"/>
      <c r="TD8" s="66"/>
      <c r="TE8" s="66"/>
      <c r="TF8" s="66"/>
      <c r="TG8" s="66"/>
      <c r="TH8" s="66"/>
      <c r="TI8" s="66"/>
      <c r="TJ8" s="66"/>
      <c r="TK8" s="66"/>
      <c r="TL8" s="66"/>
      <c r="TM8" s="66"/>
      <c r="TN8" s="66"/>
      <c r="TO8" s="66"/>
      <c r="TP8" s="66"/>
      <c r="TQ8" s="66"/>
      <c r="TR8" s="66"/>
      <c r="TS8" s="66"/>
      <c r="TT8" s="66"/>
      <c r="TU8" s="66"/>
      <c r="TV8" s="66"/>
      <c r="TW8" s="66"/>
      <c r="TX8" s="66"/>
      <c r="TY8" s="66"/>
      <c r="TZ8" s="66"/>
      <c r="UA8" s="66"/>
      <c r="UB8" s="66"/>
      <c r="UC8" s="66"/>
      <c r="UD8" s="66"/>
      <c r="UE8" s="66"/>
      <c r="UF8" s="66"/>
      <c r="UG8" s="66"/>
      <c r="UH8" s="66"/>
      <c r="UI8" s="66"/>
      <c r="UJ8" s="66"/>
      <c r="UK8" s="66"/>
      <c r="UL8" s="66"/>
      <c r="UM8" s="66"/>
      <c r="UN8" s="66"/>
      <c r="UO8" s="66"/>
      <c r="UP8" s="66"/>
      <c r="UQ8" s="66"/>
      <c r="UR8" s="66"/>
      <c r="US8" s="66"/>
      <c r="UT8" s="66"/>
      <c r="UU8" s="66"/>
      <c r="UV8" s="66"/>
      <c r="UW8" s="66"/>
      <c r="UX8" s="66"/>
      <c r="UY8" s="66"/>
      <c r="UZ8" s="66"/>
      <c r="VA8" s="66"/>
      <c r="VB8" s="66"/>
      <c r="VC8" s="66"/>
      <c r="VD8" s="66"/>
      <c r="VE8" s="66"/>
      <c r="VF8" s="66"/>
      <c r="VG8" s="66"/>
      <c r="VH8" s="66"/>
      <c r="VI8" s="66"/>
      <c r="VJ8" s="66"/>
      <c r="VK8" s="66"/>
      <c r="VL8" s="66"/>
      <c r="VM8" s="66"/>
      <c r="VN8" s="66"/>
      <c r="VO8" s="66"/>
      <c r="VP8" s="66"/>
      <c r="VQ8" s="66"/>
      <c r="VR8" s="66"/>
      <c r="VS8" s="66"/>
      <c r="VT8" s="66"/>
      <c r="VU8" s="66"/>
      <c r="VV8" s="66"/>
      <c r="VW8" s="66"/>
      <c r="VX8" s="66"/>
      <c r="VY8" s="66"/>
      <c r="VZ8" s="66"/>
      <c r="WA8" s="66"/>
      <c r="WB8" s="66"/>
      <c r="WC8" s="66"/>
      <c r="WD8" s="66"/>
      <c r="WE8" s="66"/>
      <c r="WF8" s="66"/>
      <c r="WG8" s="66"/>
      <c r="WH8" s="66"/>
      <c r="WI8" s="66"/>
      <c r="WJ8" s="66"/>
      <c r="WK8" s="66"/>
      <c r="WL8" s="66"/>
      <c r="WM8" s="66"/>
      <c r="WN8" s="66"/>
      <c r="WO8" s="66"/>
      <c r="WP8" s="66"/>
      <c r="WQ8" s="66"/>
      <c r="WR8" s="66"/>
      <c r="WS8" s="66"/>
      <c r="WT8" s="66"/>
      <c r="WU8" s="66"/>
      <c r="WV8" s="66"/>
      <c r="WW8" s="66"/>
      <c r="WX8" s="66"/>
      <c r="WY8" s="66"/>
      <c r="WZ8" s="66"/>
      <c r="XA8" s="66"/>
      <c r="XB8" s="66"/>
      <c r="XC8" s="66"/>
      <c r="XD8" s="66"/>
      <c r="XE8" s="66"/>
      <c r="XF8" s="66"/>
      <c r="XG8" s="66"/>
      <c r="XH8" s="66"/>
      <c r="XI8" s="66"/>
      <c r="XJ8" s="66"/>
      <c r="XK8" s="66"/>
      <c r="XL8" s="66"/>
      <c r="XM8" s="66"/>
      <c r="XN8" s="66"/>
      <c r="XO8" s="66"/>
      <c r="XP8" s="66"/>
      <c r="XQ8" s="66"/>
      <c r="XR8" s="66"/>
      <c r="XS8" s="66"/>
      <c r="XT8" s="66"/>
      <c r="XU8" s="66"/>
      <c r="XV8" s="66"/>
      <c r="XW8" s="66"/>
      <c r="XX8" s="66"/>
      <c r="XY8" s="66"/>
      <c r="XZ8" s="66"/>
      <c r="YA8" s="66"/>
      <c r="YB8" s="66"/>
      <c r="YC8" s="66"/>
      <c r="YD8" s="66"/>
      <c r="YE8" s="66"/>
      <c r="YF8" s="66"/>
      <c r="YG8" s="66"/>
      <c r="YH8" s="66"/>
      <c r="YI8" s="66"/>
      <c r="YJ8" s="66"/>
      <c r="YK8" s="66"/>
      <c r="YL8" s="66"/>
      <c r="YM8" s="66"/>
      <c r="YN8" s="66"/>
      <c r="YO8" s="66"/>
      <c r="YP8" s="66"/>
      <c r="YQ8" s="66"/>
      <c r="YR8" s="66"/>
      <c r="YS8" s="66"/>
      <c r="YT8" s="66"/>
      <c r="YU8" s="66"/>
      <c r="YV8" s="66"/>
      <c r="YW8" s="66"/>
      <c r="YX8" s="66"/>
      <c r="YY8" s="66"/>
      <c r="YZ8" s="66"/>
      <c r="ZA8" s="66"/>
      <c r="ZB8" s="66"/>
      <c r="ZC8" s="66"/>
      <c r="ZD8" s="66"/>
      <c r="ZE8" s="66"/>
      <c r="ZF8" s="66"/>
      <c r="ZG8" s="66"/>
      <c r="ZH8" s="66"/>
      <c r="ZI8" s="66"/>
      <c r="ZJ8" s="66"/>
      <c r="ZK8" s="66"/>
      <c r="ZL8" s="66"/>
      <c r="ZM8" s="66"/>
      <c r="ZN8" s="66"/>
      <c r="ZO8" s="66"/>
      <c r="ZP8" s="66"/>
      <c r="ZQ8" s="66"/>
      <c r="ZR8" s="66"/>
      <c r="ZS8" s="66"/>
      <c r="ZT8" s="66"/>
      <c r="ZU8" s="66"/>
      <c r="ZV8" s="66"/>
      <c r="ZW8" s="66"/>
      <c r="ZX8" s="66"/>
    </row>
    <row r="9" spans="1:700" s="20" customFormat="1" ht="15.75" x14ac:dyDescent="0.25">
      <c r="A9" s="70"/>
      <c r="B9" s="71"/>
      <c r="C9" s="71"/>
      <c r="D9" s="109"/>
      <c r="E9" s="111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  <c r="CH9" s="66"/>
      <c r="CI9" s="66"/>
      <c r="CJ9" s="66"/>
      <c r="CK9" s="66"/>
      <c r="CL9" s="66"/>
      <c r="CM9" s="66"/>
      <c r="CN9" s="66"/>
      <c r="CO9" s="66"/>
      <c r="CP9" s="66"/>
      <c r="CQ9" s="66"/>
      <c r="CR9" s="66"/>
      <c r="CS9" s="66"/>
      <c r="CT9" s="66"/>
      <c r="CU9" s="66"/>
      <c r="CV9" s="66"/>
      <c r="CW9" s="66"/>
      <c r="CX9" s="66"/>
      <c r="CY9" s="66"/>
      <c r="CZ9" s="66"/>
      <c r="DA9" s="66"/>
      <c r="DB9" s="66"/>
      <c r="DC9" s="66"/>
      <c r="DD9" s="66"/>
      <c r="DE9" s="66"/>
      <c r="DF9" s="66"/>
      <c r="DG9" s="66"/>
      <c r="DH9" s="66"/>
      <c r="DI9" s="66"/>
      <c r="DJ9" s="66"/>
      <c r="DK9" s="66"/>
      <c r="DL9" s="66"/>
      <c r="DM9" s="66"/>
      <c r="DN9" s="66"/>
      <c r="DO9" s="66"/>
      <c r="DP9" s="66"/>
      <c r="DQ9" s="66"/>
      <c r="DR9" s="66"/>
      <c r="DS9" s="66"/>
      <c r="DT9" s="66"/>
      <c r="DU9" s="66"/>
      <c r="DV9" s="66"/>
      <c r="DW9" s="66"/>
      <c r="DX9" s="66"/>
      <c r="DY9" s="66"/>
      <c r="DZ9" s="66"/>
      <c r="EA9" s="66"/>
      <c r="EB9" s="66"/>
      <c r="EC9" s="66"/>
      <c r="ED9" s="66"/>
      <c r="EE9" s="66"/>
      <c r="EF9" s="66"/>
      <c r="EG9" s="66"/>
      <c r="EH9" s="66"/>
      <c r="EI9" s="66"/>
      <c r="EJ9" s="66"/>
      <c r="EK9" s="66"/>
      <c r="EL9" s="66"/>
      <c r="EM9" s="66"/>
      <c r="EN9" s="66"/>
      <c r="EO9" s="66"/>
      <c r="EP9" s="66"/>
      <c r="EQ9" s="66"/>
      <c r="ER9" s="66"/>
      <c r="ES9" s="66"/>
      <c r="ET9" s="66"/>
      <c r="EU9" s="66"/>
      <c r="EV9" s="66"/>
      <c r="EW9" s="66"/>
      <c r="EX9" s="66"/>
      <c r="EY9" s="66"/>
      <c r="EZ9" s="66"/>
      <c r="FA9" s="66"/>
      <c r="FB9" s="66"/>
      <c r="FC9" s="66"/>
      <c r="FD9" s="66"/>
      <c r="FE9" s="66"/>
      <c r="FF9" s="66"/>
      <c r="FG9" s="66"/>
      <c r="FH9" s="66"/>
      <c r="FI9" s="66"/>
      <c r="FJ9" s="66"/>
      <c r="FK9" s="66"/>
      <c r="FL9" s="66"/>
      <c r="FM9" s="66"/>
      <c r="FN9" s="66"/>
      <c r="FO9" s="66"/>
      <c r="FP9" s="66"/>
      <c r="FQ9" s="66"/>
      <c r="FR9" s="66"/>
      <c r="FS9" s="66"/>
      <c r="FT9" s="66"/>
      <c r="FU9" s="66"/>
      <c r="FV9" s="66"/>
      <c r="FW9" s="66"/>
      <c r="FX9" s="66"/>
      <c r="FY9" s="66"/>
      <c r="FZ9" s="66"/>
      <c r="GA9" s="66"/>
      <c r="GB9" s="66"/>
      <c r="GC9" s="66"/>
      <c r="GD9" s="66"/>
      <c r="GE9" s="66"/>
      <c r="GF9" s="66"/>
      <c r="GG9" s="66"/>
      <c r="GH9" s="66"/>
      <c r="GI9" s="66"/>
      <c r="GJ9" s="66"/>
      <c r="GK9" s="66"/>
      <c r="GL9" s="66"/>
      <c r="GM9" s="66"/>
      <c r="GN9" s="66"/>
      <c r="GO9" s="66"/>
      <c r="GP9" s="66"/>
      <c r="GQ9" s="66"/>
      <c r="GR9" s="66"/>
      <c r="GS9" s="66"/>
      <c r="GT9" s="66"/>
      <c r="GU9" s="66"/>
      <c r="GV9" s="66"/>
      <c r="GW9" s="66"/>
      <c r="GX9" s="66"/>
      <c r="GY9" s="66"/>
      <c r="GZ9" s="66"/>
      <c r="HA9" s="66"/>
      <c r="HB9" s="66"/>
      <c r="HC9" s="66"/>
      <c r="HD9" s="66"/>
      <c r="HE9" s="66"/>
      <c r="HF9" s="66"/>
      <c r="HG9" s="66"/>
      <c r="HH9" s="66"/>
      <c r="HI9" s="66"/>
      <c r="HJ9" s="66"/>
      <c r="HK9" s="66"/>
      <c r="HL9" s="66"/>
      <c r="HM9" s="66"/>
      <c r="HN9" s="66"/>
      <c r="HO9" s="66"/>
      <c r="HP9" s="66"/>
      <c r="HQ9" s="66"/>
      <c r="HR9" s="66"/>
      <c r="HS9" s="66"/>
      <c r="HT9" s="66"/>
      <c r="HU9" s="66"/>
      <c r="HV9" s="66"/>
      <c r="HW9" s="66"/>
      <c r="HX9" s="66"/>
      <c r="HY9" s="66"/>
      <c r="HZ9" s="66"/>
      <c r="IA9" s="66"/>
      <c r="IB9" s="66"/>
      <c r="IC9" s="66"/>
      <c r="ID9" s="66"/>
      <c r="IE9" s="66"/>
      <c r="IF9" s="66"/>
      <c r="IG9" s="66"/>
      <c r="IH9" s="66"/>
      <c r="II9" s="66"/>
      <c r="IJ9" s="66"/>
      <c r="IK9" s="66"/>
      <c r="IL9" s="66"/>
      <c r="IM9" s="66"/>
      <c r="IN9" s="66"/>
      <c r="IO9" s="66"/>
      <c r="IP9" s="66"/>
      <c r="IQ9" s="66"/>
      <c r="IR9" s="66"/>
      <c r="IS9" s="66"/>
      <c r="IT9" s="66"/>
      <c r="IU9" s="66"/>
      <c r="IV9" s="66"/>
      <c r="IW9" s="66"/>
      <c r="IX9" s="66"/>
      <c r="IY9" s="66"/>
      <c r="IZ9" s="66"/>
      <c r="JA9" s="66"/>
      <c r="JB9" s="66"/>
      <c r="JC9" s="66"/>
      <c r="JD9" s="66"/>
      <c r="JE9" s="66"/>
      <c r="JF9" s="66"/>
      <c r="JG9" s="66"/>
      <c r="JH9" s="66"/>
      <c r="JI9" s="66"/>
      <c r="JJ9" s="66"/>
      <c r="JK9" s="66"/>
      <c r="JL9" s="66"/>
      <c r="JM9" s="66"/>
      <c r="JN9" s="66"/>
      <c r="JO9" s="66"/>
      <c r="JP9" s="66"/>
      <c r="JQ9" s="66"/>
      <c r="JR9" s="66"/>
      <c r="JS9" s="66"/>
      <c r="JT9" s="66"/>
      <c r="JU9" s="66"/>
      <c r="JV9" s="66"/>
      <c r="JW9" s="66"/>
      <c r="JX9" s="66"/>
      <c r="JY9" s="66"/>
      <c r="JZ9" s="66"/>
      <c r="KA9" s="66"/>
      <c r="KB9" s="66"/>
      <c r="KC9" s="66"/>
      <c r="KD9" s="66"/>
      <c r="KE9" s="66"/>
      <c r="KF9" s="66"/>
      <c r="KG9" s="66"/>
      <c r="KH9" s="66"/>
      <c r="KI9" s="66"/>
      <c r="KJ9" s="66"/>
      <c r="KK9" s="66"/>
      <c r="KL9" s="66"/>
      <c r="KM9" s="66"/>
      <c r="KN9" s="66"/>
      <c r="KO9" s="66"/>
      <c r="KP9" s="66"/>
      <c r="KQ9" s="66"/>
      <c r="KR9" s="66"/>
      <c r="KS9" s="66"/>
      <c r="KT9" s="66"/>
      <c r="KU9" s="66"/>
      <c r="KV9" s="66"/>
      <c r="KW9" s="66"/>
      <c r="KX9" s="66"/>
      <c r="KY9" s="66"/>
      <c r="KZ9" s="66"/>
      <c r="LA9" s="66"/>
      <c r="LB9" s="66"/>
      <c r="LC9" s="66"/>
      <c r="LD9" s="66"/>
      <c r="LE9" s="66"/>
      <c r="LF9" s="66"/>
      <c r="LG9" s="66"/>
      <c r="LH9" s="66"/>
      <c r="LI9" s="66"/>
      <c r="LJ9" s="66"/>
      <c r="LK9" s="66"/>
      <c r="LL9" s="66"/>
      <c r="LM9" s="66"/>
      <c r="LN9" s="66"/>
      <c r="LO9" s="66"/>
      <c r="LP9" s="66"/>
      <c r="LQ9" s="66"/>
      <c r="LR9" s="66"/>
      <c r="LS9" s="66"/>
      <c r="LT9" s="66"/>
      <c r="LU9" s="66"/>
      <c r="LV9" s="66"/>
      <c r="LW9" s="66"/>
      <c r="LX9" s="66"/>
      <c r="LY9" s="66"/>
      <c r="LZ9" s="66"/>
      <c r="MA9" s="66"/>
      <c r="MB9" s="66"/>
      <c r="MC9" s="66"/>
      <c r="MD9" s="66"/>
      <c r="ME9" s="66"/>
      <c r="MF9" s="66"/>
      <c r="MG9" s="66"/>
      <c r="MH9" s="66"/>
      <c r="MI9" s="66"/>
      <c r="MJ9" s="66"/>
      <c r="MK9" s="66"/>
      <c r="ML9" s="66"/>
      <c r="MM9" s="66"/>
      <c r="MN9" s="66"/>
      <c r="MO9" s="66"/>
      <c r="MP9" s="66"/>
      <c r="MQ9" s="66"/>
      <c r="MR9" s="66"/>
      <c r="MS9" s="66"/>
      <c r="MT9" s="66"/>
      <c r="MU9" s="66"/>
      <c r="MV9" s="66"/>
      <c r="MW9" s="66"/>
      <c r="MX9" s="66"/>
      <c r="MY9" s="66"/>
      <c r="MZ9" s="66"/>
      <c r="NA9" s="66"/>
      <c r="NB9" s="66"/>
      <c r="NC9" s="66"/>
      <c r="ND9" s="66"/>
      <c r="NE9" s="66"/>
      <c r="NF9" s="66"/>
      <c r="NG9" s="66"/>
      <c r="NH9" s="66"/>
      <c r="NI9" s="66"/>
      <c r="NJ9" s="66"/>
      <c r="NK9" s="66"/>
      <c r="NL9" s="66"/>
      <c r="NM9" s="66"/>
      <c r="NN9" s="66"/>
      <c r="NO9" s="66"/>
      <c r="NP9" s="66"/>
      <c r="NQ9" s="66"/>
      <c r="NR9" s="66"/>
      <c r="NS9" s="66"/>
      <c r="NT9" s="66"/>
      <c r="NU9" s="66"/>
      <c r="NV9" s="66"/>
      <c r="NW9" s="66"/>
      <c r="NX9" s="66"/>
      <c r="NY9" s="66"/>
      <c r="NZ9" s="66"/>
      <c r="OA9" s="66"/>
      <c r="OB9" s="66"/>
      <c r="OC9" s="66"/>
      <c r="OD9" s="66"/>
      <c r="OE9" s="66"/>
      <c r="OF9" s="66"/>
      <c r="OG9" s="66"/>
      <c r="OH9" s="66"/>
      <c r="OI9" s="66"/>
      <c r="OJ9" s="66"/>
      <c r="OK9" s="66"/>
      <c r="OL9" s="66"/>
      <c r="OM9" s="66"/>
      <c r="ON9" s="66"/>
      <c r="OO9" s="66"/>
      <c r="OP9" s="66"/>
      <c r="OQ9" s="66"/>
      <c r="OR9" s="66"/>
      <c r="OS9" s="66"/>
      <c r="OT9" s="66"/>
      <c r="OU9" s="66"/>
      <c r="OV9" s="66"/>
      <c r="OW9" s="66"/>
      <c r="OX9" s="66"/>
      <c r="OY9" s="66"/>
      <c r="OZ9" s="66"/>
      <c r="PA9" s="66"/>
      <c r="PB9" s="66"/>
      <c r="PC9" s="66"/>
      <c r="PD9" s="66"/>
      <c r="PE9" s="66"/>
      <c r="PF9" s="66"/>
      <c r="PG9" s="66"/>
      <c r="PH9" s="66"/>
      <c r="PI9" s="66"/>
      <c r="PJ9" s="66"/>
      <c r="PK9" s="66"/>
      <c r="PL9" s="66"/>
      <c r="PM9" s="66"/>
      <c r="PN9" s="66"/>
      <c r="PO9" s="66"/>
      <c r="PP9" s="66"/>
      <c r="PQ9" s="66"/>
      <c r="PR9" s="66"/>
      <c r="PS9" s="66"/>
      <c r="PT9" s="66"/>
      <c r="PU9" s="66"/>
      <c r="PV9" s="66"/>
      <c r="PW9" s="66"/>
      <c r="PX9" s="66"/>
      <c r="PY9" s="66"/>
      <c r="PZ9" s="66"/>
      <c r="QA9" s="66"/>
      <c r="QB9" s="66"/>
      <c r="QC9" s="66"/>
      <c r="QD9" s="66"/>
      <c r="QE9" s="66"/>
      <c r="QF9" s="66"/>
      <c r="QG9" s="66"/>
      <c r="QH9" s="66"/>
      <c r="QI9" s="66"/>
      <c r="QJ9" s="66"/>
      <c r="QK9" s="66"/>
      <c r="QL9" s="66"/>
      <c r="QM9" s="66"/>
      <c r="QN9" s="66"/>
      <c r="QO9" s="66"/>
      <c r="QP9" s="66"/>
      <c r="QQ9" s="66"/>
      <c r="QR9" s="66"/>
      <c r="QS9" s="66"/>
      <c r="QT9" s="66"/>
      <c r="QU9" s="66"/>
      <c r="QV9" s="66"/>
      <c r="QW9" s="66"/>
      <c r="QX9" s="66"/>
      <c r="QY9" s="66"/>
      <c r="QZ9" s="66"/>
      <c r="RA9" s="66"/>
      <c r="RB9" s="66"/>
      <c r="RC9" s="66"/>
      <c r="RD9" s="66"/>
      <c r="RE9" s="66"/>
      <c r="RF9" s="66"/>
      <c r="RG9" s="66"/>
      <c r="RH9" s="66"/>
      <c r="RI9" s="66"/>
      <c r="RJ9" s="66"/>
      <c r="RK9" s="66"/>
      <c r="RL9" s="66"/>
      <c r="RM9" s="66"/>
      <c r="RN9" s="66"/>
      <c r="RO9" s="66"/>
      <c r="RP9" s="66"/>
      <c r="RQ9" s="66"/>
      <c r="RR9" s="66"/>
      <c r="RS9" s="66"/>
      <c r="RT9" s="66"/>
      <c r="RU9" s="66"/>
      <c r="RV9" s="66"/>
      <c r="RW9" s="66"/>
      <c r="RX9" s="66"/>
      <c r="RY9" s="66"/>
      <c r="RZ9" s="66"/>
      <c r="SA9" s="66"/>
      <c r="SB9" s="66"/>
      <c r="SC9" s="66"/>
      <c r="SD9" s="66"/>
      <c r="SE9" s="66"/>
      <c r="SF9" s="66"/>
      <c r="SG9" s="66"/>
      <c r="SH9" s="66"/>
      <c r="SI9" s="66"/>
      <c r="SJ9" s="66"/>
      <c r="SK9" s="66"/>
      <c r="SL9" s="66"/>
      <c r="SM9" s="66"/>
      <c r="SN9" s="66"/>
      <c r="SO9" s="66"/>
      <c r="SP9" s="66"/>
      <c r="SQ9" s="66"/>
      <c r="SR9" s="66"/>
      <c r="SS9" s="66"/>
      <c r="ST9" s="66"/>
      <c r="SU9" s="66"/>
      <c r="SV9" s="66"/>
      <c r="SW9" s="66"/>
      <c r="SX9" s="66"/>
      <c r="SY9" s="66"/>
      <c r="SZ9" s="66"/>
      <c r="TA9" s="66"/>
      <c r="TB9" s="66"/>
      <c r="TC9" s="66"/>
      <c r="TD9" s="66"/>
      <c r="TE9" s="66"/>
      <c r="TF9" s="66"/>
      <c r="TG9" s="66"/>
      <c r="TH9" s="66"/>
      <c r="TI9" s="66"/>
      <c r="TJ9" s="66"/>
      <c r="TK9" s="66"/>
      <c r="TL9" s="66"/>
      <c r="TM9" s="66"/>
      <c r="TN9" s="66"/>
      <c r="TO9" s="66"/>
      <c r="TP9" s="66"/>
      <c r="TQ9" s="66"/>
      <c r="TR9" s="66"/>
      <c r="TS9" s="66"/>
      <c r="TT9" s="66"/>
      <c r="TU9" s="66"/>
      <c r="TV9" s="66"/>
      <c r="TW9" s="66"/>
      <c r="TX9" s="66"/>
      <c r="TY9" s="66"/>
      <c r="TZ9" s="66"/>
      <c r="UA9" s="66"/>
      <c r="UB9" s="66"/>
      <c r="UC9" s="66"/>
      <c r="UD9" s="66"/>
      <c r="UE9" s="66"/>
      <c r="UF9" s="66"/>
      <c r="UG9" s="66"/>
      <c r="UH9" s="66"/>
      <c r="UI9" s="66"/>
      <c r="UJ9" s="66"/>
      <c r="UK9" s="66"/>
      <c r="UL9" s="66"/>
      <c r="UM9" s="66"/>
      <c r="UN9" s="66"/>
      <c r="UO9" s="66"/>
      <c r="UP9" s="66"/>
      <c r="UQ9" s="66"/>
      <c r="UR9" s="66"/>
      <c r="US9" s="66"/>
      <c r="UT9" s="66"/>
      <c r="UU9" s="66"/>
      <c r="UV9" s="66"/>
      <c r="UW9" s="66"/>
      <c r="UX9" s="66"/>
      <c r="UY9" s="66"/>
      <c r="UZ9" s="66"/>
      <c r="VA9" s="66"/>
      <c r="VB9" s="66"/>
      <c r="VC9" s="66"/>
      <c r="VD9" s="66"/>
      <c r="VE9" s="66"/>
      <c r="VF9" s="66"/>
      <c r="VG9" s="66"/>
      <c r="VH9" s="66"/>
      <c r="VI9" s="66"/>
      <c r="VJ9" s="66"/>
      <c r="VK9" s="66"/>
      <c r="VL9" s="66"/>
      <c r="VM9" s="66"/>
      <c r="VN9" s="66"/>
      <c r="VO9" s="66"/>
      <c r="VP9" s="66"/>
      <c r="VQ9" s="66"/>
      <c r="VR9" s="66"/>
      <c r="VS9" s="66"/>
      <c r="VT9" s="66"/>
      <c r="VU9" s="66"/>
      <c r="VV9" s="66"/>
      <c r="VW9" s="66"/>
      <c r="VX9" s="66"/>
      <c r="VY9" s="66"/>
      <c r="VZ9" s="66"/>
      <c r="WA9" s="66"/>
      <c r="WB9" s="66"/>
      <c r="WC9" s="66"/>
      <c r="WD9" s="66"/>
      <c r="WE9" s="66"/>
      <c r="WF9" s="66"/>
      <c r="WG9" s="66"/>
      <c r="WH9" s="66"/>
      <c r="WI9" s="66"/>
      <c r="WJ9" s="66"/>
      <c r="WK9" s="66"/>
      <c r="WL9" s="66"/>
      <c r="WM9" s="66"/>
      <c r="WN9" s="66"/>
      <c r="WO9" s="66"/>
      <c r="WP9" s="66"/>
      <c r="WQ9" s="66"/>
      <c r="WR9" s="66"/>
      <c r="WS9" s="66"/>
      <c r="WT9" s="66"/>
      <c r="WU9" s="66"/>
      <c r="WV9" s="66"/>
      <c r="WW9" s="66"/>
      <c r="WX9" s="66"/>
      <c r="WY9" s="66"/>
      <c r="WZ9" s="66"/>
      <c r="XA9" s="66"/>
      <c r="XB9" s="66"/>
      <c r="XC9" s="66"/>
      <c r="XD9" s="66"/>
      <c r="XE9" s="66"/>
      <c r="XF9" s="66"/>
      <c r="XG9" s="66"/>
      <c r="XH9" s="66"/>
      <c r="XI9" s="66"/>
      <c r="XJ9" s="66"/>
      <c r="XK9" s="66"/>
      <c r="XL9" s="66"/>
      <c r="XM9" s="66"/>
      <c r="XN9" s="66"/>
      <c r="XO9" s="66"/>
      <c r="XP9" s="66"/>
      <c r="XQ9" s="66"/>
      <c r="XR9" s="66"/>
      <c r="XS9" s="66"/>
      <c r="XT9" s="66"/>
      <c r="XU9" s="66"/>
      <c r="XV9" s="66"/>
      <c r="XW9" s="66"/>
      <c r="XX9" s="66"/>
      <c r="XY9" s="66"/>
      <c r="XZ9" s="66"/>
      <c r="YA9" s="66"/>
      <c r="YB9" s="66"/>
      <c r="YC9" s="66"/>
      <c r="YD9" s="66"/>
      <c r="YE9" s="66"/>
      <c r="YF9" s="66"/>
      <c r="YG9" s="66"/>
      <c r="YH9" s="66"/>
      <c r="YI9" s="66"/>
      <c r="YJ9" s="66"/>
      <c r="YK9" s="66"/>
      <c r="YL9" s="66"/>
      <c r="YM9" s="66"/>
      <c r="YN9" s="66"/>
      <c r="YO9" s="66"/>
      <c r="YP9" s="66"/>
      <c r="YQ9" s="66"/>
      <c r="YR9" s="66"/>
      <c r="YS9" s="66"/>
      <c r="YT9" s="66"/>
      <c r="YU9" s="66"/>
      <c r="YV9" s="66"/>
      <c r="YW9" s="66"/>
      <c r="YX9" s="66"/>
      <c r="YY9" s="66"/>
      <c r="YZ9" s="66"/>
      <c r="ZA9" s="66"/>
      <c r="ZB9" s="66"/>
      <c r="ZC9" s="66"/>
      <c r="ZD9" s="66"/>
      <c r="ZE9" s="66"/>
      <c r="ZF9" s="66"/>
      <c r="ZG9" s="66"/>
      <c r="ZH9" s="66"/>
      <c r="ZI9" s="66"/>
      <c r="ZJ9" s="66"/>
      <c r="ZK9" s="66"/>
      <c r="ZL9" s="66"/>
      <c r="ZM9" s="66"/>
      <c r="ZN9" s="66"/>
      <c r="ZO9" s="66"/>
      <c r="ZP9" s="66"/>
      <c r="ZQ9" s="66"/>
      <c r="ZR9" s="66"/>
      <c r="ZS9" s="66"/>
      <c r="ZT9" s="66"/>
      <c r="ZU9" s="66"/>
      <c r="ZV9" s="66"/>
      <c r="ZW9" s="66"/>
      <c r="ZX9" s="66"/>
    </row>
    <row r="10" spans="1:700" s="20" customFormat="1" ht="15.75" x14ac:dyDescent="0.25">
      <c r="A10" s="72"/>
      <c r="B10" s="73"/>
      <c r="C10" s="73"/>
      <c r="D10" s="108"/>
      <c r="E10" s="129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6"/>
      <c r="CM10" s="66"/>
      <c r="CN10" s="66"/>
      <c r="CO10" s="66"/>
      <c r="CP10" s="66"/>
      <c r="CQ10" s="66"/>
      <c r="CR10" s="66"/>
      <c r="CS10" s="66"/>
      <c r="CT10" s="66"/>
      <c r="CU10" s="66"/>
      <c r="CV10" s="66"/>
      <c r="CW10" s="66"/>
      <c r="CX10" s="66"/>
      <c r="CY10" s="66"/>
      <c r="CZ10" s="66"/>
      <c r="DA10" s="66"/>
      <c r="DB10" s="66"/>
      <c r="DC10" s="66"/>
      <c r="DD10" s="66"/>
      <c r="DE10" s="66"/>
      <c r="DF10" s="66"/>
      <c r="DG10" s="66"/>
      <c r="DH10" s="66"/>
      <c r="DI10" s="66"/>
      <c r="DJ10" s="66"/>
      <c r="DK10" s="66"/>
      <c r="DL10" s="66"/>
      <c r="DM10" s="66"/>
      <c r="DN10" s="66"/>
      <c r="DO10" s="66"/>
      <c r="DP10" s="66"/>
      <c r="DQ10" s="66"/>
      <c r="DR10" s="66"/>
      <c r="DS10" s="66"/>
      <c r="DT10" s="66"/>
      <c r="DU10" s="66"/>
      <c r="DV10" s="66"/>
      <c r="DW10" s="66"/>
      <c r="DX10" s="66"/>
      <c r="DY10" s="66"/>
      <c r="DZ10" s="66"/>
      <c r="EA10" s="66"/>
      <c r="EB10" s="66"/>
      <c r="EC10" s="66"/>
      <c r="ED10" s="66"/>
      <c r="EE10" s="66"/>
      <c r="EF10" s="66"/>
      <c r="EG10" s="66"/>
      <c r="EH10" s="66"/>
      <c r="EI10" s="66"/>
      <c r="EJ10" s="66"/>
      <c r="EK10" s="66"/>
      <c r="EL10" s="66"/>
      <c r="EM10" s="66"/>
      <c r="EN10" s="66"/>
      <c r="EO10" s="66"/>
      <c r="EP10" s="66"/>
      <c r="EQ10" s="66"/>
      <c r="ER10" s="66"/>
      <c r="ES10" s="66"/>
      <c r="ET10" s="66"/>
      <c r="EU10" s="66"/>
      <c r="EV10" s="66"/>
      <c r="EW10" s="66"/>
      <c r="EX10" s="66"/>
      <c r="EY10" s="66"/>
      <c r="EZ10" s="66"/>
      <c r="FA10" s="66"/>
      <c r="FB10" s="66"/>
      <c r="FC10" s="66"/>
      <c r="FD10" s="66"/>
      <c r="FE10" s="66"/>
      <c r="FF10" s="66"/>
      <c r="FG10" s="66"/>
      <c r="FH10" s="66"/>
      <c r="FI10" s="66"/>
      <c r="FJ10" s="66"/>
      <c r="FK10" s="66"/>
      <c r="FL10" s="66"/>
      <c r="FM10" s="66"/>
      <c r="FN10" s="66"/>
      <c r="FO10" s="66"/>
      <c r="FP10" s="66"/>
      <c r="FQ10" s="66"/>
      <c r="FR10" s="66"/>
      <c r="FS10" s="66"/>
      <c r="FT10" s="66"/>
      <c r="FU10" s="66"/>
      <c r="FV10" s="66"/>
      <c r="FW10" s="66"/>
      <c r="FX10" s="66"/>
      <c r="FY10" s="66"/>
      <c r="FZ10" s="66"/>
      <c r="GA10" s="66"/>
      <c r="GB10" s="66"/>
      <c r="GC10" s="66"/>
      <c r="GD10" s="66"/>
      <c r="GE10" s="66"/>
      <c r="GF10" s="66"/>
      <c r="GG10" s="66"/>
      <c r="GH10" s="66"/>
      <c r="GI10" s="66"/>
      <c r="GJ10" s="66"/>
      <c r="GK10" s="66"/>
      <c r="GL10" s="66"/>
      <c r="GM10" s="66"/>
      <c r="GN10" s="66"/>
      <c r="GO10" s="66"/>
      <c r="GP10" s="66"/>
      <c r="GQ10" s="66"/>
      <c r="GR10" s="66"/>
      <c r="GS10" s="66"/>
      <c r="GT10" s="66"/>
      <c r="GU10" s="66"/>
      <c r="GV10" s="66"/>
      <c r="GW10" s="66"/>
      <c r="GX10" s="66"/>
      <c r="GY10" s="66"/>
      <c r="GZ10" s="66"/>
      <c r="HA10" s="66"/>
      <c r="HB10" s="66"/>
      <c r="HC10" s="66"/>
      <c r="HD10" s="66"/>
      <c r="HE10" s="66"/>
      <c r="HF10" s="66"/>
      <c r="HG10" s="66"/>
      <c r="HH10" s="66"/>
      <c r="HI10" s="66"/>
      <c r="HJ10" s="66"/>
      <c r="HK10" s="66"/>
      <c r="HL10" s="66"/>
      <c r="HM10" s="66"/>
      <c r="HN10" s="66"/>
      <c r="HO10" s="66"/>
      <c r="HP10" s="66"/>
      <c r="HQ10" s="66"/>
      <c r="HR10" s="66"/>
      <c r="HS10" s="66"/>
      <c r="HT10" s="66"/>
      <c r="HU10" s="66"/>
      <c r="HV10" s="66"/>
      <c r="HW10" s="66"/>
      <c r="HX10" s="66"/>
      <c r="HY10" s="66"/>
      <c r="HZ10" s="66"/>
      <c r="IA10" s="66"/>
      <c r="IB10" s="66"/>
      <c r="IC10" s="66"/>
      <c r="ID10" s="66"/>
      <c r="IE10" s="66"/>
      <c r="IF10" s="66"/>
      <c r="IG10" s="66"/>
      <c r="IH10" s="66"/>
      <c r="II10" s="66"/>
      <c r="IJ10" s="66"/>
      <c r="IK10" s="66"/>
      <c r="IL10" s="66"/>
      <c r="IM10" s="66"/>
      <c r="IN10" s="66"/>
      <c r="IO10" s="66"/>
      <c r="IP10" s="66"/>
      <c r="IQ10" s="66"/>
      <c r="IR10" s="66"/>
      <c r="IS10" s="66"/>
      <c r="IT10" s="66"/>
      <c r="IU10" s="66"/>
      <c r="IV10" s="66"/>
      <c r="IW10" s="66"/>
      <c r="IX10" s="66"/>
      <c r="IY10" s="66"/>
      <c r="IZ10" s="66"/>
      <c r="JA10" s="66"/>
      <c r="JB10" s="66"/>
      <c r="JC10" s="66"/>
      <c r="JD10" s="66"/>
      <c r="JE10" s="66"/>
      <c r="JF10" s="66"/>
      <c r="JG10" s="66"/>
      <c r="JH10" s="66"/>
      <c r="JI10" s="66"/>
      <c r="JJ10" s="66"/>
      <c r="JK10" s="66"/>
      <c r="JL10" s="66"/>
      <c r="JM10" s="66"/>
      <c r="JN10" s="66"/>
      <c r="JO10" s="66"/>
      <c r="JP10" s="66"/>
      <c r="JQ10" s="66"/>
      <c r="JR10" s="66"/>
      <c r="JS10" s="66"/>
      <c r="JT10" s="66"/>
      <c r="JU10" s="66"/>
      <c r="JV10" s="66"/>
      <c r="JW10" s="66"/>
      <c r="JX10" s="66"/>
      <c r="JY10" s="66"/>
      <c r="JZ10" s="66"/>
      <c r="KA10" s="66"/>
      <c r="KB10" s="66"/>
      <c r="KC10" s="66"/>
      <c r="KD10" s="66"/>
      <c r="KE10" s="66"/>
      <c r="KF10" s="66"/>
      <c r="KG10" s="66"/>
      <c r="KH10" s="66"/>
      <c r="KI10" s="66"/>
      <c r="KJ10" s="66"/>
      <c r="KK10" s="66"/>
      <c r="KL10" s="66"/>
      <c r="KM10" s="66"/>
      <c r="KN10" s="66"/>
      <c r="KO10" s="66"/>
      <c r="KP10" s="66"/>
      <c r="KQ10" s="66"/>
      <c r="KR10" s="66"/>
      <c r="KS10" s="66"/>
      <c r="KT10" s="66"/>
      <c r="KU10" s="66"/>
      <c r="KV10" s="66"/>
      <c r="KW10" s="66"/>
      <c r="KX10" s="66"/>
      <c r="KY10" s="66"/>
      <c r="KZ10" s="66"/>
      <c r="LA10" s="66"/>
      <c r="LB10" s="66"/>
      <c r="LC10" s="66"/>
      <c r="LD10" s="66"/>
      <c r="LE10" s="66"/>
      <c r="LF10" s="66"/>
      <c r="LG10" s="66"/>
      <c r="LH10" s="66"/>
      <c r="LI10" s="66"/>
      <c r="LJ10" s="66"/>
      <c r="LK10" s="66"/>
      <c r="LL10" s="66"/>
      <c r="LM10" s="66"/>
      <c r="LN10" s="66"/>
      <c r="LO10" s="66"/>
      <c r="LP10" s="66"/>
      <c r="LQ10" s="66"/>
      <c r="LR10" s="66"/>
      <c r="LS10" s="66"/>
      <c r="LT10" s="66"/>
      <c r="LU10" s="66"/>
      <c r="LV10" s="66"/>
      <c r="LW10" s="66"/>
      <c r="LX10" s="66"/>
      <c r="LY10" s="66"/>
      <c r="LZ10" s="66"/>
      <c r="MA10" s="66"/>
      <c r="MB10" s="66"/>
      <c r="MC10" s="66"/>
      <c r="MD10" s="66"/>
      <c r="ME10" s="66"/>
      <c r="MF10" s="66"/>
      <c r="MG10" s="66"/>
      <c r="MH10" s="66"/>
      <c r="MI10" s="66"/>
      <c r="MJ10" s="66"/>
      <c r="MK10" s="66"/>
      <c r="ML10" s="66"/>
      <c r="MM10" s="66"/>
      <c r="MN10" s="66"/>
      <c r="MO10" s="66"/>
      <c r="MP10" s="66"/>
      <c r="MQ10" s="66"/>
      <c r="MR10" s="66"/>
      <c r="MS10" s="66"/>
      <c r="MT10" s="66"/>
      <c r="MU10" s="66"/>
      <c r="MV10" s="66"/>
      <c r="MW10" s="66"/>
      <c r="MX10" s="66"/>
      <c r="MY10" s="66"/>
      <c r="MZ10" s="66"/>
      <c r="NA10" s="66"/>
      <c r="NB10" s="66"/>
      <c r="NC10" s="66"/>
      <c r="ND10" s="66"/>
      <c r="NE10" s="66"/>
      <c r="NF10" s="66"/>
      <c r="NG10" s="66"/>
      <c r="NH10" s="66"/>
      <c r="NI10" s="66"/>
      <c r="NJ10" s="66"/>
      <c r="NK10" s="66"/>
      <c r="NL10" s="66"/>
      <c r="NM10" s="66"/>
      <c r="NN10" s="66"/>
      <c r="NO10" s="66"/>
      <c r="NP10" s="66"/>
      <c r="NQ10" s="66"/>
      <c r="NR10" s="66"/>
      <c r="NS10" s="66"/>
      <c r="NT10" s="66"/>
      <c r="NU10" s="66"/>
      <c r="NV10" s="66"/>
      <c r="NW10" s="66"/>
      <c r="NX10" s="66"/>
      <c r="NY10" s="66"/>
      <c r="NZ10" s="66"/>
      <c r="OA10" s="66"/>
      <c r="OB10" s="66"/>
      <c r="OC10" s="66"/>
      <c r="OD10" s="66"/>
      <c r="OE10" s="66"/>
      <c r="OF10" s="66"/>
      <c r="OG10" s="66"/>
      <c r="OH10" s="66"/>
      <c r="OI10" s="66"/>
      <c r="OJ10" s="66"/>
      <c r="OK10" s="66"/>
      <c r="OL10" s="66"/>
      <c r="OM10" s="66"/>
      <c r="ON10" s="66"/>
      <c r="OO10" s="66"/>
      <c r="OP10" s="66"/>
      <c r="OQ10" s="66"/>
      <c r="OR10" s="66"/>
      <c r="OS10" s="66"/>
      <c r="OT10" s="66"/>
      <c r="OU10" s="66"/>
      <c r="OV10" s="66"/>
      <c r="OW10" s="66"/>
      <c r="OX10" s="66"/>
      <c r="OY10" s="66"/>
      <c r="OZ10" s="66"/>
      <c r="PA10" s="66"/>
      <c r="PB10" s="66"/>
      <c r="PC10" s="66"/>
      <c r="PD10" s="66"/>
      <c r="PE10" s="66"/>
      <c r="PF10" s="66"/>
      <c r="PG10" s="66"/>
      <c r="PH10" s="66"/>
      <c r="PI10" s="66"/>
      <c r="PJ10" s="66"/>
      <c r="PK10" s="66"/>
      <c r="PL10" s="66"/>
      <c r="PM10" s="66"/>
      <c r="PN10" s="66"/>
      <c r="PO10" s="66"/>
      <c r="PP10" s="66"/>
      <c r="PQ10" s="66"/>
      <c r="PR10" s="66"/>
      <c r="PS10" s="66"/>
      <c r="PT10" s="66"/>
      <c r="PU10" s="66"/>
      <c r="PV10" s="66"/>
      <c r="PW10" s="66"/>
      <c r="PX10" s="66"/>
      <c r="PY10" s="66"/>
      <c r="PZ10" s="66"/>
      <c r="QA10" s="66"/>
      <c r="QB10" s="66"/>
      <c r="QC10" s="66"/>
      <c r="QD10" s="66"/>
      <c r="QE10" s="66"/>
      <c r="QF10" s="66"/>
      <c r="QG10" s="66"/>
      <c r="QH10" s="66"/>
      <c r="QI10" s="66"/>
      <c r="QJ10" s="66"/>
      <c r="QK10" s="66"/>
      <c r="QL10" s="66"/>
      <c r="QM10" s="66"/>
      <c r="QN10" s="66"/>
      <c r="QO10" s="66"/>
      <c r="QP10" s="66"/>
      <c r="QQ10" s="66"/>
      <c r="QR10" s="66"/>
      <c r="QS10" s="66"/>
      <c r="QT10" s="66"/>
      <c r="QU10" s="66"/>
      <c r="QV10" s="66"/>
      <c r="QW10" s="66"/>
      <c r="QX10" s="66"/>
      <c r="QY10" s="66"/>
      <c r="QZ10" s="66"/>
      <c r="RA10" s="66"/>
      <c r="RB10" s="66"/>
      <c r="RC10" s="66"/>
      <c r="RD10" s="66"/>
      <c r="RE10" s="66"/>
      <c r="RF10" s="66"/>
      <c r="RG10" s="66"/>
      <c r="RH10" s="66"/>
      <c r="RI10" s="66"/>
      <c r="RJ10" s="66"/>
      <c r="RK10" s="66"/>
      <c r="RL10" s="66"/>
      <c r="RM10" s="66"/>
      <c r="RN10" s="66"/>
      <c r="RO10" s="66"/>
      <c r="RP10" s="66"/>
      <c r="RQ10" s="66"/>
      <c r="RR10" s="66"/>
      <c r="RS10" s="66"/>
      <c r="RT10" s="66"/>
      <c r="RU10" s="66"/>
      <c r="RV10" s="66"/>
      <c r="RW10" s="66"/>
      <c r="RX10" s="66"/>
      <c r="RY10" s="66"/>
      <c r="RZ10" s="66"/>
      <c r="SA10" s="66"/>
      <c r="SB10" s="66"/>
      <c r="SC10" s="66"/>
      <c r="SD10" s="66"/>
      <c r="SE10" s="66"/>
      <c r="SF10" s="66"/>
      <c r="SG10" s="66"/>
      <c r="SH10" s="66"/>
      <c r="SI10" s="66"/>
      <c r="SJ10" s="66"/>
      <c r="SK10" s="66"/>
      <c r="SL10" s="66"/>
      <c r="SM10" s="66"/>
      <c r="SN10" s="66"/>
      <c r="SO10" s="66"/>
      <c r="SP10" s="66"/>
      <c r="SQ10" s="66"/>
      <c r="SR10" s="66"/>
      <c r="SS10" s="66"/>
      <c r="ST10" s="66"/>
      <c r="SU10" s="66"/>
      <c r="SV10" s="66"/>
      <c r="SW10" s="66"/>
      <c r="SX10" s="66"/>
      <c r="SY10" s="66"/>
      <c r="SZ10" s="66"/>
      <c r="TA10" s="66"/>
      <c r="TB10" s="66"/>
      <c r="TC10" s="66"/>
      <c r="TD10" s="66"/>
      <c r="TE10" s="66"/>
      <c r="TF10" s="66"/>
      <c r="TG10" s="66"/>
      <c r="TH10" s="66"/>
      <c r="TI10" s="66"/>
      <c r="TJ10" s="66"/>
      <c r="TK10" s="66"/>
      <c r="TL10" s="66"/>
      <c r="TM10" s="66"/>
      <c r="TN10" s="66"/>
      <c r="TO10" s="66"/>
      <c r="TP10" s="66"/>
      <c r="TQ10" s="66"/>
      <c r="TR10" s="66"/>
      <c r="TS10" s="66"/>
      <c r="TT10" s="66"/>
      <c r="TU10" s="66"/>
      <c r="TV10" s="66"/>
      <c r="TW10" s="66"/>
      <c r="TX10" s="66"/>
      <c r="TY10" s="66"/>
      <c r="TZ10" s="66"/>
      <c r="UA10" s="66"/>
      <c r="UB10" s="66"/>
      <c r="UC10" s="66"/>
      <c r="UD10" s="66"/>
      <c r="UE10" s="66"/>
      <c r="UF10" s="66"/>
      <c r="UG10" s="66"/>
      <c r="UH10" s="66"/>
      <c r="UI10" s="66"/>
      <c r="UJ10" s="66"/>
      <c r="UK10" s="66"/>
      <c r="UL10" s="66"/>
      <c r="UM10" s="66"/>
      <c r="UN10" s="66"/>
      <c r="UO10" s="66"/>
      <c r="UP10" s="66"/>
      <c r="UQ10" s="66"/>
      <c r="UR10" s="66"/>
      <c r="US10" s="66"/>
      <c r="UT10" s="66"/>
      <c r="UU10" s="66"/>
      <c r="UV10" s="66"/>
      <c r="UW10" s="66"/>
      <c r="UX10" s="66"/>
      <c r="UY10" s="66"/>
      <c r="UZ10" s="66"/>
      <c r="VA10" s="66"/>
      <c r="VB10" s="66"/>
      <c r="VC10" s="66"/>
      <c r="VD10" s="66"/>
      <c r="VE10" s="66"/>
      <c r="VF10" s="66"/>
      <c r="VG10" s="66"/>
      <c r="VH10" s="66"/>
      <c r="VI10" s="66"/>
      <c r="VJ10" s="66"/>
      <c r="VK10" s="66"/>
      <c r="VL10" s="66"/>
      <c r="VM10" s="66"/>
      <c r="VN10" s="66"/>
      <c r="VO10" s="66"/>
      <c r="VP10" s="66"/>
      <c r="VQ10" s="66"/>
      <c r="VR10" s="66"/>
      <c r="VS10" s="66"/>
      <c r="VT10" s="66"/>
      <c r="VU10" s="66"/>
      <c r="VV10" s="66"/>
      <c r="VW10" s="66"/>
      <c r="VX10" s="66"/>
      <c r="VY10" s="66"/>
      <c r="VZ10" s="66"/>
      <c r="WA10" s="66"/>
      <c r="WB10" s="66"/>
      <c r="WC10" s="66"/>
      <c r="WD10" s="66"/>
      <c r="WE10" s="66"/>
      <c r="WF10" s="66"/>
      <c r="WG10" s="66"/>
      <c r="WH10" s="66"/>
      <c r="WI10" s="66"/>
      <c r="WJ10" s="66"/>
      <c r="WK10" s="66"/>
      <c r="WL10" s="66"/>
      <c r="WM10" s="66"/>
      <c r="WN10" s="66"/>
      <c r="WO10" s="66"/>
      <c r="WP10" s="66"/>
      <c r="WQ10" s="66"/>
      <c r="WR10" s="66"/>
      <c r="WS10" s="66"/>
      <c r="WT10" s="66"/>
      <c r="WU10" s="66"/>
      <c r="WV10" s="66"/>
      <c r="WW10" s="66"/>
      <c r="WX10" s="66"/>
      <c r="WY10" s="66"/>
      <c r="WZ10" s="66"/>
      <c r="XA10" s="66"/>
      <c r="XB10" s="66"/>
      <c r="XC10" s="66"/>
      <c r="XD10" s="66"/>
      <c r="XE10" s="66"/>
      <c r="XF10" s="66"/>
      <c r="XG10" s="66"/>
      <c r="XH10" s="66"/>
      <c r="XI10" s="66"/>
      <c r="XJ10" s="66"/>
      <c r="XK10" s="66"/>
      <c r="XL10" s="66"/>
      <c r="XM10" s="66"/>
      <c r="XN10" s="66"/>
      <c r="XO10" s="66"/>
      <c r="XP10" s="66"/>
      <c r="XQ10" s="66"/>
      <c r="XR10" s="66"/>
      <c r="XS10" s="66"/>
      <c r="XT10" s="66"/>
      <c r="XU10" s="66"/>
      <c r="XV10" s="66"/>
      <c r="XW10" s="66"/>
      <c r="XX10" s="66"/>
      <c r="XY10" s="66"/>
      <c r="XZ10" s="66"/>
      <c r="YA10" s="66"/>
      <c r="YB10" s="66"/>
      <c r="YC10" s="66"/>
      <c r="YD10" s="66"/>
      <c r="YE10" s="66"/>
      <c r="YF10" s="66"/>
      <c r="YG10" s="66"/>
      <c r="YH10" s="66"/>
      <c r="YI10" s="66"/>
      <c r="YJ10" s="66"/>
      <c r="YK10" s="66"/>
      <c r="YL10" s="66"/>
      <c r="YM10" s="66"/>
      <c r="YN10" s="66"/>
      <c r="YO10" s="66"/>
      <c r="YP10" s="66"/>
      <c r="YQ10" s="66"/>
      <c r="YR10" s="66"/>
      <c r="YS10" s="66"/>
      <c r="YT10" s="66"/>
      <c r="YU10" s="66"/>
      <c r="YV10" s="66"/>
      <c r="YW10" s="66"/>
      <c r="YX10" s="66"/>
      <c r="YY10" s="66"/>
      <c r="YZ10" s="66"/>
      <c r="ZA10" s="66"/>
      <c r="ZB10" s="66"/>
      <c r="ZC10" s="66"/>
      <c r="ZD10" s="66"/>
      <c r="ZE10" s="66"/>
      <c r="ZF10" s="66"/>
      <c r="ZG10" s="66"/>
      <c r="ZH10" s="66"/>
      <c r="ZI10" s="66"/>
      <c r="ZJ10" s="66"/>
      <c r="ZK10" s="66"/>
      <c r="ZL10" s="66"/>
      <c r="ZM10" s="66"/>
      <c r="ZN10" s="66"/>
      <c r="ZO10" s="66"/>
      <c r="ZP10" s="66"/>
      <c r="ZQ10" s="66"/>
      <c r="ZR10" s="66"/>
      <c r="ZS10" s="66"/>
      <c r="ZT10" s="66"/>
      <c r="ZU10" s="66"/>
      <c r="ZV10" s="66"/>
      <c r="ZW10" s="66"/>
      <c r="ZX10" s="66"/>
    </row>
    <row r="11" spans="1:700" s="20" customFormat="1" ht="15.75" x14ac:dyDescent="0.25">
      <c r="A11" s="70"/>
      <c r="B11" s="71"/>
      <c r="C11" s="71"/>
      <c r="D11" s="109"/>
      <c r="E11" s="111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  <c r="CH11" s="66"/>
      <c r="CI11" s="66"/>
      <c r="CJ11" s="66"/>
      <c r="CK11" s="66"/>
      <c r="CL11" s="66"/>
      <c r="CM11" s="66"/>
      <c r="CN11" s="66"/>
      <c r="CO11" s="66"/>
      <c r="CP11" s="66"/>
      <c r="CQ11" s="66"/>
      <c r="CR11" s="66"/>
      <c r="CS11" s="66"/>
      <c r="CT11" s="66"/>
      <c r="CU11" s="66"/>
      <c r="CV11" s="66"/>
      <c r="CW11" s="66"/>
      <c r="CX11" s="66"/>
      <c r="CY11" s="66"/>
      <c r="CZ11" s="66"/>
      <c r="DA11" s="66"/>
      <c r="DB11" s="66"/>
      <c r="DC11" s="66"/>
      <c r="DD11" s="66"/>
      <c r="DE11" s="66"/>
      <c r="DF11" s="66"/>
      <c r="DG11" s="66"/>
      <c r="DH11" s="66"/>
      <c r="DI11" s="66"/>
      <c r="DJ11" s="66"/>
      <c r="DK11" s="66"/>
      <c r="DL11" s="66"/>
      <c r="DM11" s="66"/>
      <c r="DN11" s="66"/>
      <c r="DO11" s="66"/>
      <c r="DP11" s="66"/>
      <c r="DQ11" s="66"/>
      <c r="DR11" s="66"/>
      <c r="DS11" s="66"/>
      <c r="DT11" s="66"/>
      <c r="DU11" s="66"/>
      <c r="DV11" s="66"/>
      <c r="DW11" s="66"/>
      <c r="DX11" s="66"/>
      <c r="DY11" s="66"/>
      <c r="DZ11" s="66"/>
      <c r="EA11" s="66"/>
      <c r="EB11" s="66"/>
      <c r="EC11" s="66"/>
      <c r="ED11" s="66"/>
      <c r="EE11" s="66"/>
      <c r="EF11" s="66"/>
      <c r="EG11" s="66"/>
      <c r="EH11" s="66"/>
      <c r="EI11" s="66"/>
      <c r="EJ11" s="66"/>
      <c r="EK11" s="66"/>
      <c r="EL11" s="66"/>
      <c r="EM11" s="66"/>
      <c r="EN11" s="66"/>
      <c r="EO11" s="66"/>
      <c r="EP11" s="66"/>
      <c r="EQ11" s="66"/>
      <c r="ER11" s="66"/>
      <c r="ES11" s="66"/>
      <c r="ET11" s="66"/>
      <c r="EU11" s="66"/>
      <c r="EV11" s="66"/>
      <c r="EW11" s="66"/>
      <c r="EX11" s="66"/>
      <c r="EY11" s="66"/>
      <c r="EZ11" s="66"/>
      <c r="FA11" s="66"/>
      <c r="FB11" s="66"/>
      <c r="FC11" s="66"/>
      <c r="FD11" s="66"/>
      <c r="FE11" s="66"/>
      <c r="FF11" s="66"/>
      <c r="FG11" s="66"/>
      <c r="FH11" s="66"/>
      <c r="FI11" s="66"/>
      <c r="FJ11" s="66"/>
      <c r="FK11" s="66"/>
      <c r="FL11" s="66"/>
      <c r="FM11" s="66"/>
      <c r="FN11" s="66"/>
      <c r="FO11" s="66"/>
      <c r="FP11" s="66"/>
      <c r="FQ11" s="66"/>
      <c r="FR11" s="66"/>
      <c r="FS11" s="66"/>
      <c r="FT11" s="66"/>
      <c r="FU11" s="66"/>
      <c r="FV11" s="66"/>
      <c r="FW11" s="66"/>
      <c r="FX11" s="66"/>
      <c r="FY11" s="66"/>
      <c r="FZ11" s="66"/>
      <c r="GA11" s="66"/>
      <c r="GB11" s="66"/>
      <c r="GC11" s="66"/>
      <c r="GD11" s="66"/>
      <c r="GE11" s="66"/>
      <c r="GF11" s="66"/>
      <c r="GG11" s="66"/>
      <c r="GH11" s="66"/>
      <c r="GI11" s="66"/>
      <c r="GJ11" s="66"/>
      <c r="GK11" s="66"/>
      <c r="GL11" s="66"/>
      <c r="GM11" s="66"/>
      <c r="GN11" s="66"/>
      <c r="GO11" s="66"/>
      <c r="GP11" s="66"/>
      <c r="GQ11" s="66"/>
      <c r="GR11" s="66"/>
      <c r="GS11" s="66"/>
      <c r="GT11" s="66"/>
      <c r="GU11" s="66"/>
      <c r="GV11" s="66"/>
      <c r="GW11" s="66"/>
      <c r="GX11" s="66"/>
      <c r="GY11" s="66"/>
      <c r="GZ11" s="66"/>
      <c r="HA11" s="66"/>
      <c r="HB11" s="66"/>
      <c r="HC11" s="66"/>
      <c r="HD11" s="66"/>
      <c r="HE11" s="66"/>
      <c r="HF11" s="66"/>
      <c r="HG11" s="66"/>
      <c r="HH11" s="66"/>
      <c r="HI11" s="66"/>
      <c r="HJ11" s="66"/>
      <c r="HK11" s="66"/>
      <c r="HL11" s="66"/>
      <c r="HM11" s="66"/>
      <c r="HN11" s="66"/>
      <c r="HO11" s="66"/>
      <c r="HP11" s="66"/>
      <c r="HQ11" s="66"/>
      <c r="HR11" s="66"/>
      <c r="HS11" s="66"/>
      <c r="HT11" s="66"/>
      <c r="HU11" s="66"/>
      <c r="HV11" s="66"/>
      <c r="HW11" s="66"/>
      <c r="HX11" s="66"/>
      <c r="HY11" s="66"/>
      <c r="HZ11" s="66"/>
      <c r="IA11" s="66"/>
      <c r="IB11" s="66"/>
      <c r="IC11" s="66"/>
      <c r="ID11" s="66"/>
      <c r="IE11" s="66"/>
      <c r="IF11" s="66"/>
      <c r="IG11" s="66"/>
      <c r="IH11" s="66"/>
      <c r="II11" s="66"/>
      <c r="IJ11" s="66"/>
      <c r="IK11" s="66"/>
      <c r="IL11" s="66"/>
      <c r="IM11" s="66"/>
      <c r="IN11" s="66"/>
      <c r="IO11" s="66"/>
      <c r="IP11" s="66"/>
      <c r="IQ11" s="66"/>
      <c r="IR11" s="66"/>
      <c r="IS11" s="66"/>
      <c r="IT11" s="66"/>
      <c r="IU11" s="66"/>
      <c r="IV11" s="66"/>
      <c r="IW11" s="66"/>
      <c r="IX11" s="66"/>
      <c r="IY11" s="66"/>
      <c r="IZ11" s="66"/>
      <c r="JA11" s="66"/>
      <c r="JB11" s="66"/>
      <c r="JC11" s="66"/>
      <c r="JD11" s="66"/>
      <c r="JE11" s="66"/>
      <c r="JF11" s="66"/>
      <c r="JG11" s="66"/>
      <c r="JH11" s="66"/>
      <c r="JI11" s="66"/>
      <c r="JJ11" s="66"/>
      <c r="JK11" s="66"/>
      <c r="JL11" s="66"/>
      <c r="JM11" s="66"/>
      <c r="JN11" s="66"/>
      <c r="JO11" s="66"/>
      <c r="JP11" s="66"/>
      <c r="JQ11" s="66"/>
      <c r="JR11" s="66"/>
      <c r="JS11" s="66"/>
      <c r="JT11" s="66"/>
      <c r="JU11" s="66"/>
      <c r="JV11" s="66"/>
      <c r="JW11" s="66"/>
      <c r="JX11" s="66"/>
      <c r="JY11" s="66"/>
      <c r="JZ11" s="66"/>
      <c r="KA11" s="66"/>
      <c r="KB11" s="66"/>
      <c r="KC11" s="66"/>
      <c r="KD11" s="66"/>
      <c r="KE11" s="66"/>
      <c r="KF11" s="66"/>
      <c r="KG11" s="66"/>
      <c r="KH11" s="66"/>
      <c r="KI11" s="66"/>
      <c r="KJ11" s="66"/>
      <c r="KK11" s="66"/>
      <c r="KL11" s="66"/>
      <c r="KM11" s="66"/>
      <c r="KN11" s="66"/>
      <c r="KO11" s="66"/>
      <c r="KP11" s="66"/>
      <c r="KQ11" s="66"/>
      <c r="KR11" s="66"/>
      <c r="KS11" s="66"/>
      <c r="KT11" s="66"/>
      <c r="KU11" s="66"/>
      <c r="KV11" s="66"/>
      <c r="KW11" s="66"/>
      <c r="KX11" s="66"/>
      <c r="KY11" s="66"/>
      <c r="KZ11" s="66"/>
      <c r="LA11" s="66"/>
      <c r="LB11" s="66"/>
      <c r="LC11" s="66"/>
      <c r="LD11" s="66"/>
      <c r="LE11" s="66"/>
      <c r="LF11" s="66"/>
      <c r="LG11" s="66"/>
      <c r="LH11" s="66"/>
      <c r="LI11" s="66"/>
      <c r="LJ11" s="66"/>
      <c r="LK11" s="66"/>
      <c r="LL11" s="66"/>
      <c r="LM11" s="66"/>
      <c r="LN11" s="66"/>
      <c r="LO11" s="66"/>
      <c r="LP11" s="66"/>
      <c r="LQ11" s="66"/>
      <c r="LR11" s="66"/>
      <c r="LS11" s="66"/>
      <c r="LT11" s="66"/>
      <c r="LU11" s="66"/>
      <c r="LV11" s="66"/>
      <c r="LW11" s="66"/>
      <c r="LX11" s="66"/>
      <c r="LY11" s="66"/>
      <c r="LZ11" s="66"/>
      <c r="MA11" s="66"/>
      <c r="MB11" s="66"/>
      <c r="MC11" s="66"/>
      <c r="MD11" s="66"/>
      <c r="ME11" s="66"/>
      <c r="MF11" s="66"/>
      <c r="MG11" s="66"/>
      <c r="MH11" s="66"/>
      <c r="MI11" s="66"/>
      <c r="MJ11" s="66"/>
      <c r="MK11" s="66"/>
      <c r="ML11" s="66"/>
      <c r="MM11" s="66"/>
      <c r="MN11" s="66"/>
      <c r="MO11" s="66"/>
      <c r="MP11" s="66"/>
      <c r="MQ11" s="66"/>
      <c r="MR11" s="66"/>
      <c r="MS11" s="66"/>
      <c r="MT11" s="66"/>
      <c r="MU11" s="66"/>
      <c r="MV11" s="66"/>
      <c r="MW11" s="66"/>
      <c r="MX11" s="66"/>
      <c r="MY11" s="66"/>
      <c r="MZ11" s="66"/>
      <c r="NA11" s="66"/>
      <c r="NB11" s="66"/>
      <c r="NC11" s="66"/>
      <c r="ND11" s="66"/>
      <c r="NE11" s="66"/>
      <c r="NF11" s="66"/>
      <c r="NG11" s="66"/>
      <c r="NH11" s="66"/>
      <c r="NI11" s="66"/>
      <c r="NJ11" s="66"/>
      <c r="NK11" s="66"/>
      <c r="NL11" s="66"/>
      <c r="NM11" s="66"/>
      <c r="NN11" s="66"/>
      <c r="NO11" s="66"/>
      <c r="NP11" s="66"/>
      <c r="NQ11" s="66"/>
      <c r="NR11" s="66"/>
      <c r="NS11" s="66"/>
      <c r="NT11" s="66"/>
      <c r="NU11" s="66"/>
      <c r="NV11" s="66"/>
      <c r="NW11" s="66"/>
      <c r="NX11" s="66"/>
      <c r="NY11" s="66"/>
      <c r="NZ11" s="66"/>
      <c r="OA11" s="66"/>
      <c r="OB11" s="66"/>
      <c r="OC11" s="66"/>
      <c r="OD11" s="66"/>
      <c r="OE11" s="66"/>
      <c r="OF11" s="66"/>
      <c r="OG11" s="66"/>
      <c r="OH11" s="66"/>
      <c r="OI11" s="66"/>
      <c r="OJ11" s="66"/>
      <c r="OK11" s="66"/>
      <c r="OL11" s="66"/>
      <c r="OM11" s="66"/>
      <c r="ON11" s="66"/>
      <c r="OO11" s="66"/>
      <c r="OP11" s="66"/>
      <c r="OQ11" s="66"/>
      <c r="OR11" s="66"/>
      <c r="OS11" s="66"/>
      <c r="OT11" s="66"/>
      <c r="OU11" s="66"/>
      <c r="OV11" s="66"/>
      <c r="OW11" s="66"/>
      <c r="OX11" s="66"/>
      <c r="OY11" s="66"/>
      <c r="OZ11" s="66"/>
      <c r="PA11" s="66"/>
      <c r="PB11" s="66"/>
      <c r="PC11" s="66"/>
      <c r="PD11" s="66"/>
      <c r="PE11" s="66"/>
      <c r="PF11" s="66"/>
      <c r="PG11" s="66"/>
      <c r="PH11" s="66"/>
      <c r="PI11" s="66"/>
      <c r="PJ11" s="66"/>
      <c r="PK11" s="66"/>
      <c r="PL11" s="66"/>
      <c r="PM11" s="66"/>
      <c r="PN11" s="66"/>
      <c r="PO11" s="66"/>
      <c r="PP11" s="66"/>
      <c r="PQ11" s="66"/>
      <c r="PR11" s="66"/>
      <c r="PS11" s="66"/>
      <c r="PT11" s="66"/>
      <c r="PU11" s="66"/>
      <c r="PV11" s="66"/>
      <c r="PW11" s="66"/>
      <c r="PX11" s="66"/>
      <c r="PY11" s="66"/>
      <c r="PZ11" s="66"/>
      <c r="QA11" s="66"/>
      <c r="QB11" s="66"/>
      <c r="QC11" s="66"/>
      <c r="QD11" s="66"/>
      <c r="QE11" s="66"/>
      <c r="QF11" s="66"/>
      <c r="QG11" s="66"/>
      <c r="QH11" s="66"/>
      <c r="QI11" s="66"/>
      <c r="QJ11" s="66"/>
      <c r="QK11" s="66"/>
      <c r="QL11" s="66"/>
      <c r="QM11" s="66"/>
      <c r="QN11" s="66"/>
      <c r="QO11" s="66"/>
      <c r="QP11" s="66"/>
      <c r="QQ11" s="66"/>
      <c r="QR11" s="66"/>
      <c r="QS11" s="66"/>
      <c r="QT11" s="66"/>
      <c r="QU11" s="66"/>
      <c r="QV11" s="66"/>
      <c r="QW11" s="66"/>
      <c r="QX11" s="66"/>
      <c r="QY11" s="66"/>
      <c r="QZ11" s="66"/>
      <c r="RA11" s="66"/>
      <c r="RB11" s="66"/>
      <c r="RC11" s="66"/>
      <c r="RD11" s="66"/>
      <c r="RE11" s="66"/>
      <c r="RF11" s="66"/>
      <c r="RG11" s="66"/>
      <c r="RH11" s="66"/>
      <c r="RI11" s="66"/>
      <c r="RJ11" s="66"/>
      <c r="RK11" s="66"/>
      <c r="RL11" s="66"/>
      <c r="RM11" s="66"/>
      <c r="RN11" s="66"/>
      <c r="RO11" s="66"/>
      <c r="RP11" s="66"/>
      <c r="RQ11" s="66"/>
      <c r="RR11" s="66"/>
      <c r="RS11" s="66"/>
      <c r="RT11" s="66"/>
      <c r="RU11" s="66"/>
      <c r="RV11" s="66"/>
      <c r="RW11" s="66"/>
      <c r="RX11" s="66"/>
      <c r="RY11" s="66"/>
      <c r="RZ11" s="66"/>
      <c r="SA11" s="66"/>
      <c r="SB11" s="66"/>
      <c r="SC11" s="66"/>
      <c r="SD11" s="66"/>
      <c r="SE11" s="66"/>
      <c r="SF11" s="66"/>
      <c r="SG11" s="66"/>
      <c r="SH11" s="66"/>
      <c r="SI11" s="66"/>
      <c r="SJ11" s="66"/>
      <c r="SK11" s="66"/>
      <c r="SL11" s="66"/>
      <c r="SM11" s="66"/>
      <c r="SN11" s="66"/>
      <c r="SO11" s="66"/>
      <c r="SP11" s="66"/>
      <c r="SQ11" s="66"/>
      <c r="SR11" s="66"/>
      <c r="SS11" s="66"/>
      <c r="ST11" s="66"/>
      <c r="SU11" s="66"/>
      <c r="SV11" s="66"/>
      <c r="SW11" s="66"/>
      <c r="SX11" s="66"/>
      <c r="SY11" s="66"/>
      <c r="SZ11" s="66"/>
      <c r="TA11" s="66"/>
      <c r="TB11" s="66"/>
      <c r="TC11" s="66"/>
      <c r="TD11" s="66"/>
      <c r="TE11" s="66"/>
      <c r="TF11" s="66"/>
      <c r="TG11" s="66"/>
      <c r="TH11" s="66"/>
      <c r="TI11" s="66"/>
      <c r="TJ11" s="66"/>
      <c r="TK11" s="66"/>
      <c r="TL11" s="66"/>
      <c r="TM11" s="66"/>
      <c r="TN11" s="66"/>
      <c r="TO11" s="66"/>
      <c r="TP11" s="66"/>
      <c r="TQ11" s="66"/>
      <c r="TR11" s="66"/>
      <c r="TS11" s="66"/>
      <c r="TT11" s="66"/>
      <c r="TU11" s="66"/>
      <c r="TV11" s="66"/>
      <c r="TW11" s="66"/>
      <c r="TX11" s="66"/>
      <c r="TY11" s="66"/>
      <c r="TZ11" s="66"/>
      <c r="UA11" s="66"/>
      <c r="UB11" s="66"/>
      <c r="UC11" s="66"/>
      <c r="UD11" s="66"/>
      <c r="UE11" s="66"/>
      <c r="UF11" s="66"/>
      <c r="UG11" s="66"/>
      <c r="UH11" s="66"/>
      <c r="UI11" s="66"/>
      <c r="UJ11" s="66"/>
      <c r="UK11" s="66"/>
      <c r="UL11" s="66"/>
      <c r="UM11" s="66"/>
      <c r="UN11" s="66"/>
      <c r="UO11" s="66"/>
      <c r="UP11" s="66"/>
      <c r="UQ11" s="66"/>
      <c r="UR11" s="66"/>
      <c r="US11" s="66"/>
      <c r="UT11" s="66"/>
      <c r="UU11" s="66"/>
      <c r="UV11" s="66"/>
      <c r="UW11" s="66"/>
      <c r="UX11" s="66"/>
      <c r="UY11" s="66"/>
      <c r="UZ11" s="66"/>
      <c r="VA11" s="66"/>
      <c r="VB11" s="66"/>
      <c r="VC11" s="66"/>
      <c r="VD11" s="66"/>
      <c r="VE11" s="66"/>
      <c r="VF11" s="66"/>
      <c r="VG11" s="66"/>
      <c r="VH11" s="66"/>
      <c r="VI11" s="66"/>
      <c r="VJ11" s="66"/>
      <c r="VK11" s="66"/>
      <c r="VL11" s="66"/>
      <c r="VM11" s="66"/>
      <c r="VN11" s="66"/>
      <c r="VO11" s="66"/>
      <c r="VP11" s="66"/>
      <c r="VQ11" s="66"/>
      <c r="VR11" s="66"/>
      <c r="VS11" s="66"/>
      <c r="VT11" s="66"/>
      <c r="VU11" s="66"/>
      <c r="VV11" s="66"/>
      <c r="VW11" s="66"/>
      <c r="VX11" s="66"/>
      <c r="VY11" s="66"/>
      <c r="VZ11" s="66"/>
      <c r="WA11" s="66"/>
      <c r="WB11" s="66"/>
      <c r="WC11" s="66"/>
      <c r="WD11" s="66"/>
      <c r="WE11" s="66"/>
      <c r="WF11" s="66"/>
      <c r="WG11" s="66"/>
      <c r="WH11" s="66"/>
      <c r="WI11" s="66"/>
      <c r="WJ11" s="66"/>
      <c r="WK11" s="66"/>
      <c r="WL11" s="66"/>
      <c r="WM11" s="66"/>
      <c r="WN11" s="66"/>
      <c r="WO11" s="66"/>
      <c r="WP11" s="66"/>
      <c r="WQ11" s="66"/>
      <c r="WR11" s="66"/>
      <c r="WS11" s="66"/>
      <c r="WT11" s="66"/>
      <c r="WU11" s="66"/>
      <c r="WV11" s="66"/>
      <c r="WW11" s="66"/>
      <c r="WX11" s="66"/>
      <c r="WY11" s="66"/>
      <c r="WZ11" s="66"/>
      <c r="XA11" s="66"/>
      <c r="XB11" s="66"/>
      <c r="XC11" s="66"/>
      <c r="XD11" s="66"/>
      <c r="XE11" s="66"/>
      <c r="XF11" s="66"/>
      <c r="XG11" s="66"/>
      <c r="XH11" s="66"/>
      <c r="XI11" s="66"/>
      <c r="XJ11" s="66"/>
      <c r="XK11" s="66"/>
      <c r="XL11" s="66"/>
      <c r="XM11" s="66"/>
      <c r="XN11" s="66"/>
      <c r="XO11" s="66"/>
      <c r="XP11" s="66"/>
      <c r="XQ11" s="66"/>
      <c r="XR11" s="66"/>
      <c r="XS11" s="66"/>
      <c r="XT11" s="66"/>
      <c r="XU11" s="66"/>
      <c r="XV11" s="66"/>
      <c r="XW11" s="66"/>
      <c r="XX11" s="66"/>
      <c r="XY11" s="66"/>
      <c r="XZ11" s="66"/>
      <c r="YA11" s="66"/>
      <c r="YB11" s="66"/>
      <c r="YC11" s="66"/>
      <c r="YD11" s="66"/>
      <c r="YE11" s="66"/>
      <c r="YF11" s="66"/>
      <c r="YG11" s="66"/>
      <c r="YH11" s="66"/>
      <c r="YI11" s="66"/>
      <c r="YJ11" s="66"/>
      <c r="YK11" s="66"/>
      <c r="YL11" s="66"/>
      <c r="YM11" s="66"/>
      <c r="YN11" s="66"/>
      <c r="YO11" s="66"/>
      <c r="YP11" s="66"/>
      <c r="YQ11" s="66"/>
      <c r="YR11" s="66"/>
      <c r="YS11" s="66"/>
      <c r="YT11" s="66"/>
      <c r="YU11" s="66"/>
      <c r="YV11" s="66"/>
      <c r="YW11" s="66"/>
      <c r="YX11" s="66"/>
      <c r="YY11" s="66"/>
      <c r="YZ11" s="66"/>
      <c r="ZA11" s="66"/>
      <c r="ZB11" s="66"/>
      <c r="ZC11" s="66"/>
      <c r="ZD11" s="66"/>
      <c r="ZE11" s="66"/>
      <c r="ZF11" s="66"/>
      <c r="ZG11" s="66"/>
      <c r="ZH11" s="66"/>
      <c r="ZI11" s="66"/>
      <c r="ZJ11" s="66"/>
      <c r="ZK11" s="66"/>
      <c r="ZL11" s="66"/>
      <c r="ZM11" s="66"/>
      <c r="ZN11" s="66"/>
      <c r="ZO11" s="66"/>
      <c r="ZP11" s="66"/>
      <c r="ZQ11" s="66"/>
      <c r="ZR11" s="66"/>
      <c r="ZS11" s="66"/>
      <c r="ZT11" s="66"/>
      <c r="ZU11" s="66"/>
      <c r="ZV11" s="66"/>
      <c r="ZW11" s="66"/>
      <c r="ZX11" s="66"/>
    </row>
    <row r="12" spans="1:700" s="20" customFormat="1" ht="15.75" x14ac:dyDescent="0.25">
      <c r="A12" s="125"/>
      <c r="B12" s="126"/>
      <c r="C12" s="126"/>
      <c r="D12" s="127"/>
      <c r="E12" s="128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  <c r="CH12" s="66"/>
      <c r="CI12" s="66"/>
      <c r="CJ12" s="66"/>
      <c r="CK12" s="66"/>
      <c r="CL12" s="66"/>
      <c r="CM12" s="66"/>
      <c r="CN12" s="66"/>
      <c r="CO12" s="66"/>
      <c r="CP12" s="66"/>
      <c r="CQ12" s="66"/>
      <c r="CR12" s="66"/>
      <c r="CS12" s="66"/>
      <c r="CT12" s="66"/>
      <c r="CU12" s="66"/>
      <c r="CV12" s="66"/>
      <c r="CW12" s="66"/>
      <c r="CX12" s="66"/>
      <c r="CY12" s="66"/>
      <c r="CZ12" s="66"/>
      <c r="DA12" s="66"/>
      <c r="DB12" s="66"/>
      <c r="DC12" s="66"/>
      <c r="DD12" s="66"/>
      <c r="DE12" s="66"/>
      <c r="DF12" s="66"/>
      <c r="DG12" s="66"/>
      <c r="DH12" s="66"/>
      <c r="DI12" s="66"/>
      <c r="DJ12" s="66"/>
      <c r="DK12" s="66"/>
      <c r="DL12" s="66"/>
      <c r="DM12" s="66"/>
      <c r="DN12" s="66"/>
      <c r="DO12" s="66"/>
      <c r="DP12" s="66"/>
      <c r="DQ12" s="66"/>
      <c r="DR12" s="66"/>
      <c r="DS12" s="66"/>
      <c r="DT12" s="66"/>
      <c r="DU12" s="66"/>
      <c r="DV12" s="66"/>
      <c r="DW12" s="66"/>
      <c r="DX12" s="66"/>
      <c r="DY12" s="66"/>
      <c r="DZ12" s="66"/>
      <c r="EA12" s="66"/>
      <c r="EB12" s="66"/>
      <c r="EC12" s="66"/>
      <c r="ED12" s="66"/>
      <c r="EE12" s="66"/>
      <c r="EF12" s="66"/>
      <c r="EG12" s="66"/>
      <c r="EH12" s="66"/>
      <c r="EI12" s="66"/>
      <c r="EJ12" s="6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66"/>
      <c r="EV12" s="66"/>
      <c r="EW12" s="66"/>
      <c r="EX12" s="66"/>
      <c r="EY12" s="66"/>
      <c r="EZ12" s="66"/>
      <c r="FA12" s="66"/>
      <c r="FB12" s="66"/>
      <c r="FC12" s="66"/>
      <c r="FD12" s="66"/>
      <c r="FE12" s="66"/>
      <c r="FF12" s="66"/>
      <c r="FG12" s="66"/>
      <c r="FH12" s="66"/>
      <c r="FI12" s="66"/>
      <c r="FJ12" s="66"/>
      <c r="FK12" s="66"/>
      <c r="FL12" s="66"/>
      <c r="FM12" s="66"/>
      <c r="FN12" s="66"/>
      <c r="FO12" s="66"/>
      <c r="FP12" s="66"/>
      <c r="FQ12" s="66"/>
      <c r="FR12" s="66"/>
      <c r="FS12" s="66"/>
      <c r="FT12" s="66"/>
      <c r="FU12" s="66"/>
      <c r="FV12" s="66"/>
      <c r="FW12" s="66"/>
      <c r="FX12" s="66"/>
      <c r="FY12" s="66"/>
      <c r="FZ12" s="66"/>
      <c r="GA12" s="66"/>
      <c r="GB12" s="66"/>
      <c r="GC12" s="66"/>
      <c r="GD12" s="66"/>
      <c r="GE12" s="66"/>
      <c r="GF12" s="66"/>
      <c r="GG12" s="66"/>
      <c r="GH12" s="66"/>
      <c r="GI12" s="66"/>
      <c r="GJ12" s="66"/>
      <c r="GK12" s="66"/>
      <c r="GL12" s="66"/>
      <c r="GM12" s="66"/>
      <c r="GN12" s="66"/>
      <c r="GO12" s="66"/>
      <c r="GP12" s="66"/>
      <c r="GQ12" s="66"/>
      <c r="GR12" s="66"/>
      <c r="GS12" s="66"/>
      <c r="GT12" s="66"/>
      <c r="GU12" s="66"/>
      <c r="GV12" s="66"/>
      <c r="GW12" s="66"/>
      <c r="GX12" s="66"/>
      <c r="GY12" s="66"/>
      <c r="GZ12" s="66"/>
      <c r="HA12" s="66"/>
      <c r="HB12" s="66"/>
      <c r="HC12" s="66"/>
      <c r="HD12" s="66"/>
      <c r="HE12" s="66"/>
      <c r="HF12" s="66"/>
      <c r="HG12" s="66"/>
      <c r="HH12" s="66"/>
      <c r="HI12" s="66"/>
      <c r="HJ12" s="66"/>
      <c r="HK12" s="66"/>
      <c r="HL12" s="66"/>
      <c r="HM12" s="66"/>
      <c r="HN12" s="66"/>
      <c r="HO12" s="66"/>
      <c r="HP12" s="66"/>
      <c r="HQ12" s="66"/>
      <c r="HR12" s="66"/>
      <c r="HS12" s="66"/>
      <c r="HT12" s="66"/>
      <c r="HU12" s="66"/>
      <c r="HV12" s="66"/>
      <c r="HW12" s="66"/>
      <c r="HX12" s="66"/>
      <c r="HY12" s="66"/>
      <c r="HZ12" s="66"/>
      <c r="IA12" s="66"/>
      <c r="IB12" s="66"/>
      <c r="IC12" s="66"/>
      <c r="ID12" s="66"/>
      <c r="IE12" s="66"/>
      <c r="IF12" s="66"/>
      <c r="IG12" s="66"/>
      <c r="IH12" s="66"/>
      <c r="II12" s="66"/>
      <c r="IJ12" s="66"/>
      <c r="IK12" s="66"/>
      <c r="IL12" s="66"/>
      <c r="IM12" s="66"/>
      <c r="IN12" s="66"/>
      <c r="IO12" s="66"/>
      <c r="IP12" s="66"/>
      <c r="IQ12" s="66"/>
      <c r="IR12" s="66"/>
      <c r="IS12" s="66"/>
      <c r="IT12" s="66"/>
      <c r="IU12" s="66"/>
      <c r="IV12" s="66"/>
      <c r="IW12" s="66"/>
      <c r="IX12" s="66"/>
      <c r="IY12" s="66"/>
      <c r="IZ12" s="66"/>
      <c r="JA12" s="66"/>
      <c r="JB12" s="66"/>
      <c r="JC12" s="66"/>
      <c r="JD12" s="66"/>
      <c r="JE12" s="66"/>
      <c r="JF12" s="66"/>
      <c r="JG12" s="66"/>
      <c r="JH12" s="66"/>
      <c r="JI12" s="66"/>
      <c r="JJ12" s="66"/>
      <c r="JK12" s="66"/>
      <c r="JL12" s="66"/>
      <c r="JM12" s="66"/>
      <c r="JN12" s="66"/>
      <c r="JO12" s="66"/>
      <c r="JP12" s="66"/>
      <c r="JQ12" s="66"/>
      <c r="JR12" s="66"/>
      <c r="JS12" s="66"/>
      <c r="JT12" s="66"/>
      <c r="JU12" s="66"/>
      <c r="JV12" s="66"/>
      <c r="JW12" s="66"/>
      <c r="JX12" s="66"/>
      <c r="JY12" s="66"/>
      <c r="JZ12" s="66"/>
      <c r="KA12" s="66"/>
      <c r="KB12" s="66"/>
      <c r="KC12" s="66"/>
      <c r="KD12" s="66"/>
      <c r="KE12" s="66"/>
      <c r="KF12" s="66"/>
      <c r="KG12" s="66"/>
      <c r="KH12" s="66"/>
      <c r="KI12" s="66"/>
      <c r="KJ12" s="66"/>
      <c r="KK12" s="66"/>
      <c r="KL12" s="66"/>
      <c r="KM12" s="66"/>
      <c r="KN12" s="66"/>
      <c r="KO12" s="66"/>
      <c r="KP12" s="66"/>
      <c r="KQ12" s="66"/>
      <c r="KR12" s="66"/>
      <c r="KS12" s="66"/>
      <c r="KT12" s="66"/>
      <c r="KU12" s="66"/>
      <c r="KV12" s="66"/>
      <c r="KW12" s="66"/>
      <c r="KX12" s="66"/>
      <c r="KY12" s="66"/>
      <c r="KZ12" s="66"/>
      <c r="LA12" s="66"/>
      <c r="LB12" s="66"/>
      <c r="LC12" s="66"/>
      <c r="LD12" s="66"/>
      <c r="LE12" s="66"/>
      <c r="LF12" s="66"/>
      <c r="LG12" s="66"/>
      <c r="LH12" s="66"/>
      <c r="LI12" s="66"/>
      <c r="LJ12" s="66"/>
      <c r="LK12" s="66"/>
      <c r="LL12" s="66"/>
      <c r="LM12" s="66"/>
      <c r="LN12" s="66"/>
      <c r="LO12" s="66"/>
      <c r="LP12" s="66"/>
      <c r="LQ12" s="66"/>
      <c r="LR12" s="66"/>
      <c r="LS12" s="66"/>
      <c r="LT12" s="66"/>
      <c r="LU12" s="66"/>
      <c r="LV12" s="66"/>
      <c r="LW12" s="66"/>
      <c r="LX12" s="66"/>
      <c r="LY12" s="66"/>
      <c r="LZ12" s="66"/>
      <c r="MA12" s="66"/>
      <c r="MB12" s="66"/>
      <c r="MC12" s="66"/>
      <c r="MD12" s="66"/>
      <c r="ME12" s="66"/>
      <c r="MF12" s="66"/>
      <c r="MG12" s="66"/>
      <c r="MH12" s="66"/>
      <c r="MI12" s="66"/>
      <c r="MJ12" s="66"/>
      <c r="MK12" s="66"/>
      <c r="ML12" s="66"/>
      <c r="MM12" s="66"/>
      <c r="MN12" s="66"/>
      <c r="MO12" s="66"/>
      <c r="MP12" s="66"/>
      <c r="MQ12" s="66"/>
      <c r="MR12" s="66"/>
      <c r="MS12" s="66"/>
      <c r="MT12" s="66"/>
      <c r="MU12" s="66"/>
      <c r="MV12" s="66"/>
      <c r="MW12" s="66"/>
      <c r="MX12" s="66"/>
      <c r="MY12" s="66"/>
      <c r="MZ12" s="66"/>
      <c r="NA12" s="66"/>
      <c r="NB12" s="66"/>
      <c r="NC12" s="66"/>
      <c r="ND12" s="66"/>
      <c r="NE12" s="66"/>
      <c r="NF12" s="66"/>
      <c r="NG12" s="66"/>
      <c r="NH12" s="66"/>
      <c r="NI12" s="66"/>
      <c r="NJ12" s="66"/>
      <c r="NK12" s="66"/>
      <c r="NL12" s="66"/>
      <c r="NM12" s="66"/>
      <c r="NN12" s="66"/>
      <c r="NO12" s="66"/>
      <c r="NP12" s="66"/>
      <c r="NQ12" s="66"/>
      <c r="NR12" s="66"/>
      <c r="NS12" s="66"/>
      <c r="NT12" s="66"/>
      <c r="NU12" s="66"/>
      <c r="NV12" s="66"/>
      <c r="NW12" s="66"/>
      <c r="NX12" s="66"/>
      <c r="NY12" s="66"/>
      <c r="NZ12" s="66"/>
      <c r="OA12" s="66"/>
      <c r="OB12" s="66"/>
      <c r="OC12" s="66"/>
      <c r="OD12" s="66"/>
      <c r="OE12" s="66"/>
      <c r="OF12" s="66"/>
      <c r="OG12" s="66"/>
      <c r="OH12" s="66"/>
      <c r="OI12" s="66"/>
      <c r="OJ12" s="66"/>
      <c r="OK12" s="66"/>
      <c r="OL12" s="66"/>
      <c r="OM12" s="66"/>
      <c r="ON12" s="66"/>
      <c r="OO12" s="66"/>
      <c r="OP12" s="66"/>
      <c r="OQ12" s="66"/>
      <c r="OR12" s="66"/>
      <c r="OS12" s="66"/>
      <c r="OT12" s="66"/>
      <c r="OU12" s="66"/>
      <c r="OV12" s="66"/>
      <c r="OW12" s="66"/>
      <c r="OX12" s="66"/>
      <c r="OY12" s="66"/>
      <c r="OZ12" s="66"/>
      <c r="PA12" s="66"/>
      <c r="PB12" s="66"/>
      <c r="PC12" s="66"/>
      <c r="PD12" s="66"/>
      <c r="PE12" s="66"/>
      <c r="PF12" s="66"/>
      <c r="PG12" s="66"/>
      <c r="PH12" s="66"/>
      <c r="PI12" s="66"/>
      <c r="PJ12" s="66"/>
      <c r="PK12" s="66"/>
      <c r="PL12" s="66"/>
      <c r="PM12" s="66"/>
      <c r="PN12" s="66"/>
      <c r="PO12" s="66"/>
      <c r="PP12" s="66"/>
      <c r="PQ12" s="66"/>
      <c r="PR12" s="66"/>
      <c r="PS12" s="66"/>
      <c r="PT12" s="66"/>
      <c r="PU12" s="66"/>
      <c r="PV12" s="66"/>
      <c r="PW12" s="66"/>
      <c r="PX12" s="66"/>
      <c r="PY12" s="66"/>
      <c r="PZ12" s="66"/>
      <c r="QA12" s="66"/>
      <c r="QB12" s="66"/>
      <c r="QC12" s="66"/>
      <c r="QD12" s="66"/>
      <c r="QE12" s="66"/>
      <c r="QF12" s="66"/>
      <c r="QG12" s="66"/>
      <c r="QH12" s="66"/>
      <c r="QI12" s="66"/>
      <c r="QJ12" s="66"/>
      <c r="QK12" s="66"/>
      <c r="QL12" s="66"/>
      <c r="QM12" s="66"/>
      <c r="QN12" s="66"/>
      <c r="QO12" s="66"/>
      <c r="QP12" s="66"/>
      <c r="QQ12" s="66"/>
      <c r="QR12" s="66"/>
      <c r="QS12" s="66"/>
      <c r="QT12" s="66"/>
      <c r="QU12" s="66"/>
      <c r="QV12" s="66"/>
      <c r="QW12" s="66"/>
      <c r="QX12" s="66"/>
      <c r="QY12" s="66"/>
      <c r="QZ12" s="66"/>
      <c r="RA12" s="66"/>
      <c r="RB12" s="66"/>
      <c r="RC12" s="66"/>
      <c r="RD12" s="66"/>
      <c r="RE12" s="66"/>
      <c r="RF12" s="66"/>
      <c r="RG12" s="66"/>
      <c r="RH12" s="66"/>
      <c r="RI12" s="66"/>
      <c r="RJ12" s="66"/>
      <c r="RK12" s="66"/>
      <c r="RL12" s="66"/>
      <c r="RM12" s="66"/>
      <c r="RN12" s="66"/>
      <c r="RO12" s="66"/>
      <c r="RP12" s="66"/>
      <c r="RQ12" s="66"/>
      <c r="RR12" s="66"/>
      <c r="RS12" s="66"/>
      <c r="RT12" s="66"/>
      <c r="RU12" s="66"/>
      <c r="RV12" s="66"/>
      <c r="RW12" s="66"/>
      <c r="RX12" s="66"/>
      <c r="RY12" s="66"/>
      <c r="RZ12" s="66"/>
      <c r="SA12" s="66"/>
      <c r="SB12" s="66"/>
      <c r="SC12" s="66"/>
      <c r="SD12" s="66"/>
      <c r="SE12" s="66"/>
      <c r="SF12" s="66"/>
      <c r="SG12" s="66"/>
      <c r="SH12" s="66"/>
      <c r="SI12" s="66"/>
      <c r="SJ12" s="66"/>
      <c r="SK12" s="66"/>
      <c r="SL12" s="66"/>
      <c r="SM12" s="66"/>
      <c r="SN12" s="66"/>
      <c r="SO12" s="66"/>
      <c r="SP12" s="66"/>
      <c r="SQ12" s="66"/>
      <c r="SR12" s="66"/>
      <c r="SS12" s="66"/>
      <c r="ST12" s="66"/>
      <c r="SU12" s="66"/>
      <c r="SV12" s="66"/>
      <c r="SW12" s="66"/>
      <c r="SX12" s="66"/>
      <c r="SY12" s="66"/>
      <c r="SZ12" s="66"/>
      <c r="TA12" s="66"/>
      <c r="TB12" s="66"/>
      <c r="TC12" s="66"/>
      <c r="TD12" s="66"/>
      <c r="TE12" s="66"/>
      <c r="TF12" s="66"/>
      <c r="TG12" s="66"/>
      <c r="TH12" s="66"/>
      <c r="TI12" s="66"/>
      <c r="TJ12" s="66"/>
      <c r="TK12" s="66"/>
      <c r="TL12" s="66"/>
      <c r="TM12" s="66"/>
      <c r="TN12" s="66"/>
      <c r="TO12" s="66"/>
      <c r="TP12" s="66"/>
      <c r="TQ12" s="66"/>
      <c r="TR12" s="66"/>
      <c r="TS12" s="66"/>
      <c r="TT12" s="66"/>
      <c r="TU12" s="66"/>
      <c r="TV12" s="66"/>
      <c r="TW12" s="66"/>
      <c r="TX12" s="66"/>
      <c r="TY12" s="66"/>
      <c r="TZ12" s="66"/>
      <c r="UA12" s="66"/>
      <c r="UB12" s="66"/>
      <c r="UC12" s="66"/>
      <c r="UD12" s="66"/>
      <c r="UE12" s="66"/>
      <c r="UF12" s="66"/>
      <c r="UG12" s="66"/>
      <c r="UH12" s="66"/>
      <c r="UI12" s="66"/>
      <c r="UJ12" s="66"/>
      <c r="UK12" s="66"/>
      <c r="UL12" s="66"/>
      <c r="UM12" s="66"/>
      <c r="UN12" s="66"/>
      <c r="UO12" s="66"/>
      <c r="UP12" s="66"/>
      <c r="UQ12" s="66"/>
      <c r="UR12" s="66"/>
      <c r="US12" s="66"/>
      <c r="UT12" s="66"/>
      <c r="UU12" s="66"/>
      <c r="UV12" s="66"/>
      <c r="UW12" s="66"/>
      <c r="UX12" s="66"/>
      <c r="UY12" s="66"/>
      <c r="UZ12" s="66"/>
      <c r="VA12" s="66"/>
      <c r="VB12" s="66"/>
      <c r="VC12" s="66"/>
      <c r="VD12" s="66"/>
      <c r="VE12" s="66"/>
      <c r="VF12" s="66"/>
      <c r="VG12" s="66"/>
      <c r="VH12" s="66"/>
      <c r="VI12" s="66"/>
      <c r="VJ12" s="66"/>
      <c r="VK12" s="66"/>
      <c r="VL12" s="66"/>
      <c r="VM12" s="66"/>
      <c r="VN12" s="66"/>
      <c r="VO12" s="66"/>
      <c r="VP12" s="66"/>
      <c r="VQ12" s="66"/>
      <c r="VR12" s="66"/>
      <c r="VS12" s="66"/>
      <c r="VT12" s="66"/>
      <c r="VU12" s="66"/>
      <c r="VV12" s="66"/>
      <c r="VW12" s="66"/>
      <c r="VX12" s="66"/>
      <c r="VY12" s="66"/>
      <c r="VZ12" s="66"/>
      <c r="WA12" s="66"/>
      <c r="WB12" s="66"/>
      <c r="WC12" s="66"/>
      <c r="WD12" s="66"/>
      <c r="WE12" s="66"/>
      <c r="WF12" s="66"/>
      <c r="WG12" s="66"/>
      <c r="WH12" s="66"/>
      <c r="WI12" s="66"/>
      <c r="WJ12" s="66"/>
      <c r="WK12" s="66"/>
      <c r="WL12" s="66"/>
      <c r="WM12" s="66"/>
      <c r="WN12" s="66"/>
      <c r="WO12" s="66"/>
      <c r="WP12" s="66"/>
      <c r="WQ12" s="66"/>
      <c r="WR12" s="66"/>
      <c r="WS12" s="66"/>
      <c r="WT12" s="66"/>
      <c r="WU12" s="66"/>
      <c r="WV12" s="66"/>
      <c r="WW12" s="66"/>
      <c r="WX12" s="66"/>
      <c r="WY12" s="66"/>
      <c r="WZ12" s="66"/>
      <c r="XA12" s="66"/>
      <c r="XB12" s="66"/>
      <c r="XC12" s="66"/>
      <c r="XD12" s="66"/>
      <c r="XE12" s="66"/>
      <c r="XF12" s="66"/>
      <c r="XG12" s="66"/>
      <c r="XH12" s="66"/>
      <c r="XI12" s="66"/>
      <c r="XJ12" s="66"/>
      <c r="XK12" s="66"/>
      <c r="XL12" s="66"/>
      <c r="XM12" s="66"/>
      <c r="XN12" s="66"/>
      <c r="XO12" s="66"/>
      <c r="XP12" s="66"/>
      <c r="XQ12" s="66"/>
      <c r="XR12" s="66"/>
      <c r="XS12" s="66"/>
      <c r="XT12" s="66"/>
      <c r="XU12" s="66"/>
      <c r="XV12" s="66"/>
      <c r="XW12" s="66"/>
      <c r="XX12" s="66"/>
      <c r="XY12" s="66"/>
      <c r="XZ12" s="66"/>
      <c r="YA12" s="66"/>
      <c r="YB12" s="66"/>
      <c r="YC12" s="66"/>
      <c r="YD12" s="66"/>
      <c r="YE12" s="66"/>
      <c r="YF12" s="66"/>
      <c r="YG12" s="66"/>
      <c r="YH12" s="66"/>
      <c r="YI12" s="66"/>
      <c r="YJ12" s="66"/>
      <c r="YK12" s="66"/>
      <c r="YL12" s="66"/>
      <c r="YM12" s="66"/>
      <c r="YN12" s="66"/>
      <c r="YO12" s="66"/>
      <c r="YP12" s="66"/>
      <c r="YQ12" s="66"/>
      <c r="YR12" s="66"/>
      <c r="YS12" s="66"/>
      <c r="YT12" s="66"/>
      <c r="YU12" s="66"/>
      <c r="YV12" s="66"/>
      <c r="YW12" s="66"/>
      <c r="YX12" s="66"/>
      <c r="YY12" s="66"/>
      <c r="YZ12" s="66"/>
      <c r="ZA12" s="66"/>
      <c r="ZB12" s="66"/>
      <c r="ZC12" s="66"/>
      <c r="ZD12" s="66"/>
      <c r="ZE12" s="66"/>
      <c r="ZF12" s="66"/>
      <c r="ZG12" s="66"/>
      <c r="ZH12" s="66"/>
      <c r="ZI12" s="66"/>
      <c r="ZJ12" s="66"/>
      <c r="ZK12" s="66"/>
      <c r="ZL12" s="66"/>
      <c r="ZM12" s="66"/>
      <c r="ZN12" s="66"/>
      <c r="ZO12" s="66"/>
      <c r="ZP12" s="66"/>
      <c r="ZQ12" s="66"/>
      <c r="ZR12" s="66"/>
      <c r="ZS12" s="66"/>
      <c r="ZT12" s="66"/>
      <c r="ZU12" s="66"/>
      <c r="ZV12" s="66"/>
      <c r="ZW12" s="66"/>
      <c r="ZX12" s="66"/>
    </row>
    <row r="13" spans="1:700" s="20" customFormat="1" ht="15.75" x14ac:dyDescent="0.25">
      <c r="A13" s="72"/>
      <c r="B13" s="73"/>
      <c r="C13" s="73"/>
      <c r="D13" s="108"/>
      <c r="E13" s="129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  <c r="CH13" s="66"/>
      <c r="CI13" s="66"/>
      <c r="CJ13" s="66"/>
      <c r="CK13" s="66"/>
      <c r="CL13" s="66"/>
      <c r="CM13" s="66"/>
      <c r="CN13" s="66"/>
      <c r="CO13" s="66"/>
      <c r="CP13" s="66"/>
      <c r="CQ13" s="66"/>
      <c r="CR13" s="66"/>
      <c r="CS13" s="66"/>
      <c r="CT13" s="66"/>
      <c r="CU13" s="66"/>
      <c r="CV13" s="66"/>
      <c r="CW13" s="66"/>
      <c r="CX13" s="66"/>
      <c r="CY13" s="66"/>
      <c r="CZ13" s="66"/>
      <c r="DA13" s="66"/>
      <c r="DB13" s="66"/>
      <c r="DC13" s="66"/>
      <c r="DD13" s="66"/>
      <c r="DE13" s="66"/>
      <c r="DF13" s="66"/>
      <c r="DG13" s="66"/>
      <c r="DH13" s="66"/>
      <c r="DI13" s="66"/>
      <c r="DJ13" s="66"/>
      <c r="DK13" s="66"/>
      <c r="DL13" s="66"/>
      <c r="DM13" s="66"/>
      <c r="DN13" s="66"/>
      <c r="DO13" s="66"/>
      <c r="DP13" s="66"/>
      <c r="DQ13" s="66"/>
      <c r="DR13" s="66"/>
      <c r="DS13" s="66"/>
      <c r="DT13" s="66"/>
      <c r="DU13" s="66"/>
      <c r="DV13" s="66"/>
      <c r="DW13" s="66"/>
      <c r="DX13" s="66"/>
      <c r="DY13" s="66"/>
      <c r="DZ13" s="66"/>
      <c r="EA13" s="66"/>
      <c r="EB13" s="66"/>
      <c r="EC13" s="66"/>
      <c r="ED13" s="66"/>
      <c r="EE13" s="66"/>
      <c r="EF13" s="66"/>
      <c r="EG13" s="66"/>
      <c r="EH13" s="66"/>
      <c r="EI13" s="66"/>
      <c r="EJ13" s="66"/>
      <c r="EK13" s="66"/>
      <c r="EL13" s="66"/>
      <c r="EM13" s="66"/>
      <c r="EN13" s="66"/>
      <c r="EO13" s="66"/>
      <c r="EP13" s="66"/>
      <c r="EQ13" s="66"/>
      <c r="ER13" s="66"/>
      <c r="ES13" s="66"/>
      <c r="ET13" s="66"/>
      <c r="EU13" s="66"/>
      <c r="EV13" s="66"/>
      <c r="EW13" s="66"/>
      <c r="EX13" s="66"/>
      <c r="EY13" s="66"/>
      <c r="EZ13" s="66"/>
      <c r="FA13" s="66"/>
      <c r="FB13" s="66"/>
      <c r="FC13" s="66"/>
      <c r="FD13" s="66"/>
      <c r="FE13" s="66"/>
      <c r="FF13" s="66"/>
      <c r="FG13" s="66"/>
      <c r="FH13" s="66"/>
      <c r="FI13" s="66"/>
      <c r="FJ13" s="66"/>
      <c r="FK13" s="66"/>
      <c r="FL13" s="66"/>
      <c r="FM13" s="66"/>
      <c r="FN13" s="66"/>
      <c r="FO13" s="66"/>
      <c r="FP13" s="66"/>
      <c r="FQ13" s="66"/>
      <c r="FR13" s="66"/>
      <c r="FS13" s="66"/>
      <c r="FT13" s="66"/>
      <c r="FU13" s="66"/>
      <c r="FV13" s="66"/>
      <c r="FW13" s="66"/>
      <c r="FX13" s="66"/>
      <c r="FY13" s="66"/>
      <c r="FZ13" s="66"/>
      <c r="GA13" s="66"/>
      <c r="GB13" s="66"/>
      <c r="GC13" s="66"/>
      <c r="GD13" s="66"/>
      <c r="GE13" s="66"/>
      <c r="GF13" s="66"/>
      <c r="GG13" s="66"/>
      <c r="GH13" s="66"/>
      <c r="GI13" s="66"/>
      <c r="GJ13" s="66"/>
      <c r="GK13" s="66"/>
      <c r="GL13" s="66"/>
      <c r="GM13" s="66"/>
      <c r="GN13" s="66"/>
      <c r="GO13" s="66"/>
      <c r="GP13" s="66"/>
      <c r="GQ13" s="66"/>
      <c r="GR13" s="66"/>
      <c r="GS13" s="66"/>
      <c r="GT13" s="66"/>
      <c r="GU13" s="66"/>
      <c r="GV13" s="66"/>
      <c r="GW13" s="66"/>
      <c r="GX13" s="66"/>
      <c r="GY13" s="66"/>
      <c r="GZ13" s="66"/>
      <c r="HA13" s="66"/>
      <c r="HB13" s="66"/>
      <c r="HC13" s="66"/>
      <c r="HD13" s="66"/>
      <c r="HE13" s="66"/>
      <c r="HF13" s="66"/>
      <c r="HG13" s="66"/>
      <c r="HH13" s="66"/>
      <c r="HI13" s="66"/>
      <c r="HJ13" s="66"/>
      <c r="HK13" s="66"/>
      <c r="HL13" s="66"/>
      <c r="HM13" s="66"/>
      <c r="HN13" s="66"/>
      <c r="HO13" s="66"/>
      <c r="HP13" s="66"/>
      <c r="HQ13" s="66"/>
      <c r="HR13" s="66"/>
      <c r="HS13" s="66"/>
      <c r="HT13" s="66"/>
      <c r="HU13" s="66"/>
      <c r="HV13" s="66"/>
      <c r="HW13" s="66"/>
      <c r="HX13" s="66"/>
      <c r="HY13" s="66"/>
      <c r="HZ13" s="66"/>
      <c r="IA13" s="66"/>
      <c r="IB13" s="66"/>
      <c r="IC13" s="66"/>
      <c r="ID13" s="66"/>
      <c r="IE13" s="66"/>
      <c r="IF13" s="66"/>
      <c r="IG13" s="66"/>
      <c r="IH13" s="66"/>
      <c r="II13" s="66"/>
      <c r="IJ13" s="66"/>
      <c r="IK13" s="66"/>
      <c r="IL13" s="66"/>
      <c r="IM13" s="66"/>
      <c r="IN13" s="66"/>
      <c r="IO13" s="66"/>
      <c r="IP13" s="66"/>
      <c r="IQ13" s="66"/>
      <c r="IR13" s="66"/>
      <c r="IS13" s="66"/>
      <c r="IT13" s="66"/>
      <c r="IU13" s="66"/>
      <c r="IV13" s="66"/>
      <c r="IW13" s="66"/>
      <c r="IX13" s="66"/>
      <c r="IY13" s="66"/>
      <c r="IZ13" s="66"/>
      <c r="JA13" s="66"/>
      <c r="JB13" s="66"/>
      <c r="JC13" s="66"/>
      <c r="JD13" s="66"/>
      <c r="JE13" s="66"/>
      <c r="JF13" s="66"/>
      <c r="JG13" s="66"/>
      <c r="JH13" s="66"/>
      <c r="JI13" s="66"/>
      <c r="JJ13" s="66"/>
      <c r="JK13" s="66"/>
      <c r="JL13" s="66"/>
      <c r="JM13" s="66"/>
      <c r="JN13" s="66"/>
      <c r="JO13" s="66"/>
      <c r="JP13" s="66"/>
      <c r="JQ13" s="66"/>
      <c r="JR13" s="66"/>
      <c r="JS13" s="66"/>
      <c r="JT13" s="66"/>
      <c r="JU13" s="66"/>
      <c r="JV13" s="66"/>
      <c r="JW13" s="66"/>
      <c r="JX13" s="66"/>
      <c r="JY13" s="66"/>
      <c r="JZ13" s="66"/>
      <c r="KA13" s="66"/>
      <c r="KB13" s="66"/>
      <c r="KC13" s="66"/>
      <c r="KD13" s="66"/>
      <c r="KE13" s="66"/>
      <c r="KF13" s="66"/>
      <c r="KG13" s="66"/>
      <c r="KH13" s="66"/>
      <c r="KI13" s="66"/>
      <c r="KJ13" s="66"/>
      <c r="KK13" s="66"/>
      <c r="KL13" s="66"/>
      <c r="KM13" s="66"/>
      <c r="KN13" s="66"/>
      <c r="KO13" s="66"/>
      <c r="KP13" s="66"/>
      <c r="KQ13" s="66"/>
      <c r="KR13" s="66"/>
      <c r="KS13" s="66"/>
      <c r="KT13" s="66"/>
      <c r="KU13" s="66"/>
      <c r="KV13" s="66"/>
      <c r="KW13" s="66"/>
      <c r="KX13" s="66"/>
      <c r="KY13" s="66"/>
      <c r="KZ13" s="66"/>
      <c r="LA13" s="66"/>
      <c r="LB13" s="66"/>
      <c r="LC13" s="66"/>
      <c r="LD13" s="66"/>
      <c r="LE13" s="66"/>
      <c r="LF13" s="66"/>
      <c r="LG13" s="66"/>
      <c r="LH13" s="66"/>
      <c r="LI13" s="66"/>
      <c r="LJ13" s="66"/>
      <c r="LK13" s="66"/>
      <c r="LL13" s="66"/>
      <c r="LM13" s="66"/>
      <c r="LN13" s="66"/>
      <c r="LO13" s="66"/>
      <c r="LP13" s="66"/>
      <c r="LQ13" s="66"/>
      <c r="LR13" s="66"/>
      <c r="LS13" s="66"/>
      <c r="LT13" s="66"/>
      <c r="LU13" s="66"/>
      <c r="LV13" s="66"/>
      <c r="LW13" s="66"/>
      <c r="LX13" s="66"/>
      <c r="LY13" s="66"/>
      <c r="LZ13" s="66"/>
      <c r="MA13" s="66"/>
      <c r="MB13" s="66"/>
      <c r="MC13" s="66"/>
      <c r="MD13" s="66"/>
      <c r="ME13" s="66"/>
      <c r="MF13" s="66"/>
      <c r="MG13" s="66"/>
      <c r="MH13" s="66"/>
      <c r="MI13" s="66"/>
      <c r="MJ13" s="66"/>
      <c r="MK13" s="66"/>
      <c r="ML13" s="66"/>
      <c r="MM13" s="66"/>
      <c r="MN13" s="66"/>
      <c r="MO13" s="66"/>
      <c r="MP13" s="66"/>
      <c r="MQ13" s="66"/>
      <c r="MR13" s="66"/>
      <c r="MS13" s="66"/>
      <c r="MT13" s="66"/>
      <c r="MU13" s="66"/>
      <c r="MV13" s="66"/>
      <c r="MW13" s="66"/>
      <c r="MX13" s="66"/>
      <c r="MY13" s="66"/>
      <c r="MZ13" s="66"/>
      <c r="NA13" s="66"/>
      <c r="NB13" s="66"/>
      <c r="NC13" s="66"/>
      <c r="ND13" s="66"/>
      <c r="NE13" s="66"/>
      <c r="NF13" s="66"/>
      <c r="NG13" s="66"/>
      <c r="NH13" s="66"/>
      <c r="NI13" s="66"/>
      <c r="NJ13" s="66"/>
      <c r="NK13" s="66"/>
      <c r="NL13" s="66"/>
      <c r="NM13" s="66"/>
      <c r="NN13" s="66"/>
      <c r="NO13" s="66"/>
      <c r="NP13" s="66"/>
      <c r="NQ13" s="66"/>
      <c r="NR13" s="66"/>
      <c r="NS13" s="66"/>
      <c r="NT13" s="66"/>
      <c r="NU13" s="66"/>
      <c r="NV13" s="66"/>
      <c r="NW13" s="66"/>
      <c r="NX13" s="66"/>
      <c r="NY13" s="66"/>
      <c r="NZ13" s="66"/>
      <c r="OA13" s="66"/>
      <c r="OB13" s="66"/>
      <c r="OC13" s="66"/>
      <c r="OD13" s="66"/>
      <c r="OE13" s="66"/>
      <c r="OF13" s="66"/>
      <c r="OG13" s="66"/>
      <c r="OH13" s="66"/>
      <c r="OI13" s="66"/>
      <c r="OJ13" s="66"/>
      <c r="OK13" s="66"/>
      <c r="OL13" s="66"/>
      <c r="OM13" s="66"/>
      <c r="ON13" s="66"/>
      <c r="OO13" s="66"/>
      <c r="OP13" s="66"/>
      <c r="OQ13" s="66"/>
      <c r="OR13" s="66"/>
      <c r="OS13" s="66"/>
      <c r="OT13" s="66"/>
      <c r="OU13" s="66"/>
      <c r="OV13" s="66"/>
      <c r="OW13" s="66"/>
      <c r="OX13" s="66"/>
      <c r="OY13" s="66"/>
      <c r="OZ13" s="66"/>
      <c r="PA13" s="66"/>
      <c r="PB13" s="66"/>
      <c r="PC13" s="66"/>
      <c r="PD13" s="66"/>
      <c r="PE13" s="66"/>
      <c r="PF13" s="66"/>
      <c r="PG13" s="66"/>
      <c r="PH13" s="66"/>
      <c r="PI13" s="66"/>
      <c r="PJ13" s="66"/>
      <c r="PK13" s="66"/>
      <c r="PL13" s="66"/>
      <c r="PM13" s="66"/>
      <c r="PN13" s="66"/>
      <c r="PO13" s="66"/>
      <c r="PP13" s="66"/>
      <c r="PQ13" s="66"/>
      <c r="PR13" s="66"/>
      <c r="PS13" s="66"/>
      <c r="PT13" s="66"/>
      <c r="PU13" s="66"/>
      <c r="PV13" s="66"/>
      <c r="PW13" s="66"/>
      <c r="PX13" s="66"/>
      <c r="PY13" s="66"/>
      <c r="PZ13" s="66"/>
      <c r="QA13" s="66"/>
      <c r="QB13" s="66"/>
      <c r="QC13" s="66"/>
      <c r="QD13" s="66"/>
      <c r="QE13" s="66"/>
      <c r="QF13" s="66"/>
      <c r="QG13" s="66"/>
      <c r="QH13" s="66"/>
      <c r="QI13" s="66"/>
      <c r="QJ13" s="66"/>
      <c r="QK13" s="66"/>
      <c r="QL13" s="66"/>
      <c r="QM13" s="66"/>
      <c r="QN13" s="66"/>
      <c r="QO13" s="66"/>
      <c r="QP13" s="66"/>
      <c r="QQ13" s="66"/>
      <c r="QR13" s="66"/>
      <c r="QS13" s="66"/>
      <c r="QT13" s="66"/>
      <c r="QU13" s="66"/>
      <c r="QV13" s="66"/>
      <c r="QW13" s="66"/>
      <c r="QX13" s="66"/>
      <c r="QY13" s="66"/>
      <c r="QZ13" s="66"/>
      <c r="RA13" s="66"/>
      <c r="RB13" s="66"/>
      <c r="RC13" s="66"/>
      <c r="RD13" s="66"/>
      <c r="RE13" s="66"/>
      <c r="RF13" s="66"/>
      <c r="RG13" s="66"/>
      <c r="RH13" s="66"/>
      <c r="RI13" s="66"/>
      <c r="RJ13" s="66"/>
      <c r="RK13" s="66"/>
      <c r="RL13" s="66"/>
      <c r="RM13" s="66"/>
      <c r="RN13" s="66"/>
      <c r="RO13" s="66"/>
      <c r="RP13" s="66"/>
      <c r="RQ13" s="66"/>
      <c r="RR13" s="66"/>
      <c r="RS13" s="66"/>
      <c r="RT13" s="66"/>
      <c r="RU13" s="66"/>
      <c r="RV13" s="66"/>
      <c r="RW13" s="66"/>
      <c r="RX13" s="66"/>
      <c r="RY13" s="66"/>
      <c r="RZ13" s="66"/>
      <c r="SA13" s="66"/>
      <c r="SB13" s="66"/>
      <c r="SC13" s="66"/>
      <c r="SD13" s="66"/>
      <c r="SE13" s="66"/>
      <c r="SF13" s="66"/>
      <c r="SG13" s="66"/>
      <c r="SH13" s="66"/>
      <c r="SI13" s="66"/>
      <c r="SJ13" s="66"/>
      <c r="SK13" s="66"/>
      <c r="SL13" s="66"/>
      <c r="SM13" s="66"/>
      <c r="SN13" s="66"/>
      <c r="SO13" s="66"/>
      <c r="SP13" s="66"/>
      <c r="SQ13" s="66"/>
      <c r="SR13" s="66"/>
      <c r="SS13" s="66"/>
      <c r="ST13" s="66"/>
      <c r="SU13" s="66"/>
      <c r="SV13" s="66"/>
      <c r="SW13" s="66"/>
      <c r="SX13" s="66"/>
      <c r="SY13" s="66"/>
      <c r="SZ13" s="66"/>
      <c r="TA13" s="66"/>
      <c r="TB13" s="66"/>
      <c r="TC13" s="66"/>
      <c r="TD13" s="66"/>
      <c r="TE13" s="66"/>
      <c r="TF13" s="66"/>
      <c r="TG13" s="66"/>
      <c r="TH13" s="66"/>
      <c r="TI13" s="66"/>
      <c r="TJ13" s="66"/>
      <c r="TK13" s="66"/>
      <c r="TL13" s="66"/>
      <c r="TM13" s="66"/>
      <c r="TN13" s="66"/>
      <c r="TO13" s="66"/>
      <c r="TP13" s="66"/>
      <c r="TQ13" s="66"/>
      <c r="TR13" s="66"/>
      <c r="TS13" s="66"/>
      <c r="TT13" s="66"/>
      <c r="TU13" s="66"/>
      <c r="TV13" s="66"/>
      <c r="TW13" s="66"/>
      <c r="TX13" s="66"/>
      <c r="TY13" s="66"/>
      <c r="TZ13" s="66"/>
      <c r="UA13" s="66"/>
      <c r="UB13" s="66"/>
      <c r="UC13" s="66"/>
      <c r="UD13" s="66"/>
      <c r="UE13" s="66"/>
      <c r="UF13" s="66"/>
      <c r="UG13" s="66"/>
      <c r="UH13" s="66"/>
      <c r="UI13" s="66"/>
      <c r="UJ13" s="66"/>
      <c r="UK13" s="66"/>
      <c r="UL13" s="66"/>
      <c r="UM13" s="66"/>
      <c r="UN13" s="66"/>
      <c r="UO13" s="66"/>
      <c r="UP13" s="66"/>
      <c r="UQ13" s="66"/>
      <c r="UR13" s="66"/>
      <c r="US13" s="66"/>
      <c r="UT13" s="66"/>
      <c r="UU13" s="66"/>
      <c r="UV13" s="66"/>
      <c r="UW13" s="66"/>
      <c r="UX13" s="66"/>
      <c r="UY13" s="66"/>
      <c r="UZ13" s="66"/>
      <c r="VA13" s="66"/>
      <c r="VB13" s="66"/>
      <c r="VC13" s="66"/>
      <c r="VD13" s="66"/>
      <c r="VE13" s="66"/>
      <c r="VF13" s="66"/>
      <c r="VG13" s="66"/>
      <c r="VH13" s="66"/>
      <c r="VI13" s="66"/>
      <c r="VJ13" s="66"/>
      <c r="VK13" s="66"/>
      <c r="VL13" s="66"/>
      <c r="VM13" s="66"/>
      <c r="VN13" s="66"/>
      <c r="VO13" s="66"/>
      <c r="VP13" s="66"/>
      <c r="VQ13" s="66"/>
      <c r="VR13" s="66"/>
      <c r="VS13" s="66"/>
      <c r="VT13" s="66"/>
      <c r="VU13" s="66"/>
      <c r="VV13" s="66"/>
      <c r="VW13" s="66"/>
      <c r="VX13" s="66"/>
      <c r="VY13" s="66"/>
      <c r="VZ13" s="66"/>
      <c r="WA13" s="66"/>
      <c r="WB13" s="66"/>
      <c r="WC13" s="66"/>
      <c r="WD13" s="66"/>
      <c r="WE13" s="66"/>
      <c r="WF13" s="66"/>
      <c r="WG13" s="66"/>
      <c r="WH13" s="66"/>
      <c r="WI13" s="66"/>
      <c r="WJ13" s="66"/>
      <c r="WK13" s="66"/>
      <c r="WL13" s="66"/>
      <c r="WM13" s="66"/>
      <c r="WN13" s="66"/>
      <c r="WO13" s="66"/>
      <c r="WP13" s="66"/>
      <c r="WQ13" s="66"/>
      <c r="WR13" s="66"/>
      <c r="WS13" s="66"/>
      <c r="WT13" s="66"/>
      <c r="WU13" s="66"/>
      <c r="WV13" s="66"/>
      <c r="WW13" s="66"/>
      <c r="WX13" s="66"/>
      <c r="WY13" s="66"/>
      <c r="WZ13" s="66"/>
      <c r="XA13" s="66"/>
      <c r="XB13" s="66"/>
      <c r="XC13" s="66"/>
      <c r="XD13" s="66"/>
      <c r="XE13" s="66"/>
      <c r="XF13" s="66"/>
      <c r="XG13" s="66"/>
      <c r="XH13" s="66"/>
      <c r="XI13" s="66"/>
      <c r="XJ13" s="66"/>
      <c r="XK13" s="66"/>
      <c r="XL13" s="66"/>
      <c r="XM13" s="66"/>
      <c r="XN13" s="66"/>
      <c r="XO13" s="66"/>
      <c r="XP13" s="66"/>
      <c r="XQ13" s="66"/>
      <c r="XR13" s="66"/>
      <c r="XS13" s="66"/>
      <c r="XT13" s="66"/>
      <c r="XU13" s="66"/>
      <c r="XV13" s="66"/>
      <c r="XW13" s="66"/>
      <c r="XX13" s="66"/>
      <c r="XY13" s="66"/>
      <c r="XZ13" s="66"/>
      <c r="YA13" s="66"/>
      <c r="YB13" s="66"/>
      <c r="YC13" s="66"/>
      <c r="YD13" s="66"/>
      <c r="YE13" s="66"/>
      <c r="YF13" s="66"/>
      <c r="YG13" s="66"/>
      <c r="YH13" s="66"/>
      <c r="YI13" s="66"/>
      <c r="YJ13" s="66"/>
      <c r="YK13" s="66"/>
      <c r="YL13" s="66"/>
      <c r="YM13" s="66"/>
      <c r="YN13" s="66"/>
      <c r="YO13" s="66"/>
      <c r="YP13" s="66"/>
      <c r="YQ13" s="66"/>
      <c r="YR13" s="66"/>
      <c r="YS13" s="66"/>
      <c r="YT13" s="66"/>
      <c r="YU13" s="66"/>
      <c r="YV13" s="66"/>
      <c r="YW13" s="66"/>
      <c r="YX13" s="66"/>
      <c r="YY13" s="66"/>
      <c r="YZ13" s="66"/>
      <c r="ZA13" s="66"/>
      <c r="ZB13" s="66"/>
      <c r="ZC13" s="66"/>
      <c r="ZD13" s="66"/>
      <c r="ZE13" s="66"/>
      <c r="ZF13" s="66"/>
      <c r="ZG13" s="66"/>
      <c r="ZH13" s="66"/>
      <c r="ZI13" s="66"/>
      <c r="ZJ13" s="66"/>
      <c r="ZK13" s="66"/>
      <c r="ZL13" s="66"/>
      <c r="ZM13" s="66"/>
      <c r="ZN13" s="66"/>
      <c r="ZO13" s="66"/>
      <c r="ZP13" s="66"/>
      <c r="ZQ13" s="66"/>
      <c r="ZR13" s="66"/>
      <c r="ZS13" s="66"/>
      <c r="ZT13" s="66"/>
      <c r="ZU13" s="66"/>
      <c r="ZV13" s="66"/>
      <c r="ZW13" s="66"/>
      <c r="ZX13" s="66"/>
    </row>
    <row r="14" spans="1:700" s="20" customFormat="1" ht="15.75" x14ac:dyDescent="0.25">
      <c r="A14" s="67"/>
      <c r="B14" s="68"/>
      <c r="C14" s="68"/>
      <c r="D14" s="69"/>
      <c r="E14" s="110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66"/>
      <c r="EZ14" s="66"/>
      <c r="FA14" s="66"/>
      <c r="FB14" s="66"/>
      <c r="FC14" s="66"/>
      <c r="FD14" s="66"/>
      <c r="FE14" s="66"/>
      <c r="FF14" s="66"/>
      <c r="FG14" s="66"/>
      <c r="FH14" s="66"/>
      <c r="FI14" s="66"/>
      <c r="FJ14" s="66"/>
      <c r="FK14" s="66"/>
      <c r="FL14" s="66"/>
      <c r="FM14" s="66"/>
      <c r="FN14" s="66"/>
      <c r="FO14" s="66"/>
      <c r="FP14" s="66"/>
      <c r="FQ14" s="66"/>
      <c r="FR14" s="66"/>
      <c r="FS14" s="66"/>
      <c r="FT14" s="66"/>
      <c r="FU14" s="66"/>
      <c r="FV14" s="66"/>
      <c r="FW14" s="66"/>
      <c r="FX14" s="66"/>
      <c r="FY14" s="66"/>
      <c r="FZ14" s="66"/>
      <c r="GA14" s="66"/>
      <c r="GB14" s="66"/>
      <c r="GC14" s="66"/>
      <c r="GD14" s="66"/>
      <c r="GE14" s="66"/>
      <c r="GF14" s="66"/>
      <c r="GG14" s="66"/>
      <c r="GH14" s="66"/>
      <c r="GI14" s="66"/>
      <c r="GJ14" s="66"/>
      <c r="GK14" s="66"/>
      <c r="GL14" s="66"/>
      <c r="GM14" s="66"/>
      <c r="GN14" s="66"/>
      <c r="GO14" s="66"/>
      <c r="GP14" s="66"/>
      <c r="GQ14" s="66"/>
      <c r="GR14" s="66"/>
      <c r="GS14" s="66"/>
      <c r="GT14" s="66"/>
      <c r="GU14" s="66"/>
      <c r="GV14" s="66"/>
      <c r="GW14" s="66"/>
      <c r="GX14" s="66"/>
      <c r="GY14" s="66"/>
      <c r="GZ14" s="66"/>
      <c r="HA14" s="66"/>
      <c r="HB14" s="66"/>
      <c r="HC14" s="66"/>
      <c r="HD14" s="66"/>
      <c r="HE14" s="66"/>
      <c r="HF14" s="66"/>
      <c r="HG14" s="66"/>
      <c r="HH14" s="66"/>
      <c r="HI14" s="66"/>
      <c r="HJ14" s="66"/>
      <c r="HK14" s="66"/>
      <c r="HL14" s="66"/>
      <c r="HM14" s="66"/>
      <c r="HN14" s="66"/>
      <c r="HO14" s="66"/>
      <c r="HP14" s="66"/>
      <c r="HQ14" s="66"/>
      <c r="HR14" s="66"/>
      <c r="HS14" s="66"/>
      <c r="HT14" s="66"/>
      <c r="HU14" s="66"/>
      <c r="HV14" s="66"/>
      <c r="HW14" s="66"/>
      <c r="HX14" s="66"/>
      <c r="HY14" s="66"/>
      <c r="HZ14" s="66"/>
      <c r="IA14" s="66"/>
      <c r="IB14" s="66"/>
      <c r="IC14" s="66"/>
      <c r="ID14" s="66"/>
      <c r="IE14" s="66"/>
      <c r="IF14" s="66"/>
      <c r="IG14" s="66"/>
      <c r="IH14" s="66"/>
      <c r="II14" s="66"/>
      <c r="IJ14" s="66"/>
      <c r="IK14" s="66"/>
      <c r="IL14" s="66"/>
      <c r="IM14" s="66"/>
      <c r="IN14" s="66"/>
      <c r="IO14" s="66"/>
      <c r="IP14" s="66"/>
      <c r="IQ14" s="66"/>
      <c r="IR14" s="66"/>
      <c r="IS14" s="66"/>
      <c r="IT14" s="66"/>
      <c r="IU14" s="66"/>
      <c r="IV14" s="66"/>
      <c r="IW14" s="66"/>
      <c r="IX14" s="66"/>
      <c r="IY14" s="66"/>
      <c r="IZ14" s="66"/>
      <c r="JA14" s="66"/>
      <c r="JB14" s="66"/>
      <c r="JC14" s="66"/>
      <c r="JD14" s="66"/>
      <c r="JE14" s="66"/>
      <c r="JF14" s="66"/>
      <c r="JG14" s="66"/>
      <c r="JH14" s="66"/>
      <c r="JI14" s="66"/>
      <c r="JJ14" s="66"/>
      <c r="JK14" s="66"/>
      <c r="JL14" s="66"/>
      <c r="JM14" s="66"/>
      <c r="JN14" s="66"/>
      <c r="JO14" s="66"/>
      <c r="JP14" s="66"/>
      <c r="JQ14" s="66"/>
      <c r="JR14" s="66"/>
      <c r="JS14" s="66"/>
      <c r="JT14" s="66"/>
      <c r="JU14" s="66"/>
      <c r="JV14" s="66"/>
      <c r="JW14" s="66"/>
      <c r="JX14" s="66"/>
      <c r="JY14" s="66"/>
      <c r="JZ14" s="66"/>
      <c r="KA14" s="66"/>
      <c r="KB14" s="66"/>
      <c r="KC14" s="66"/>
      <c r="KD14" s="66"/>
      <c r="KE14" s="66"/>
      <c r="KF14" s="66"/>
      <c r="KG14" s="66"/>
      <c r="KH14" s="66"/>
      <c r="KI14" s="66"/>
      <c r="KJ14" s="66"/>
      <c r="KK14" s="66"/>
      <c r="KL14" s="66"/>
      <c r="KM14" s="66"/>
      <c r="KN14" s="66"/>
      <c r="KO14" s="66"/>
      <c r="KP14" s="66"/>
      <c r="KQ14" s="66"/>
      <c r="KR14" s="66"/>
      <c r="KS14" s="66"/>
      <c r="KT14" s="66"/>
      <c r="KU14" s="66"/>
      <c r="KV14" s="66"/>
      <c r="KW14" s="66"/>
      <c r="KX14" s="66"/>
      <c r="KY14" s="66"/>
      <c r="KZ14" s="66"/>
      <c r="LA14" s="66"/>
      <c r="LB14" s="66"/>
      <c r="LC14" s="66"/>
      <c r="LD14" s="66"/>
      <c r="LE14" s="66"/>
      <c r="LF14" s="66"/>
      <c r="LG14" s="66"/>
      <c r="LH14" s="66"/>
      <c r="LI14" s="66"/>
      <c r="LJ14" s="66"/>
      <c r="LK14" s="66"/>
      <c r="LL14" s="66"/>
      <c r="LM14" s="66"/>
      <c r="LN14" s="66"/>
      <c r="LO14" s="66"/>
      <c r="LP14" s="66"/>
      <c r="LQ14" s="66"/>
      <c r="LR14" s="66"/>
      <c r="LS14" s="66"/>
      <c r="LT14" s="66"/>
      <c r="LU14" s="66"/>
      <c r="LV14" s="66"/>
      <c r="LW14" s="66"/>
      <c r="LX14" s="66"/>
      <c r="LY14" s="66"/>
      <c r="LZ14" s="66"/>
      <c r="MA14" s="66"/>
      <c r="MB14" s="66"/>
      <c r="MC14" s="66"/>
      <c r="MD14" s="66"/>
      <c r="ME14" s="66"/>
      <c r="MF14" s="66"/>
      <c r="MG14" s="66"/>
      <c r="MH14" s="66"/>
      <c r="MI14" s="66"/>
      <c r="MJ14" s="66"/>
      <c r="MK14" s="66"/>
      <c r="ML14" s="66"/>
      <c r="MM14" s="66"/>
      <c r="MN14" s="66"/>
      <c r="MO14" s="66"/>
      <c r="MP14" s="66"/>
      <c r="MQ14" s="66"/>
      <c r="MR14" s="66"/>
      <c r="MS14" s="66"/>
      <c r="MT14" s="66"/>
      <c r="MU14" s="66"/>
      <c r="MV14" s="66"/>
      <c r="MW14" s="66"/>
      <c r="MX14" s="66"/>
      <c r="MY14" s="66"/>
      <c r="MZ14" s="66"/>
      <c r="NA14" s="66"/>
      <c r="NB14" s="66"/>
      <c r="NC14" s="66"/>
      <c r="ND14" s="66"/>
      <c r="NE14" s="66"/>
      <c r="NF14" s="66"/>
      <c r="NG14" s="66"/>
      <c r="NH14" s="66"/>
      <c r="NI14" s="66"/>
      <c r="NJ14" s="66"/>
      <c r="NK14" s="66"/>
      <c r="NL14" s="66"/>
      <c r="NM14" s="66"/>
      <c r="NN14" s="66"/>
      <c r="NO14" s="66"/>
      <c r="NP14" s="66"/>
      <c r="NQ14" s="66"/>
      <c r="NR14" s="66"/>
      <c r="NS14" s="66"/>
      <c r="NT14" s="66"/>
      <c r="NU14" s="66"/>
      <c r="NV14" s="66"/>
      <c r="NW14" s="66"/>
      <c r="NX14" s="66"/>
      <c r="NY14" s="66"/>
      <c r="NZ14" s="66"/>
      <c r="OA14" s="66"/>
      <c r="OB14" s="66"/>
      <c r="OC14" s="66"/>
      <c r="OD14" s="66"/>
      <c r="OE14" s="66"/>
      <c r="OF14" s="66"/>
      <c r="OG14" s="66"/>
      <c r="OH14" s="66"/>
      <c r="OI14" s="66"/>
      <c r="OJ14" s="66"/>
      <c r="OK14" s="66"/>
      <c r="OL14" s="66"/>
      <c r="OM14" s="66"/>
      <c r="ON14" s="66"/>
      <c r="OO14" s="66"/>
      <c r="OP14" s="66"/>
      <c r="OQ14" s="66"/>
      <c r="OR14" s="66"/>
      <c r="OS14" s="66"/>
      <c r="OT14" s="66"/>
      <c r="OU14" s="66"/>
      <c r="OV14" s="66"/>
      <c r="OW14" s="66"/>
      <c r="OX14" s="66"/>
      <c r="OY14" s="66"/>
      <c r="OZ14" s="66"/>
      <c r="PA14" s="66"/>
      <c r="PB14" s="66"/>
      <c r="PC14" s="66"/>
      <c r="PD14" s="66"/>
      <c r="PE14" s="66"/>
      <c r="PF14" s="66"/>
      <c r="PG14" s="66"/>
      <c r="PH14" s="66"/>
      <c r="PI14" s="66"/>
      <c r="PJ14" s="66"/>
      <c r="PK14" s="66"/>
      <c r="PL14" s="66"/>
      <c r="PM14" s="66"/>
      <c r="PN14" s="66"/>
      <c r="PO14" s="66"/>
      <c r="PP14" s="66"/>
      <c r="PQ14" s="66"/>
      <c r="PR14" s="66"/>
      <c r="PS14" s="66"/>
      <c r="PT14" s="66"/>
      <c r="PU14" s="66"/>
      <c r="PV14" s="66"/>
      <c r="PW14" s="66"/>
      <c r="PX14" s="66"/>
      <c r="PY14" s="66"/>
      <c r="PZ14" s="66"/>
      <c r="QA14" s="66"/>
      <c r="QB14" s="66"/>
      <c r="QC14" s="66"/>
      <c r="QD14" s="66"/>
      <c r="QE14" s="66"/>
      <c r="QF14" s="66"/>
      <c r="QG14" s="66"/>
      <c r="QH14" s="66"/>
      <c r="QI14" s="66"/>
      <c r="QJ14" s="66"/>
      <c r="QK14" s="66"/>
      <c r="QL14" s="66"/>
      <c r="QM14" s="66"/>
      <c r="QN14" s="66"/>
      <c r="QO14" s="66"/>
      <c r="QP14" s="66"/>
      <c r="QQ14" s="66"/>
      <c r="QR14" s="66"/>
      <c r="QS14" s="66"/>
      <c r="QT14" s="66"/>
      <c r="QU14" s="66"/>
      <c r="QV14" s="66"/>
      <c r="QW14" s="66"/>
      <c r="QX14" s="66"/>
      <c r="QY14" s="66"/>
      <c r="QZ14" s="66"/>
      <c r="RA14" s="66"/>
      <c r="RB14" s="66"/>
      <c r="RC14" s="66"/>
      <c r="RD14" s="66"/>
      <c r="RE14" s="66"/>
      <c r="RF14" s="66"/>
      <c r="RG14" s="66"/>
      <c r="RH14" s="66"/>
      <c r="RI14" s="66"/>
      <c r="RJ14" s="66"/>
      <c r="RK14" s="66"/>
      <c r="RL14" s="66"/>
      <c r="RM14" s="66"/>
      <c r="RN14" s="66"/>
      <c r="RO14" s="66"/>
      <c r="RP14" s="66"/>
      <c r="RQ14" s="66"/>
      <c r="RR14" s="66"/>
      <c r="RS14" s="66"/>
      <c r="RT14" s="66"/>
      <c r="RU14" s="66"/>
      <c r="RV14" s="66"/>
      <c r="RW14" s="66"/>
      <c r="RX14" s="66"/>
      <c r="RY14" s="66"/>
      <c r="RZ14" s="66"/>
      <c r="SA14" s="66"/>
      <c r="SB14" s="66"/>
      <c r="SC14" s="66"/>
      <c r="SD14" s="66"/>
      <c r="SE14" s="66"/>
      <c r="SF14" s="66"/>
      <c r="SG14" s="66"/>
      <c r="SH14" s="66"/>
      <c r="SI14" s="66"/>
      <c r="SJ14" s="66"/>
      <c r="SK14" s="66"/>
      <c r="SL14" s="66"/>
      <c r="SM14" s="66"/>
      <c r="SN14" s="66"/>
      <c r="SO14" s="66"/>
      <c r="SP14" s="66"/>
      <c r="SQ14" s="66"/>
      <c r="SR14" s="66"/>
      <c r="SS14" s="66"/>
      <c r="ST14" s="66"/>
      <c r="SU14" s="66"/>
      <c r="SV14" s="66"/>
      <c r="SW14" s="66"/>
      <c r="SX14" s="66"/>
      <c r="SY14" s="66"/>
      <c r="SZ14" s="66"/>
      <c r="TA14" s="66"/>
      <c r="TB14" s="66"/>
      <c r="TC14" s="66"/>
      <c r="TD14" s="66"/>
      <c r="TE14" s="66"/>
      <c r="TF14" s="66"/>
      <c r="TG14" s="66"/>
      <c r="TH14" s="66"/>
      <c r="TI14" s="66"/>
      <c r="TJ14" s="66"/>
      <c r="TK14" s="66"/>
      <c r="TL14" s="66"/>
      <c r="TM14" s="66"/>
      <c r="TN14" s="66"/>
      <c r="TO14" s="66"/>
      <c r="TP14" s="66"/>
      <c r="TQ14" s="66"/>
      <c r="TR14" s="66"/>
      <c r="TS14" s="66"/>
      <c r="TT14" s="66"/>
      <c r="TU14" s="66"/>
      <c r="TV14" s="66"/>
      <c r="TW14" s="66"/>
      <c r="TX14" s="66"/>
      <c r="TY14" s="66"/>
      <c r="TZ14" s="66"/>
      <c r="UA14" s="66"/>
      <c r="UB14" s="66"/>
      <c r="UC14" s="66"/>
      <c r="UD14" s="66"/>
      <c r="UE14" s="66"/>
      <c r="UF14" s="66"/>
      <c r="UG14" s="66"/>
      <c r="UH14" s="66"/>
      <c r="UI14" s="66"/>
      <c r="UJ14" s="66"/>
      <c r="UK14" s="66"/>
      <c r="UL14" s="66"/>
      <c r="UM14" s="66"/>
      <c r="UN14" s="66"/>
      <c r="UO14" s="66"/>
      <c r="UP14" s="66"/>
      <c r="UQ14" s="66"/>
      <c r="UR14" s="66"/>
      <c r="US14" s="66"/>
      <c r="UT14" s="66"/>
      <c r="UU14" s="66"/>
      <c r="UV14" s="66"/>
      <c r="UW14" s="66"/>
      <c r="UX14" s="66"/>
      <c r="UY14" s="66"/>
      <c r="UZ14" s="66"/>
      <c r="VA14" s="66"/>
      <c r="VB14" s="66"/>
      <c r="VC14" s="66"/>
      <c r="VD14" s="66"/>
      <c r="VE14" s="66"/>
      <c r="VF14" s="66"/>
      <c r="VG14" s="66"/>
      <c r="VH14" s="66"/>
      <c r="VI14" s="66"/>
      <c r="VJ14" s="66"/>
      <c r="VK14" s="66"/>
      <c r="VL14" s="66"/>
      <c r="VM14" s="66"/>
      <c r="VN14" s="66"/>
      <c r="VO14" s="66"/>
      <c r="VP14" s="66"/>
      <c r="VQ14" s="66"/>
      <c r="VR14" s="66"/>
      <c r="VS14" s="66"/>
      <c r="VT14" s="66"/>
      <c r="VU14" s="66"/>
      <c r="VV14" s="66"/>
      <c r="VW14" s="66"/>
      <c r="VX14" s="66"/>
      <c r="VY14" s="66"/>
      <c r="VZ14" s="66"/>
      <c r="WA14" s="66"/>
      <c r="WB14" s="66"/>
      <c r="WC14" s="66"/>
      <c r="WD14" s="66"/>
      <c r="WE14" s="66"/>
      <c r="WF14" s="66"/>
      <c r="WG14" s="66"/>
      <c r="WH14" s="66"/>
      <c r="WI14" s="66"/>
      <c r="WJ14" s="66"/>
      <c r="WK14" s="66"/>
      <c r="WL14" s="66"/>
      <c r="WM14" s="66"/>
      <c r="WN14" s="66"/>
      <c r="WO14" s="66"/>
      <c r="WP14" s="66"/>
      <c r="WQ14" s="66"/>
      <c r="WR14" s="66"/>
      <c r="WS14" s="66"/>
      <c r="WT14" s="66"/>
      <c r="WU14" s="66"/>
      <c r="WV14" s="66"/>
      <c r="WW14" s="66"/>
      <c r="WX14" s="66"/>
      <c r="WY14" s="66"/>
      <c r="WZ14" s="66"/>
      <c r="XA14" s="66"/>
      <c r="XB14" s="66"/>
      <c r="XC14" s="66"/>
      <c r="XD14" s="66"/>
      <c r="XE14" s="66"/>
      <c r="XF14" s="66"/>
      <c r="XG14" s="66"/>
      <c r="XH14" s="66"/>
      <c r="XI14" s="66"/>
      <c r="XJ14" s="66"/>
      <c r="XK14" s="66"/>
      <c r="XL14" s="66"/>
      <c r="XM14" s="66"/>
      <c r="XN14" s="66"/>
      <c r="XO14" s="66"/>
      <c r="XP14" s="66"/>
      <c r="XQ14" s="66"/>
      <c r="XR14" s="66"/>
      <c r="XS14" s="66"/>
      <c r="XT14" s="66"/>
      <c r="XU14" s="66"/>
      <c r="XV14" s="66"/>
      <c r="XW14" s="66"/>
      <c r="XX14" s="66"/>
      <c r="XY14" s="66"/>
      <c r="XZ14" s="66"/>
      <c r="YA14" s="66"/>
      <c r="YB14" s="66"/>
      <c r="YC14" s="66"/>
      <c r="YD14" s="66"/>
      <c r="YE14" s="66"/>
      <c r="YF14" s="66"/>
      <c r="YG14" s="66"/>
      <c r="YH14" s="66"/>
      <c r="YI14" s="66"/>
      <c r="YJ14" s="66"/>
      <c r="YK14" s="66"/>
      <c r="YL14" s="66"/>
      <c r="YM14" s="66"/>
      <c r="YN14" s="66"/>
      <c r="YO14" s="66"/>
      <c r="YP14" s="66"/>
      <c r="YQ14" s="66"/>
      <c r="YR14" s="66"/>
      <c r="YS14" s="66"/>
      <c r="YT14" s="66"/>
      <c r="YU14" s="66"/>
      <c r="YV14" s="66"/>
      <c r="YW14" s="66"/>
      <c r="YX14" s="66"/>
      <c r="YY14" s="66"/>
      <c r="YZ14" s="66"/>
      <c r="ZA14" s="66"/>
      <c r="ZB14" s="66"/>
      <c r="ZC14" s="66"/>
      <c r="ZD14" s="66"/>
      <c r="ZE14" s="66"/>
      <c r="ZF14" s="66"/>
      <c r="ZG14" s="66"/>
      <c r="ZH14" s="66"/>
      <c r="ZI14" s="66"/>
      <c r="ZJ14" s="66"/>
      <c r="ZK14" s="66"/>
      <c r="ZL14" s="66"/>
      <c r="ZM14" s="66"/>
      <c r="ZN14" s="66"/>
      <c r="ZO14" s="66"/>
      <c r="ZP14" s="66"/>
      <c r="ZQ14" s="66"/>
      <c r="ZR14" s="66"/>
      <c r="ZS14" s="66"/>
      <c r="ZT14" s="66"/>
      <c r="ZU14" s="66"/>
      <c r="ZV14" s="66"/>
      <c r="ZW14" s="66"/>
      <c r="ZX14" s="66"/>
    </row>
    <row r="15" spans="1:700" s="20" customFormat="1" ht="15.75" x14ac:dyDescent="0.25">
      <c r="A15" s="67"/>
      <c r="B15" s="68"/>
      <c r="C15" s="68"/>
      <c r="D15" s="69"/>
      <c r="E15" s="110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  <c r="CH15" s="66"/>
      <c r="CI15" s="66"/>
      <c r="CJ15" s="66"/>
      <c r="CK15" s="66"/>
      <c r="CL15" s="66"/>
      <c r="CM15" s="66"/>
      <c r="CN15" s="66"/>
      <c r="CO15" s="66"/>
      <c r="CP15" s="66"/>
      <c r="CQ15" s="66"/>
      <c r="CR15" s="66"/>
      <c r="CS15" s="66"/>
      <c r="CT15" s="66"/>
      <c r="CU15" s="66"/>
      <c r="CV15" s="66"/>
      <c r="CW15" s="66"/>
      <c r="CX15" s="66"/>
      <c r="CY15" s="66"/>
      <c r="CZ15" s="66"/>
      <c r="DA15" s="66"/>
      <c r="DB15" s="66"/>
      <c r="DC15" s="66"/>
      <c r="DD15" s="66"/>
      <c r="DE15" s="66"/>
      <c r="DF15" s="66"/>
      <c r="DG15" s="66"/>
      <c r="DH15" s="66"/>
      <c r="DI15" s="66"/>
      <c r="DJ15" s="66"/>
      <c r="DK15" s="66"/>
      <c r="DL15" s="66"/>
      <c r="DM15" s="66"/>
      <c r="DN15" s="66"/>
      <c r="DO15" s="66"/>
      <c r="DP15" s="66"/>
      <c r="DQ15" s="66"/>
      <c r="DR15" s="66"/>
      <c r="DS15" s="66"/>
      <c r="DT15" s="66"/>
      <c r="DU15" s="66"/>
      <c r="DV15" s="66"/>
      <c r="DW15" s="66"/>
      <c r="DX15" s="66"/>
      <c r="DY15" s="66"/>
      <c r="DZ15" s="66"/>
      <c r="EA15" s="66"/>
      <c r="EB15" s="66"/>
      <c r="EC15" s="66"/>
      <c r="ED15" s="66"/>
      <c r="EE15" s="66"/>
      <c r="EF15" s="66"/>
      <c r="EG15" s="66"/>
      <c r="EH15" s="66"/>
      <c r="EI15" s="66"/>
      <c r="EJ15" s="66"/>
      <c r="EK15" s="66"/>
      <c r="EL15" s="66"/>
      <c r="EM15" s="66"/>
      <c r="EN15" s="66"/>
      <c r="EO15" s="66"/>
      <c r="EP15" s="66"/>
      <c r="EQ15" s="66"/>
      <c r="ER15" s="66"/>
      <c r="ES15" s="66"/>
      <c r="ET15" s="66"/>
      <c r="EU15" s="66"/>
      <c r="EV15" s="66"/>
      <c r="EW15" s="66"/>
      <c r="EX15" s="66"/>
      <c r="EY15" s="66"/>
      <c r="EZ15" s="66"/>
      <c r="FA15" s="66"/>
      <c r="FB15" s="66"/>
      <c r="FC15" s="66"/>
      <c r="FD15" s="66"/>
      <c r="FE15" s="66"/>
      <c r="FF15" s="66"/>
      <c r="FG15" s="66"/>
      <c r="FH15" s="66"/>
      <c r="FI15" s="66"/>
      <c r="FJ15" s="66"/>
      <c r="FK15" s="66"/>
      <c r="FL15" s="66"/>
      <c r="FM15" s="66"/>
      <c r="FN15" s="66"/>
      <c r="FO15" s="66"/>
      <c r="FP15" s="66"/>
      <c r="FQ15" s="66"/>
      <c r="FR15" s="66"/>
      <c r="FS15" s="66"/>
      <c r="FT15" s="66"/>
      <c r="FU15" s="66"/>
      <c r="FV15" s="66"/>
      <c r="FW15" s="66"/>
      <c r="FX15" s="66"/>
      <c r="FY15" s="66"/>
      <c r="FZ15" s="66"/>
      <c r="GA15" s="66"/>
      <c r="GB15" s="66"/>
      <c r="GC15" s="66"/>
      <c r="GD15" s="66"/>
      <c r="GE15" s="66"/>
      <c r="GF15" s="66"/>
      <c r="GG15" s="66"/>
      <c r="GH15" s="66"/>
      <c r="GI15" s="66"/>
      <c r="GJ15" s="66"/>
      <c r="GK15" s="66"/>
      <c r="GL15" s="66"/>
      <c r="GM15" s="66"/>
      <c r="GN15" s="66"/>
      <c r="GO15" s="66"/>
      <c r="GP15" s="66"/>
      <c r="GQ15" s="66"/>
      <c r="GR15" s="66"/>
      <c r="GS15" s="66"/>
      <c r="GT15" s="66"/>
      <c r="GU15" s="66"/>
      <c r="GV15" s="66"/>
      <c r="GW15" s="66"/>
      <c r="GX15" s="66"/>
      <c r="GY15" s="66"/>
      <c r="GZ15" s="66"/>
      <c r="HA15" s="66"/>
      <c r="HB15" s="66"/>
      <c r="HC15" s="66"/>
      <c r="HD15" s="66"/>
      <c r="HE15" s="66"/>
      <c r="HF15" s="66"/>
      <c r="HG15" s="66"/>
      <c r="HH15" s="66"/>
      <c r="HI15" s="66"/>
      <c r="HJ15" s="66"/>
      <c r="HK15" s="66"/>
      <c r="HL15" s="66"/>
      <c r="HM15" s="66"/>
      <c r="HN15" s="66"/>
      <c r="HO15" s="66"/>
      <c r="HP15" s="66"/>
      <c r="HQ15" s="66"/>
      <c r="HR15" s="66"/>
      <c r="HS15" s="66"/>
      <c r="HT15" s="66"/>
      <c r="HU15" s="66"/>
      <c r="HV15" s="66"/>
      <c r="HW15" s="66"/>
      <c r="HX15" s="66"/>
      <c r="HY15" s="66"/>
      <c r="HZ15" s="66"/>
      <c r="IA15" s="66"/>
      <c r="IB15" s="66"/>
      <c r="IC15" s="66"/>
      <c r="ID15" s="66"/>
      <c r="IE15" s="66"/>
      <c r="IF15" s="66"/>
      <c r="IG15" s="66"/>
      <c r="IH15" s="66"/>
      <c r="II15" s="66"/>
      <c r="IJ15" s="66"/>
      <c r="IK15" s="66"/>
      <c r="IL15" s="66"/>
      <c r="IM15" s="66"/>
      <c r="IN15" s="66"/>
      <c r="IO15" s="66"/>
      <c r="IP15" s="66"/>
      <c r="IQ15" s="66"/>
      <c r="IR15" s="66"/>
      <c r="IS15" s="66"/>
      <c r="IT15" s="66"/>
      <c r="IU15" s="66"/>
      <c r="IV15" s="66"/>
      <c r="IW15" s="66"/>
      <c r="IX15" s="66"/>
      <c r="IY15" s="66"/>
      <c r="IZ15" s="66"/>
      <c r="JA15" s="66"/>
      <c r="JB15" s="66"/>
      <c r="JC15" s="66"/>
      <c r="JD15" s="66"/>
      <c r="JE15" s="66"/>
      <c r="JF15" s="66"/>
      <c r="JG15" s="66"/>
      <c r="JH15" s="66"/>
      <c r="JI15" s="66"/>
      <c r="JJ15" s="66"/>
      <c r="JK15" s="66"/>
      <c r="JL15" s="66"/>
      <c r="JM15" s="66"/>
      <c r="JN15" s="66"/>
      <c r="JO15" s="66"/>
      <c r="JP15" s="66"/>
      <c r="JQ15" s="66"/>
      <c r="JR15" s="66"/>
      <c r="JS15" s="66"/>
      <c r="JT15" s="66"/>
      <c r="JU15" s="66"/>
      <c r="JV15" s="66"/>
      <c r="JW15" s="66"/>
      <c r="JX15" s="66"/>
      <c r="JY15" s="66"/>
      <c r="JZ15" s="66"/>
      <c r="KA15" s="66"/>
      <c r="KB15" s="66"/>
      <c r="KC15" s="66"/>
      <c r="KD15" s="66"/>
      <c r="KE15" s="66"/>
      <c r="KF15" s="66"/>
      <c r="KG15" s="66"/>
      <c r="KH15" s="66"/>
      <c r="KI15" s="66"/>
      <c r="KJ15" s="66"/>
      <c r="KK15" s="66"/>
      <c r="KL15" s="66"/>
      <c r="KM15" s="66"/>
      <c r="KN15" s="66"/>
      <c r="KO15" s="66"/>
      <c r="KP15" s="66"/>
      <c r="KQ15" s="66"/>
      <c r="KR15" s="66"/>
      <c r="KS15" s="66"/>
      <c r="KT15" s="66"/>
      <c r="KU15" s="66"/>
      <c r="KV15" s="66"/>
      <c r="KW15" s="66"/>
      <c r="KX15" s="66"/>
      <c r="KY15" s="66"/>
      <c r="KZ15" s="66"/>
      <c r="LA15" s="66"/>
      <c r="LB15" s="66"/>
      <c r="LC15" s="66"/>
      <c r="LD15" s="66"/>
      <c r="LE15" s="66"/>
      <c r="LF15" s="66"/>
      <c r="LG15" s="66"/>
      <c r="LH15" s="66"/>
      <c r="LI15" s="66"/>
      <c r="LJ15" s="66"/>
      <c r="LK15" s="66"/>
      <c r="LL15" s="66"/>
      <c r="LM15" s="66"/>
      <c r="LN15" s="66"/>
      <c r="LO15" s="66"/>
      <c r="LP15" s="66"/>
      <c r="LQ15" s="66"/>
      <c r="LR15" s="66"/>
      <c r="LS15" s="66"/>
      <c r="LT15" s="66"/>
      <c r="LU15" s="66"/>
      <c r="LV15" s="66"/>
      <c r="LW15" s="66"/>
      <c r="LX15" s="66"/>
      <c r="LY15" s="66"/>
      <c r="LZ15" s="66"/>
      <c r="MA15" s="66"/>
      <c r="MB15" s="66"/>
      <c r="MC15" s="66"/>
      <c r="MD15" s="66"/>
      <c r="ME15" s="66"/>
      <c r="MF15" s="66"/>
      <c r="MG15" s="66"/>
      <c r="MH15" s="66"/>
      <c r="MI15" s="66"/>
      <c r="MJ15" s="66"/>
      <c r="MK15" s="66"/>
      <c r="ML15" s="66"/>
      <c r="MM15" s="66"/>
      <c r="MN15" s="66"/>
      <c r="MO15" s="66"/>
      <c r="MP15" s="66"/>
      <c r="MQ15" s="66"/>
      <c r="MR15" s="66"/>
      <c r="MS15" s="66"/>
      <c r="MT15" s="66"/>
      <c r="MU15" s="66"/>
      <c r="MV15" s="66"/>
      <c r="MW15" s="66"/>
      <c r="MX15" s="66"/>
      <c r="MY15" s="66"/>
      <c r="MZ15" s="66"/>
      <c r="NA15" s="66"/>
      <c r="NB15" s="66"/>
      <c r="NC15" s="66"/>
      <c r="ND15" s="66"/>
      <c r="NE15" s="66"/>
      <c r="NF15" s="66"/>
      <c r="NG15" s="66"/>
      <c r="NH15" s="66"/>
      <c r="NI15" s="66"/>
      <c r="NJ15" s="66"/>
      <c r="NK15" s="66"/>
      <c r="NL15" s="66"/>
      <c r="NM15" s="66"/>
      <c r="NN15" s="66"/>
      <c r="NO15" s="66"/>
      <c r="NP15" s="66"/>
      <c r="NQ15" s="66"/>
      <c r="NR15" s="66"/>
      <c r="NS15" s="66"/>
      <c r="NT15" s="66"/>
      <c r="NU15" s="66"/>
      <c r="NV15" s="66"/>
      <c r="NW15" s="66"/>
      <c r="NX15" s="66"/>
      <c r="NY15" s="66"/>
      <c r="NZ15" s="66"/>
      <c r="OA15" s="66"/>
      <c r="OB15" s="66"/>
      <c r="OC15" s="66"/>
      <c r="OD15" s="66"/>
      <c r="OE15" s="66"/>
      <c r="OF15" s="66"/>
      <c r="OG15" s="66"/>
      <c r="OH15" s="66"/>
      <c r="OI15" s="66"/>
      <c r="OJ15" s="66"/>
      <c r="OK15" s="66"/>
      <c r="OL15" s="66"/>
      <c r="OM15" s="66"/>
      <c r="ON15" s="66"/>
      <c r="OO15" s="66"/>
      <c r="OP15" s="66"/>
      <c r="OQ15" s="66"/>
      <c r="OR15" s="66"/>
      <c r="OS15" s="66"/>
      <c r="OT15" s="66"/>
      <c r="OU15" s="66"/>
      <c r="OV15" s="66"/>
      <c r="OW15" s="66"/>
      <c r="OX15" s="66"/>
      <c r="OY15" s="66"/>
      <c r="OZ15" s="66"/>
      <c r="PA15" s="66"/>
      <c r="PB15" s="66"/>
      <c r="PC15" s="66"/>
      <c r="PD15" s="66"/>
      <c r="PE15" s="66"/>
      <c r="PF15" s="66"/>
      <c r="PG15" s="66"/>
      <c r="PH15" s="66"/>
      <c r="PI15" s="66"/>
      <c r="PJ15" s="66"/>
      <c r="PK15" s="66"/>
      <c r="PL15" s="66"/>
      <c r="PM15" s="66"/>
      <c r="PN15" s="66"/>
      <c r="PO15" s="66"/>
      <c r="PP15" s="66"/>
      <c r="PQ15" s="66"/>
      <c r="PR15" s="66"/>
      <c r="PS15" s="66"/>
      <c r="PT15" s="66"/>
      <c r="PU15" s="66"/>
      <c r="PV15" s="66"/>
      <c r="PW15" s="66"/>
      <c r="PX15" s="66"/>
      <c r="PY15" s="66"/>
      <c r="PZ15" s="66"/>
      <c r="QA15" s="66"/>
      <c r="QB15" s="66"/>
      <c r="QC15" s="66"/>
      <c r="QD15" s="66"/>
      <c r="QE15" s="66"/>
      <c r="QF15" s="66"/>
      <c r="QG15" s="66"/>
      <c r="QH15" s="66"/>
      <c r="QI15" s="66"/>
      <c r="QJ15" s="66"/>
      <c r="QK15" s="66"/>
      <c r="QL15" s="66"/>
      <c r="QM15" s="66"/>
      <c r="QN15" s="66"/>
      <c r="QO15" s="66"/>
      <c r="QP15" s="66"/>
      <c r="QQ15" s="66"/>
      <c r="QR15" s="66"/>
      <c r="QS15" s="66"/>
      <c r="QT15" s="66"/>
      <c r="QU15" s="66"/>
      <c r="QV15" s="66"/>
      <c r="QW15" s="66"/>
      <c r="QX15" s="66"/>
      <c r="QY15" s="66"/>
      <c r="QZ15" s="66"/>
      <c r="RA15" s="66"/>
      <c r="RB15" s="66"/>
      <c r="RC15" s="66"/>
      <c r="RD15" s="66"/>
      <c r="RE15" s="66"/>
      <c r="RF15" s="66"/>
      <c r="RG15" s="66"/>
      <c r="RH15" s="66"/>
      <c r="RI15" s="66"/>
      <c r="RJ15" s="66"/>
      <c r="RK15" s="66"/>
      <c r="RL15" s="66"/>
      <c r="RM15" s="66"/>
      <c r="RN15" s="66"/>
      <c r="RO15" s="66"/>
      <c r="RP15" s="66"/>
      <c r="RQ15" s="66"/>
      <c r="RR15" s="66"/>
      <c r="RS15" s="66"/>
      <c r="RT15" s="66"/>
      <c r="RU15" s="66"/>
      <c r="RV15" s="66"/>
      <c r="RW15" s="66"/>
      <c r="RX15" s="66"/>
      <c r="RY15" s="66"/>
      <c r="RZ15" s="66"/>
      <c r="SA15" s="66"/>
      <c r="SB15" s="66"/>
      <c r="SC15" s="66"/>
      <c r="SD15" s="66"/>
      <c r="SE15" s="66"/>
      <c r="SF15" s="66"/>
      <c r="SG15" s="66"/>
      <c r="SH15" s="66"/>
      <c r="SI15" s="66"/>
      <c r="SJ15" s="66"/>
      <c r="SK15" s="66"/>
      <c r="SL15" s="66"/>
      <c r="SM15" s="66"/>
      <c r="SN15" s="66"/>
      <c r="SO15" s="66"/>
      <c r="SP15" s="66"/>
      <c r="SQ15" s="66"/>
      <c r="SR15" s="66"/>
      <c r="SS15" s="66"/>
      <c r="ST15" s="66"/>
      <c r="SU15" s="66"/>
      <c r="SV15" s="66"/>
      <c r="SW15" s="66"/>
      <c r="SX15" s="66"/>
      <c r="SY15" s="66"/>
      <c r="SZ15" s="66"/>
      <c r="TA15" s="66"/>
      <c r="TB15" s="66"/>
      <c r="TC15" s="66"/>
      <c r="TD15" s="66"/>
      <c r="TE15" s="66"/>
      <c r="TF15" s="66"/>
      <c r="TG15" s="66"/>
      <c r="TH15" s="66"/>
      <c r="TI15" s="66"/>
      <c r="TJ15" s="66"/>
      <c r="TK15" s="66"/>
      <c r="TL15" s="66"/>
      <c r="TM15" s="66"/>
      <c r="TN15" s="66"/>
      <c r="TO15" s="66"/>
      <c r="TP15" s="66"/>
      <c r="TQ15" s="66"/>
      <c r="TR15" s="66"/>
      <c r="TS15" s="66"/>
      <c r="TT15" s="66"/>
      <c r="TU15" s="66"/>
      <c r="TV15" s="66"/>
      <c r="TW15" s="66"/>
      <c r="TX15" s="66"/>
      <c r="TY15" s="66"/>
      <c r="TZ15" s="66"/>
      <c r="UA15" s="66"/>
      <c r="UB15" s="66"/>
      <c r="UC15" s="66"/>
      <c r="UD15" s="66"/>
      <c r="UE15" s="66"/>
      <c r="UF15" s="66"/>
      <c r="UG15" s="66"/>
      <c r="UH15" s="66"/>
      <c r="UI15" s="66"/>
      <c r="UJ15" s="66"/>
      <c r="UK15" s="66"/>
      <c r="UL15" s="66"/>
      <c r="UM15" s="66"/>
      <c r="UN15" s="66"/>
      <c r="UO15" s="66"/>
      <c r="UP15" s="66"/>
      <c r="UQ15" s="66"/>
      <c r="UR15" s="66"/>
      <c r="US15" s="66"/>
      <c r="UT15" s="66"/>
      <c r="UU15" s="66"/>
      <c r="UV15" s="66"/>
      <c r="UW15" s="66"/>
      <c r="UX15" s="66"/>
      <c r="UY15" s="66"/>
      <c r="UZ15" s="66"/>
      <c r="VA15" s="66"/>
      <c r="VB15" s="66"/>
      <c r="VC15" s="66"/>
      <c r="VD15" s="66"/>
      <c r="VE15" s="66"/>
      <c r="VF15" s="66"/>
      <c r="VG15" s="66"/>
      <c r="VH15" s="66"/>
      <c r="VI15" s="66"/>
      <c r="VJ15" s="66"/>
      <c r="VK15" s="66"/>
      <c r="VL15" s="66"/>
      <c r="VM15" s="66"/>
      <c r="VN15" s="66"/>
      <c r="VO15" s="66"/>
      <c r="VP15" s="66"/>
      <c r="VQ15" s="66"/>
      <c r="VR15" s="66"/>
      <c r="VS15" s="66"/>
      <c r="VT15" s="66"/>
      <c r="VU15" s="66"/>
      <c r="VV15" s="66"/>
      <c r="VW15" s="66"/>
      <c r="VX15" s="66"/>
      <c r="VY15" s="66"/>
      <c r="VZ15" s="66"/>
      <c r="WA15" s="66"/>
      <c r="WB15" s="66"/>
      <c r="WC15" s="66"/>
      <c r="WD15" s="66"/>
      <c r="WE15" s="66"/>
      <c r="WF15" s="66"/>
      <c r="WG15" s="66"/>
      <c r="WH15" s="66"/>
      <c r="WI15" s="66"/>
      <c r="WJ15" s="66"/>
      <c r="WK15" s="66"/>
      <c r="WL15" s="66"/>
      <c r="WM15" s="66"/>
      <c r="WN15" s="66"/>
      <c r="WO15" s="66"/>
      <c r="WP15" s="66"/>
      <c r="WQ15" s="66"/>
      <c r="WR15" s="66"/>
      <c r="WS15" s="66"/>
      <c r="WT15" s="66"/>
      <c r="WU15" s="66"/>
      <c r="WV15" s="66"/>
      <c r="WW15" s="66"/>
      <c r="WX15" s="66"/>
      <c r="WY15" s="66"/>
      <c r="WZ15" s="66"/>
      <c r="XA15" s="66"/>
      <c r="XB15" s="66"/>
      <c r="XC15" s="66"/>
      <c r="XD15" s="66"/>
      <c r="XE15" s="66"/>
      <c r="XF15" s="66"/>
      <c r="XG15" s="66"/>
      <c r="XH15" s="66"/>
      <c r="XI15" s="66"/>
      <c r="XJ15" s="66"/>
      <c r="XK15" s="66"/>
      <c r="XL15" s="66"/>
      <c r="XM15" s="66"/>
      <c r="XN15" s="66"/>
      <c r="XO15" s="66"/>
      <c r="XP15" s="66"/>
      <c r="XQ15" s="66"/>
      <c r="XR15" s="66"/>
      <c r="XS15" s="66"/>
      <c r="XT15" s="66"/>
      <c r="XU15" s="66"/>
      <c r="XV15" s="66"/>
      <c r="XW15" s="66"/>
      <c r="XX15" s="66"/>
      <c r="XY15" s="66"/>
      <c r="XZ15" s="66"/>
      <c r="YA15" s="66"/>
      <c r="YB15" s="66"/>
      <c r="YC15" s="66"/>
      <c r="YD15" s="66"/>
      <c r="YE15" s="66"/>
      <c r="YF15" s="66"/>
      <c r="YG15" s="66"/>
      <c r="YH15" s="66"/>
      <c r="YI15" s="66"/>
      <c r="YJ15" s="66"/>
      <c r="YK15" s="66"/>
      <c r="YL15" s="66"/>
      <c r="YM15" s="66"/>
      <c r="YN15" s="66"/>
      <c r="YO15" s="66"/>
      <c r="YP15" s="66"/>
      <c r="YQ15" s="66"/>
      <c r="YR15" s="66"/>
      <c r="YS15" s="66"/>
      <c r="YT15" s="66"/>
      <c r="YU15" s="66"/>
      <c r="YV15" s="66"/>
      <c r="YW15" s="66"/>
      <c r="YX15" s="66"/>
      <c r="YY15" s="66"/>
      <c r="YZ15" s="66"/>
      <c r="ZA15" s="66"/>
      <c r="ZB15" s="66"/>
      <c r="ZC15" s="66"/>
      <c r="ZD15" s="66"/>
      <c r="ZE15" s="66"/>
      <c r="ZF15" s="66"/>
      <c r="ZG15" s="66"/>
      <c r="ZH15" s="66"/>
      <c r="ZI15" s="66"/>
      <c r="ZJ15" s="66"/>
      <c r="ZK15" s="66"/>
      <c r="ZL15" s="66"/>
      <c r="ZM15" s="66"/>
      <c r="ZN15" s="66"/>
      <c r="ZO15" s="66"/>
      <c r="ZP15" s="66"/>
      <c r="ZQ15" s="66"/>
      <c r="ZR15" s="66"/>
      <c r="ZS15" s="66"/>
      <c r="ZT15" s="66"/>
      <c r="ZU15" s="66"/>
      <c r="ZV15" s="66"/>
      <c r="ZW15" s="66"/>
      <c r="ZX15" s="66"/>
    </row>
    <row r="16" spans="1:700" s="20" customFormat="1" ht="15.75" x14ac:dyDescent="0.25">
      <c r="A16" s="67"/>
      <c r="B16" s="68"/>
      <c r="C16" s="68"/>
      <c r="D16" s="69"/>
      <c r="E16" s="110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66"/>
      <c r="CU16" s="66"/>
      <c r="CV16" s="66"/>
      <c r="CW16" s="66"/>
      <c r="CX16" s="66"/>
      <c r="CY16" s="66"/>
      <c r="CZ16" s="66"/>
      <c r="DA16" s="66"/>
      <c r="DB16" s="66"/>
      <c r="DC16" s="66"/>
      <c r="DD16" s="66"/>
      <c r="DE16" s="66"/>
      <c r="DF16" s="66"/>
      <c r="DG16" s="66"/>
      <c r="DH16" s="66"/>
      <c r="DI16" s="66"/>
      <c r="DJ16" s="66"/>
      <c r="DK16" s="66"/>
      <c r="DL16" s="66"/>
      <c r="DM16" s="66"/>
      <c r="DN16" s="66"/>
      <c r="DO16" s="66"/>
      <c r="DP16" s="66"/>
      <c r="DQ16" s="66"/>
      <c r="DR16" s="66"/>
      <c r="DS16" s="66"/>
      <c r="DT16" s="66"/>
      <c r="DU16" s="66"/>
      <c r="DV16" s="66"/>
      <c r="DW16" s="66"/>
      <c r="DX16" s="66"/>
      <c r="DY16" s="66"/>
      <c r="DZ16" s="66"/>
      <c r="EA16" s="66"/>
      <c r="EB16" s="66"/>
      <c r="EC16" s="66"/>
      <c r="ED16" s="66"/>
      <c r="EE16" s="66"/>
      <c r="EF16" s="66"/>
      <c r="EG16" s="66"/>
      <c r="EH16" s="66"/>
      <c r="EI16" s="66"/>
      <c r="EJ16" s="66"/>
      <c r="EK16" s="66"/>
      <c r="EL16" s="66"/>
      <c r="EM16" s="66"/>
      <c r="EN16" s="66"/>
      <c r="EO16" s="66"/>
      <c r="EP16" s="66"/>
      <c r="EQ16" s="66"/>
      <c r="ER16" s="66"/>
      <c r="ES16" s="66"/>
      <c r="ET16" s="66"/>
      <c r="EU16" s="66"/>
      <c r="EV16" s="66"/>
      <c r="EW16" s="66"/>
      <c r="EX16" s="66"/>
      <c r="EY16" s="66"/>
      <c r="EZ16" s="66"/>
      <c r="FA16" s="66"/>
      <c r="FB16" s="66"/>
      <c r="FC16" s="66"/>
      <c r="FD16" s="66"/>
      <c r="FE16" s="66"/>
      <c r="FF16" s="66"/>
      <c r="FG16" s="66"/>
      <c r="FH16" s="66"/>
      <c r="FI16" s="66"/>
      <c r="FJ16" s="66"/>
      <c r="FK16" s="66"/>
      <c r="FL16" s="66"/>
      <c r="FM16" s="66"/>
      <c r="FN16" s="66"/>
      <c r="FO16" s="66"/>
      <c r="FP16" s="66"/>
      <c r="FQ16" s="66"/>
      <c r="FR16" s="66"/>
      <c r="FS16" s="66"/>
      <c r="FT16" s="66"/>
      <c r="FU16" s="66"/>
      <c r="FV16" s="66"/>
      <c r="FW16" s="66"/>
      <c r="FX16" s="66"/>
      <c r="FY16" s="66"/>
      <c r="FZ16" s="66"/>
      <c r="GA16" s="66"/>
      <c r="GB16" s="66"/>
      <c r="GC16" s="66"/>
      <c r="GD16" s="66"/>
      <c r="GE16" s="66"/>
      <c r="GF16" s="66"/>
      <c r="GG16" s="66"/>
      <c r="GH16" s="66"/>
      <c r="GI16" s="66"/>
      <c r="GJ16" s="66"/>
      <c r="GK16" s="66"/>
      <c r="GL16" s="66"/>
      <c r="GM16" s="66"/>
      <c r="GN16" s="66"/>
      <c r="GO16" s="66"/>
      <c r="GP16" s="66"/>
      <c r="GQ16" s="66"/>
      <c r="GR16" s="66"/>
      <c r="GS16" s="66"/>
      <c r="GT16" s="66"/>
      <c r="GU16" s="66"/>
      <c r="GV16" s="66"/>
      <c r="GW16" s="66"/>
      <c r="GX16" s="66"/>
      <c r="GY16" s="66"/>
      <c r="GZ16" s="66"/>
      <c r="HA16" s="66"/>
      <c r="HB16" s="66"/>
      <c r="HC16" s="66"/>
      <c r="HD16" s="66"/>
      <c r="HE16" s="66"/>
      <c r="HF16" s="66"/>
      <c r="HG16" s="66"/>
      <c r="HH16" s="66"/>
      <c r="HI16" s="66"/>
      <c r="HJ16" s="66"/>
      <c r="HK16" s="66"/>
      <c r="HL16" s="66"/>
      <c r="HM16" s="66"/>
      <c r="HN16" s="66"/>
      <c r="HO16" s="66"/>
      <c r="HP16" s="66"/>
      <c r="HQ16" s="66"/>
      <c r="HR16" s="66"/>
      <c r="HS16" s="66"/>
      <c r="HT16" s="66"/>
      <c r="HU16" s="66"/>
      <c r="HV16" s="66"/>
      <c r="HW16" s="66"/>
      <c r="HX16" s="66"/>
      <c r="HY16" s="66"/>
      <c r="HZ16" s="66"/>
      <c r="IA16" s="66"/>
      <c r="IB16" s="66"/>
      <c r="IC16" s="66"/>
      <c r="ID16" s="66"/>
      <c r="IE16" s="66"/>
      <c r="IF16" s="66"/>
      <c r="IG16" s="66"/>
      <c r="IH16" s="66"/>
      <c r="II16" s="66"/>
      <c r="IJ16" s="66"/>
      <c r="IK16" s="66"/>
      <c r="IL16" s="66"/>
      <c r="IM16" s="66"/>
      <c r="IN16" s="66"/>
      <c r="IO16" s="66"/>
      <c r="IP16" s="66"/>
      <c r="IQ16" s="66"/>
      <c r="IR16" s="66"/>
      <c r="IS16" s="66"/>
      <c r="IT16" s="66"/>
      <c r="IU16" s="66"/>
      <c r="IV16" s="66"/>
      <c r="IW16" s="66"/>
      <c r="IX16" s="66"/>
      <c r="IY16" s="66"/>
      <c r="IZ16" s="66"/>
      <c r="JA16" s="66"/>
      <c r="JB16" s="66"/>
      <c r="JC16" s="66"/>
      <c r="JD16" s="66"/>
      <c r="JE16" s="66"/>
      <c r="JF16" s="66"/>
      <c r="JG16" s="66"/>
      <c r="JH16" s="66"/>
      <c r="JI16" s="66"/>
      <c r="JJ16" s="66"/>
      <c r="JK16" s="66"/>
      <c r="JL16" s="66"/>
      <c r="JM16" s="66"/>
      <c r="JN16" s="66"/>
      <c r="JO16" s="66"/>
      <c r="JP16" s="66"/>
      <c r="JQ16" s="66"/>
      <c r="JR16" s="66"/>
      <c r="JS16" s="66"/>
      <c r="JT16" s="66"/>
      <c r="JU16" s="66"/>
      <c r="JV16" s="66"/>
      <c r="JW16" s="66"/>
      <c r="JX16" s="66"/>
      <c r="JY16" s="66"/>
      <c r="JZ16" s="66"/>
      <c r="KA16" s="66"/>
      <c r="KB16" s="66"/>
      <c r="KC16" s="66"/>
      <c r="KD16" s="66"/>
      <c r="KE16" s="66"/>
      <c r="KF16" s="66"/>
      <c r="KG16" s="66"/>
      <c r="KH16" s="66"/>
      <c r="KI16" s="66"/>
      <c r="KJ16" s="66"/>
      <c r="KK16" s="66"/>
      <c r="KL16" s="66"/>
      <c r="KM16" s="66"/>
      <c r="KN16" s="66"/>
      <c r="KO16" s="66"/>
      <c r="KP16" s="66"/>
      <c r="KQ16" s="66"/>
      <c r="KR16" s="66"/>
      <c r="KS16" s="66"/>
      <c r="KT16" s="66"/>
      <c r="KU16" s="66"/>
      <c r="KV16" s="66"/>
      <c r="KW16" s="66"/>
      <c r="KX16" s="66"/>
      <c r="KY16" s="66"/>
      <c r="KZ16" s="66"/>
      <c r="LA16" s="66"/>
      <c r="LB16" s="66"/>
      <c r="LC16" s="66"/>
      <c r="LD16" s="66"/>
      <c r="LE16" s="66"/>
      <c r="LF16" s="66"/>
      <c r="LG16" s="66"/>
      <c r="LH16" s="66"/>
      <c r="LI16" s="66"/>
      <c r="LJ16" s="66"/>
      <c r="LK16" s="66"/>
      <c r="LL16" s="66"/>
      <c r="LM16" s="66"/>
      <c r="LN16" s="66"/>
      <c r="LO16" s="66"/>
      <c r="LP16" s="66"/>
      <c r="LQ16" s="66"/>
      <c r="LR16" s="66"/>
      <c r="LS16" s="66"/>
      <c r="LT16" s="66"/>
      <c r="LU16" s="66"/>
      <c r="LV16" s="66"/>
      <c r="LW16" s="66"/>
      <c r="LX16" s="66"/>
      <c r="LY16" s="66"/>
      <c r="LZ16" s="66"/>
      <c r="MA16" s="66"/>
      <c r="MB16" s="66"/>
      <c r="MC16" s="66"/>
      <c r="MD16" s="66"/>
      <c r="ME16" s="66"/>
      <c r="MF16" s="66"/>
      <c r="MG16" s="66"/>
      <c r="MH16" s="66"/>
      <c r="MI16" s="66"/>
      <c r="MJ16" s="66"/>
      <c r="MK16" s="66"/>
      <c r="ML16" s="66"/>
      <c r="MM16" s="66"/>
      <c r="MN16" s="66"/>
      <c r="MO16" s="66"/>
      <c r="MP16" s="66"/>
      <c r="MQ16" s="66"/>
      <c r="MR16" s="66"/>
      <c r="MS16" s="66"/>
      <c r="MT16" s="66"/>
      <c r="MU16" s="66"/>
      <c r="MV16" s="66"/>
      <c r="MW16" s="66"/>
      <c r="MX16" s="66"/>
      <c r="MY16" s="66"/>
      <c r="MZ16" s="66"/>
      <c r="NA16" s="66"/>
      <c r="NB16" s="66"/>
      <c r="NC16" s="66"/>
      <c r="ND16" s="66"/>
      <c r="NE16" s="66"/>
      <c r="NF16" s="66"/>
      <c r="NG16" s="66"/>
      <c r="NH16" s="66"/>
      <c r="NI16" s="66"/>
      <c r="NJ16" s="66"/>
      <c r="NK16" s="66"/>
      <c r="NL16" s="66"/>
      <c r="NM16" s="66"/>
      <c r="NN16" s="66"/>
      <c r="NO16" s="66"/>
      <c r="NP16" s="66"/>
      <c r="NQ16" s="66"/>
      <c r="NR16" s="66"/>
      <c r="NS16" s="66"/>
      <c r="NT16" s="66"/>
      <c r="NU16" s="66"/>
      <c r="NV16" s="66"/>
      <c r="NW16" s="66"/>
      <c r="NX16" s="66"/>
      <c r="NY16" s="66"/>
      <c r="NZ16" s="66"/>
      <c r="OA16" s="66"/>
      <c r="OB16" s="66"/>
      <c r="OC16" s="66"/>
      <c r="OD16" s="66"/>
      <c r="OE16" s="66"/>
      <c r="OF16" s="66"/>
      <c r="OG16" s="66"/>
      <c r="OH16" s="66"/>
      <c r="OI16" s="66"/>
      <c r="OJ16" s="66"/>
      <c r="OK16" s="66"/>
      <c r="OL16" s="66"/>
      <c r="OM16" s="66"/>
      <c r="ON16" s="66"/>
      <c r="OO16" s="66"/>
      <c r="OP16" s="66"/>
      <c r="OQ16" s="66"/>
      <c r="OR16" s="66"/>
      <c r="OS16" s="66"/>
      <c r="OT16" s="66"/>
      <c r="OU16" s="66"/>
      <c r="OV16" s="66"/>
      <c r="OW16" s="66"/>
      <c r="OX16" s="66"/>
      <c r="OY16" s="66"/>
      <c r="OZ16" s="66"/>
      <c r="PA16" s="66"/>
      <c r="PB16" s="66"/>
      <c r="PC16" s="66"/>
      <c r="PD16" s="66"/>
      <c r="PE16" s="66"/>
      <c r="PF16" s="66"/>
      <c r="PG16" s="66"/>
      <c r="PH16" s="66"/>
      <c r="PI16" s="66"/>
      <c r="PJ16" s="66"/>
      <c r="PK16" s="66"/>
      <c r="PL16" s="66"/>
      <c r="PM16" s="66"/>
      <c r="PN16" s="66"/>
      <c r="PO16" s="66"/>
      <c r="PP16" s="66"/>
      <c r="PQ16" s="66"/>
      <c r="PR16" s="66"/>
      <c r="PS16" s="66"/>
      <c r="PT16" s="66"/>
      <c r="PU16" s="66"/>
      <c r="PV16" s="66"/>
      <c r="PW16" s="66"/>
      <c r="PX16" s="66"/>
      <c r="PY16" s="66"/>
      <c r="PZ16" s="66"/>
      <c r="QA16" s="66"/>
      <c r="QB16" s="66"/>
      <c r="QC16" s="66"/>
      <c r="QD16" s="66"/>
      <c r="QE16" s="66"/>
      <c r="QF16" s="66"/>
      <c r="QG16" s="66"/>
      <c r="QH16" s="66"/>
      <c r="QI16" s="66"/>
      <c r="QJ16" s="66"/>
      <c r="QK16" s="66"/>
      <c r="QL16" s="66"/>
      <c r="QM16" s="66"/>
      <c r="QN16" s="66"/>
      <c r="QO16" s="66"/>
      <c r="QP16" s="66"/>
      <c r="QQ16" s="66"/>
      <c r="QR16" s="66"/>
      <c r="QS16" s="66"/>
      <c r="QT16" s="66"/>
      <c r="QU16" s="66"/>
      <c r="QV16" s="66"/>
      <c r="QW16" s="66"/>
      <c r="QX16" s="66"/>
      <c r="QY16" s="66"/>
      <c r="QZ16" s="66"/>
      <c r="RA16" s="66"/>
      <c r="RB16" s="66"/>
      <c r="RC16" s="66"/>
      <c r="RD16" s="66"/>
      <c r="RE16" s="66"/>
      <c r="RF16" s="66"/>
      <c r="RG16" s="66"/>
      <c r="RH16" s="66"/>
      <c r="RI16" s="66"/>
      <c r="RJ16" s="66"/>
      <c r="RK16" s="66"/>
      <c r="RL16" s="66"/>
      <c r="RM16" s="66"/>
      <c r="RN16" s="66"/>
      <c r="RO16" s="66"/>
      <c r="RP16" s="66"/>
      <c r="RQ16" s="66"/>
      <c r="RR16" s="66"/>
      <c r="RS16" s="66"/>
      <c r="RT16" s="66"/>
      <c r="RU16" s="66"/>
      <c r="RV16" s="66"/>
      <c r="RW16" s="66"/>
      <c r="RX16" s="66"/>
      <c r="RY16" s="66"/>
      <c r="RZ16" s="66"/>
      <c r="SA16" s="66"/>
      <c r="SB16" s="66"/>
      <c r="SC16" s="66"/>
      <c r="SD16" s="66"/>
      <c r="SE16" s="66"/>
      <c r="SF16" s="66"/>
      <c r="SG16" s="66"/>
      <c r="SH16" s="66"/>
      <c r="SI16" s="66"/>
      <c r="SJ16" s="66"/>
      <c r="SK16" s="66"/>
      <c r="SL16" s="66"/>
      <c r="SM16" s="66"/>
      <c r="SN16" s="66"/>
      <c r="SO16" s="66"/>
      <c r="SP16" s="66"/>
      <c r="SQ16" s="66"/>
      <c r="SR16" s="66"/>
      <c r="SS16" s="66"/>
      <c r="ST16" s="66"/>
      <c r="SU16" s="66"/>
      <c r="SV16" s="66"/>
      <c r="SW16" s="66"/>
      <c r="SX16" s="66"/>
      <c r="SY16" s="66"/>
      <c r="SZ16" s="66"/>
      <c r="TA16" s="66"/>
      <c r="TB16" s="66"/>
      <c r="TC16" s="66"/>
      <c r="TD16" s="66"/>
      <c r="TE16" s="66"/>
      <c r="TF16" s="66"/>
      <c r="TG16" s="66"/>
      <c r="TH16" s="66"/>
      <c r="TI16" s="66"/>
      <c r="TJ16" s="66"/>
      <c r="TK16" s="66"/>
      <c r="TL16" s="66"/>
      <c r="TM16" s="66"/>
      <c r="TN16" s="66"/>
      <c r="TO16" s="66"/>
      <c r="TP16" s="66"/>
      <c r="TQ16" s="66"/>
      <c r="TR16" s="66"/>
      <c r="TS16" s="66"/>
      <c r="TT16" s="66"/>
      <c r="TU16" s="66"/>
      <c r="TV16" s="66"/>
      <c r="TW16" s="66"/>
      <c r="TX16" s="66"/>
      <c r="TY16" s="66"/>
      <c r="TZ16" s="66"/>
      <c r="UA16" s="66"/>
      <c r="UB16" s="66"/>
      <c r="UC16" s="66"/>
      <c r="UD16" s="66"/>
      <c r="UE16" s="66"/>
      <c r="UF16" s="66"/>
      <c r="UG16" s="66"/>
      <c r="UH16" s="66"/>
      <c r="UI16" s="66"/>
      <c r="UJ16" s="66"/>
      <c r="UK16" s="66"/>
      <c r="UL16" s="66"/>
      <c r="UM16" s="66"/>
      <c r="UN16" s="66"/>
      <c r="UO16" s="66"/>
      <c r="UP16" s="66"/>
      <c r="UQ16" s="66"/>
      <c r="UR16" s="66"/>
      <c r="US16" s="66"/>
      <c r="UT16" s="66"/>
      <c r="UU16" s="66"/>
      <c r="UV16" s="66"/>
      <c r="UW16" s="66"/>
      <c r="UX16" s="66"/>
      <c r="UY16" s="66"/>
      <c r="UZ16" s="66"/>
      <c r="VA16" s="66"/>
      <c r="VB16" s="66"/>
      <c r="VC16" s="66"/>
      <c r="VD16" s="66"/>
      <c r="VE16" s="66"/>
      <c r="VF16" s="66"/>
      <c r="VG16" s="66"/>
      <c r="VH16" s="66"/>
      <c r="VI16" s="66"/>
      <c r="VJ16" s="66"/>
      <c r="VK16" s="66"/>
      <c r="VL16" s="66"/>
      <c r="VM16" s="66"/>
      <c r="VN16" s="66"/>
      <c r="VO16" s="66"/>
      <c r="VP16" s="66"/>
      <c r="VQ16" s="66"/>
      <c r="VR16" s="66"/>
      <c r="VS16" s="66"/>
      <c r="VT16" s="66"/>
      <c r="VU16" s="66"/>
      <c r="VV16" s="66"/>
      <c r="VW16" s="66"/>
      <c r="VX16" s="66"/>
      <c r="VY16" s="66"/>
      <c r="VZ16" s="66"/>
      <c r="WA16" s="66"/>
      <c r="WB16" s="66"/>
      <c r="WC16" s="66"/>
      <c r="WD16" s="66"/>
      <c r="WE16" s="66"/>
      <c r="WF16" s="66"/>
      <c r="WG16" s="66"/>
      <c r="WH16" s="66"/>
      <c r="WI16" s="66"/>
      <c r="WJ16" s="66"/>
      <c r="WK16" s="66"/>
      <c r="WL16" s="66"/>
      <c r="WM16" s="66"/>
      <c r="WN16" s="66"/>
      <c r="WO16" s="66"/>
      <c r="WP16" s="66"/>
      <c r="WQ16" s="66"/>
      <c r="WR16" s="66"/>
      <c r="WS16" s="66"/>
      <c r="WT16" s="66"/>
      <c r="WU16" s="66"/>
      <c r="WV16" s="66"/>
      <c r="WW16" s="66"/>
      <c r="WX16" s="66"/>
      <c r="WY16" s="66"/>
      <c r="WZ16" s="66"/>
      <c r="XA16" s="66"/>
      <c r="XB16" s="66"/>
      <c r="XC16" s="66"/>
      <c r="XD16" s="66"/>
      <c r="XE16" s="66"/>
      <c r="XF16" s="66"/>
      <c r="XG16" s="66"/>
      <c r="XH16" s="66"/>
      <c r="XI16" s="66"/>
      <c r="XJ16" s="66"/>
      <c r="XK16" s="66"/>
      <c r="XL16" s="66"/>
      <c r="XM16" s="66"/>
      <c r="XN16" s="66"/>
      <c r="XO16" s="66"/>
      <c r="XP16" s="66"/>
      <c r="XQ16" s="66"/>
      <c r="XR16" s="66"/>
      <c r="XS16" s="66"/>
      <c r="XT16" s="66"/>
      <c r="XU16" s="66"/>
      <c r="XV16" s="66"/>
      <c r="XW16" s="66"/>
      <c r="XX16" s="66"/>
      <c r="XY16" s="66"/>
      <c r="XZ16" s="66"/>
      <c r="YA16" s="66"/>
      <c r="YB16" s="66"/>
      <c r="YC16" s="66"/>
      <c r="YD16" s="66"/>
      <c r="YE16" s="66"/>
      <c r="YF16" s="66"/>
      <c r="YG16" s="66"/>
      <c r="YH16" s="66"/>
      <c r="YI16" s="66"/>
      <c r="YJ16" s="66"/>
      <c r="YK16" s="66"/>
      <c r="YL16" s="66"/>
      <c r="YM16" s="66"/>
      <c r="YN16" s="66"/>
      <c r="YO16" s="66"/>
      <c r="YP16" s="66"/>
      <c r="YQ16" s="66"/>
      <c r="YR16" s="66"/>
      <c r="YS16" s="66"/>
      <c r="YT16" s="66"/>
      <c r="YU16" s="66"/>
      <c r="YV16" s="66"/>
      <c r="YW16" s="66"/>
      <c r="YX16" s="66"/>
      <c r="YY16" s="66"/>
      <c r="YZ16" s="66"/>
      <c r="ZA16" s="66"/>
      <c r="ZB16" s="66"/>
      <c r="ZC16" s="66"/>
      <c r="ZD16" s="66"/>
      <c r="ZE16" s="66"/>
      <c r="ZF16" s="66"/>
      <c r="ZG16" s="66"/>
      <c r="ZH16" s="66"/>
      <c r="ZI16" s="66"/>
      <c r="ZJ16" s="66"/>
      <c r="ZK16" s="66"/>
      <c r="ZL16" s="66"/>
      <c r="ZM16" s="66"/>
      <c r="ZN16" s="66"/>
      <c r="ZO16" s="66"/>
      <c r="ZP16" s="66"/>
      <c r="ZQ16" s="66"/>
      <c r="ZR16" s="66"/>
      <c r="ZS16" s="66"/>
      <c r="ZT16" s="66"/>
      <c r="ZU16" s="66"/>
      <c r="ZV16" s="66"/>
      <c r="ZW16" s="66"/>
      <c r="ZX16" s="66"/>
    </row>
    <row r="17" spans="1:700" s="20" customFormat="1" ht="15.75" x14ac:dyDescent="0.25">
      <c r="A17" s="67"/>
      <c r="B17" s="68"/>
      <c r="C17" s="68"/>
      <c r="D17" s="69"/>
      <c r="E17" s="110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  <c r="CH17" s="66"/>
      <c r="CI17" s="66"/>
      <c r="CJ17" s="66"/>
      <c r="CK17" s="66"/>
      <c r="CL17" s="66"/>
      <c r="CM17" s="66"/>
      <c r="CN17" s="66"/>
      <c r="CO17" s="66"/>
      <c r="CP17" s="66"/>
      <c r="CQ17" s="66"/>
      <c r="CR17" s="66"/>
      <c r="CS17" s="66"/>
      <c r="CT17" s="66"/>
      <c r="CU17" s="66"/>
      <c r="CV17" s="66"/>
      <c r="CW17" s="66"/>
      <c r="CX17" s="66"/>
      <c r="CY17" s="66"/>
      <c r="CZ17" s="66"/>
      <c r="DA17" s="66"/>
      <c r="DB17" s="66"/>
      <c r="DC17" s="66"/>
      <c r="DD17" s="66"/>
      <c r="DE17" s="66"/>
      <c r="DF17" s="66"/>
      <c r="DG17" s="66"/>
      <c r="DH17" s="66"/>
      <c r="DI17" s="66"/>
      <c r="DJ17" s="66"/>
      <c r="DK17" s="66"/>
      <c r="DL17" s="66"/>
      <c r="DM17" s="66"/>
      <c r="DN17" s="66"/>
      <c r="DO17" s="66"/>
      <c r="DP17" s="66"/>
      <c r="DQ17" s="66"/>
      <c r="DR17" s="66"/>
      <c r="DS17" s="66"/>
      <c r="DT17" s="66"/>
      <c r="DU17" s="66"/>
      <c r="DV17" s="66"/>
      <c r="DW17" s="66"/>
      <c r="DX17" s="66"/>
      <c r="DY17" s="66"/>
      <c r="DZ17" s="66"/>
      <c r="EA17" s="66"/>
      <c r="EB17" s="66"/>
      <c r="EC17" s="66"/>
      <c r="ED17" s="66"/>
      <c r="EE17" s="66"/>
      <c r="EF17" s="66"/>
      <c r="EG17" s="66"/>
      <c r="EH17" s="66"/>
      <c r="EI17" s="66"/>
      <c r="EJ17" s="66"/>
      <c r="EK17" s="66"/>
      <c r="EL17" s="66"/>
      <c r="EM17" s="66"/>
      <c r="EN17" s="66"/>
      <c r="EO17" s="66"/>
      <c r="EP17" s="66"/>
      <c r="EQ17" s="66"/>
      <c r="ER17" s="66"/>
      <c r="ES17" s="66"/>
      <c r="ET17" s="66"/>
      <c r="EU17" s="66"/>
      <c r="EV17" s="66"/>
      <c r="EW17" s="66"/>
      <c r="EX17" s="66"/>
      <c r="EY17" s="66"/>
      <c r="EZ17" s="66"/>
      <c r="FA17" s="66"/>
      <c r="FB17" s="66"/>
      <c r="FC17" s="66"/>
      <c r="FD17" s="66"/>
      <c r="FE17" s="66"/>
      <c r="FF17" s="66"/>
      <c r="FG17" s="66"/>
      <c r="FH17" s="66"/>
      <c r="FI17" s="66"/>
      <c r="FJ17" s="66"/>
      <c r="FK17" s="66"/>
      <c r="FL17" s="66"/>
      <c r="FM17" s="66"/>
      <c r="FN17" s="66"/>
      <c r="FO17" s="66"/>
      <c r="FP17" s="66"/>
      <c r="FQ17" s="66"/>
      <c r="FR17" s="66"/>
      <c r="FS17" s="66"/>
      <c r="FT17" s="66"/>
      <c r="FU17" s="66"/>
      <c r="FV17" s="66"/>
      <c r="FW17" s="66"/>
      <c r="FX17" s="66"/>
      <c r="FY17" s="66"/>
      <c r="FZ17" s="66"/>
      <c r="GA17" s="66"/>
      <c r="GB17" s="66"/>
      <c r="GC17" s="66"/>
      <c r="GD17" s="66"/>
      <c r="GE17" s="66"/>
      <c r="GF17" s="66"/>
      <c r="GG17" s="66"/>
      <c r="GH17" s="66"/>
      <c r="GI17" s="66"/>
      <c r="GJ17" s="66"/>
      <c r="GK17" s="66"/>
      <c r="GL17" s="66"/>
      <c r="GM17" s="66"/>
      <c r="GN17" s="66"/>
      <c r="GO17" s="66"/>
      <c r="GP17" s="66"/>
      <c r="GQ17" s="66"/>
      <c r="GR17" s="66"/>
      <c r="GS17" s="66"/>
      <c r="GT17" s="66"/>
      <c r="GU17" s="66"/>
      <c r="GV17" s="66"/>
      <c r="GW17" s="66"/>
      <c r="GX17" s="66"/>
      <c r="GY17" s="66"/>
      <c r="GZ17" s="66"/>
      <c r="HA17" s="66"/>
      <c r="HB17" s="66"/>
      <c r="HC17" s="66"/>
      <c r="HD17" s="66"/>
      <c r="HE17" s="66"/>
      <c r="HF17" s="66"/>
      <c r="HG17" s="66"/>
      <c r="HH17" s="66"/>
      <c r="HI17" s="66"/>
      <c r="HJ17" s="66"/>
      <c r="HK17" s="66"/>
      <c r="HL17" s="66"/>
      <c r="HM17" s="66"/>
      <c r="HN17" s="66"/>
      <c r="HO17" s="66"/>
      <c r="HP17" s="66"/>
      <c r="HQ17" s="66"/>
      <c r="HR17" s="66"/>
      <c r="HS17" s="66"/>
      <c r="HT17" s="66"/>
      <c r="HU17" s="66"/>
      <c r="HV17" s="66"/>
      <c r="HW17" s="66"/>
      <c r="HX17" s="66"/>
      <c r="HY17" s="66"/>
      <c r="HZ17" s="66"/>
      <c r="IA17" s="66"/>
      <c r="IB17" s="66"/>
      <c r="IC17" s="66"/>
      <c r="ID17" s="66"/>
      <c r="IE17" s="66"/>
      <c r="IF17" s="66"/>
      <c r="IG17" s="66"/>
      <c r="IH17" s="66"/>
      <c r="II17" s="66"/>
      <c r="IJ17" s="66"/>
      <c r="IK17" s="66"/>
      <c r="IL17" s="66"/>
      <c r="IM17" s="66"/>
      <c r="IN17" s="66"/>
      <c r="IO17" s="66"/>
      <c r="IP17" s="66"/>
      <c r="IQ17" s="66"/>
      <c r="IR17" s="66"/>
      <c r="IS17" s="66"/>
      <c r="IT17" s="66"/>
      <c r="IU17" s="66"/>
      <c r="IV17" s="66"/>
      <c r="IW17" s="66"/>
      <c r="IX17" s="66"/>
      <c r="IY17" s="66"/>
      <c r="IZ17" s="66"/>
      <c r="JA17" s="66"/>
      <c r="JB17" s="66"/>
      <c r="JC17" s="66"/>
      <c r="JD17" s="66"/>
      <c r="JE17" s="66"/>
      <c r="JF17" s="66"/>
      <c r="JG17" s="66"/>
      <c r="JH17" s="66"/>
      <c r="JI17" s="66"/>
      <c r="JJ17" s="66"/>
      <c r="JK17" s="66"/>
      <c r="JL17" s="66"/>
      <c r="JM17" s="66"/>
      <c r="JN17" s="66"/>
      <c r="JO17" s="66"/>
      <c r="JP17" s="66"/>
      <c r="JQ17" s="66"/>
      <c r="JR17" s="66"/>
      <c r="JS17" s="66"/>
      <c r="JT17" s="66"/>
      <c r="JU17" s="66"/>
      <c r="JV17" s="66"/>
      <c r="JW17" s="66"/>
      <c r="JX17" s="66"/>
      <c r="JY17" s="66"/>
      <c r="JZ17" s="66"/>
      <c r="KA17" s="66"/>
      <c r="KB17" s="66"/>
      <c r="KC17" s="66"/>
      <c r="KD17" s="66"/>
      <c r="KE17" s="66"/>
      <c r="KF17" s="66"/>
      <c r="KG17" s="66"/>
      <c r="KH17" s="66"/>
      <c r="KI17" s="66"/>
      <c r="KJ17" s="66"/>
      <c r="KK17" s="66"/>
      <c r="KL17" s="66"/>
      <c r="KM17" s="66"/>
      <c r="KN17" s="66"/>
      <c r="KO17" s="66"/>
      <c r="KP17" s="66"/>
      <c r="KQ17" s="66"/>
      <c r="KR17" s="66"/>
      <c r="KS17" s="66"/>
      <c r="KT17" s="66"/>
      <c r="KU17" s="66"/>
      <c r="KV17" s="66"/>
      <c r="KW17" s="66"/>
      <c r="KX17" s="66"/>
      <c r="KY17" s="66"/>
      <c r="KZ17" s="66"/>
      <c r="LA17" s="66"/>
      <c r="LB17" s="66"/>
      <c r="LC17" s="66"/>
      <c r="LD17" s="66"/>
      <c r="LE17" s="66"/>
      <c r="LF17" s="66"/>
      <c r="LG17" s="66"/>
      <c r="LH17" s="66"/>
      <c r="LI17" s="66"/>
      <c r="LJ17" s="66"/>
      <c r="LK17" s="66"/>
      <c r="LL17" s="66"/>
      <c r="LM17" s="66"/>
      <c r="LN17" s="66"/>
      <c r="LO17" s="66"/>
      <c r="LP17" s="66"/>
      <c r="LQ17" s="66"/>
      <c r="LR17" s="66"/>
      <c r="LS17" s="66"/>
      <c r="LT17" s="66"/>
      <c r="LU17" s="66"/>
      <c r="LV17" s="66"/>
      <c r="LW17" s="66"/>
      <c r="LX17" s="66"/>
      <c r="LY17" s="66"/>
      <c r="LZ17" s="66"/>
      <c r="MA17" s="66"/>
      <c r="MB17" s="66"/>
      <c r="MC17" s="66"/>
      <c r="MD17" s="66"/>
      <c r="ME17" s="66"/>
      <c r="MF17" s="66"/>
      <c r="MG17" s="66"/>
      <c r="MH17" s="66"/>
      <c r="MI17" s="66"/>
      <c r="MJ17" s="66"/>
      <c r="MK17" s="66"/>
      <c r="ML17" s="66"/>
      <c r="MM17" s="66"/>
      <c r="MN17" s="66"/>
      <c r="MO17" s="66"/>
      <c r="MP17" s="66"/>
      <c r="MQ17" s="66"/>
      <c r="MR17" s="66"/>
      <c r="MS17" s="66"/>
      <c r="MT17" s="66"/>
      <c r="MU17" s="66"/>
      <c r="MV17" s="66"/>
      <c r="MW17" s="66"/>
      <c r="MX17" s="66"/>
      <c r="MY17" s="66"/>
      <c r="MZ17" s="66"/>
      <c r="NA17" s="66"/>
      <c r="NB17" s="66"/>
      <c r="NC17" s="66"/>
      <c r="ND17" s="66"/>
      <c r="NE17" s="66"/>
      <c r="NF17" s="66"/>
      <c r="NG17" s="66"/>
      <c r="NH17" s="66"/>
      <c r="NI17" s="66"/>
      <c r="NJ17" s="66"/>
      <c r="NK17" s="66"/>
      <c r="NL17" s="66"/>
      <c r="NM17" s="66"/>
      <c r="NN17" s="66"/>
      <c r="NO17" s="66"/>
      <c r="NP17" s="66"/>
      <c r="NQ17" s="66"/>
      <c r="NR17" s="66"/>
      <c r="NS17" s="66"/>
      <c r="NT17" s="66"/>
      <c r="NU17" s="66"/>
      <c r="NV17" s="66"/>
      <c r="NW17" s="66"/>
      <c r="NX17" s="66"/>
      <c r="NY17" s="66"/>
      <c r="NZ17" s="66"/>
      <c r="OA17" s="66"/>
      <c r="OB17" s="66"/>
      <c r="OC17" s="66"/>
      <c r="OD17" s="66"/>
      <c r="OE17" s="66"/>
      <c r="OF17" s="66"/>
      <c r="OG17" s="66"/>
      <c r="OH17" s="66"/>
      <c r="OI17" s="66"/>
      <c r="OJ17" s="66"/>
      <c r="OK17" s="66"/>
      <c r="OL17" s="66"/>
      <c r="OM17" s="66"/>
      <c r="ON17" s="66"/>
      <c r="OO17" s="66"/>
      <c r="OP17" s="66"/>
      <c r="OQ17" s="66"/>
      <c r="OR17" s="66"/>
      <c r="OS17" s="66"/>
      <c r="OT17" s="66"/>
      <c r="OU17" s="66"/>
      <c r="OV17" s="66"/>
      <c r="OW17" s="66"/>
      <c r="OX17" s="66"/>
      <c r="OY17" s="66"/>
      <c r="OZ17" s="66"/>
      <c r="PA17" s="66"/>
      <c r="PB17" s="66"/>
      <c r="PC17" s="66"/>
      <c r="PD17" s="66"/>
      <c r="PE17" s="66"/>
      <c r="PF17" s="66"/>
      <c r="PG17" s="66"/>
      <c r="PH17" s="66"/>
      <c r="PI17" s="66"/>
      <c r="PJ17" s="66"/>
      <c r="PK17" s="66"/>
      <c r="PL17" s="66"/>
      <c r="PM17" s="66"/>
      <c r="PN17" s="66"/>
      <c r="PO17" s="66"/>
      <c r="PP17" s="66"/>
      <c r="PQ17" s="66"/>
      <c r="PR17" s="66"/>
      <c r="PS17" s="66"/>
      <c r="PT17" s="66"/>
      <c r="PU17" s="66"/>
      <c r="PV17" s="66"/>
      <c r="PW17" s="66"/>
      <c r="PX17" s="66"/>
      <c r="PY17" s="66"/>
      <c r="PZ17" s="66"/>
      <c r="QA17" s="66"/>
      <c r="QB17" s="66"/>
      <c r="QC17" s="66"/>
      <c r="QD17" s="66"/>
      <c r="QE17" s="66"/>
      <c r="QF17" s="66"/>
      <c r="QG17" s="66"/>
      <c r="QH17" s="66"/>
      <c r="QI17" s="66"/>
      <c r="QJ17" s="66"/>
      <c r="QK17" s="66"/>
      <c r="QL17" s="66"/>
      <c r="QM17" s="66"/>
      <c r="QN17" s="66"/>
      <c r="QO17" s="66"/>
      <c r="QP17" s="66"/>
      <c r="QQ17" s="66"/>
      <c r="QR17" s="66"/>
      <c r="QS17" s="66"/>
      <c r="QT17" s="66"/>
      <c r="QU17" s="66"/>
      <c r="QV17" s="66"/>
      <c r="QW17" s="66"/>
      <c r="QX17" s="66"/>
      <c r="QY17" s="66"/>
      <c r="QZ17" s="66"/>
      <c r="RA17" s="66"/>
      <c r="RB17" s="66"/>
      <c r="RC17" s="66"/>
      <c r="RD17" s="66"/>
      <c r="RE17" s="66"/>
      <c r="RF17" s="66"/>
      <c r="RG17" s="66"/>
      <c r="RH17" s="66"/>
      <c r="RI17" s="66"/>
      <c r="RJ17" s="66"/>
      <c r="RK17" s="66"/>
      <c r="RL17" s="66"/>
      <c r="RM17" s="66"/>
      <c r="RN17" s="66"/>
      <c r="RO17" s="66"/>
      <c r="RP17" s="66"/>
      <c r="RQ17" s="66"/>
      <c r="RR17" s="66"/>
      <c r="RS17" s="66"/>
      <c r="RT17" s="66"/>
      <c r="RU17" s="66"/>
      <c r="RV17" s="66"/>
      <c r="RW17" s="66"/>
      <c r="RX17" s="66"/>
      <c r="RY17" s="66"/>
      <c r="RZ17" s="66"/>
      <c r="SA17" s="66"/>
      <c r="SB17" s="66"/>
      <c r="SC17" s="66"/>
      <c r="SD17" s="66"/>
      <c r="SE17" s="66"/>
      <c r="SF17" s="66"/>
      <c r="SG17" s="66"/>
      <c r="SH17" s="66"/>
      <c r="SI17" s="66"/>
      <c r="SJ17" s="66"/>
      <c r="SK17" s="66"/>
      <c r="SL17" s="66"/>
      <c r="SM17" s="66"/>
      <c r="SN17" s="66"/>
      <c r="SO17" s="66"/>
      <c r="SP17" s="66"/>
      <c r="SQ17" s="66"/>
      <c r="SR17" s="66"/>
      <c r="SS17" s="66"/>
      <c r="ST17" s="66"/>
      <c r="SU17" s="66"/>
      <c r="SV17" s="66"/>
      <c r="SW17" s="66"/>
      <c r="SX17" s="66"/>
      <c r="SY17" s="66"/>
      <c r="SZ17" s="66"/>
      <c r="TA17" s="66"/>
      <c r="TB17" s="66"/>
      <c r="TC17" s="66"/>
      <c r="TD17" s="66"/>
      <c r="TE17" s="66"/>
      <c r="TF17" s="66"/>
      <c r="TG17" s="66"/>
      <c r="TH17" s="66"/>
      <c r="TI17" s="66"/>
      <c r="TJ17" s="66"/>
      <c r="TK17" s="66"/>
      <c r="TL17" s="66"/>
      <c r="TM17" s="66"/>
      <c r="TN17" s="66"/>
      <c r="TO17" s="66"/>
      <c r="TP17" s="66"/>
      <c r="TQ17" s="66"/>
      <c r="TR17" s="66"/>
      <c r="TS17" s="66"/>
      <c r="TT17" s="66"/>
      <c r="TU17" s="66"/>
      <c r="TV17" s="66"/>
      <c r="TW17" s="66"/>
      <c r="TX17" s="66"/>
      <c r="TY17" s="66"/>
      <c r="TZ17" s="66"/>
      <c r="UA17" s="66"/>
      <c r="UB17" s="66"/>
      <c r="UC17" s="66"/>
      <c r="UD17" s="66"/>
      <c r="UE17" s="66"/>
      <c r="UF17" s="66"/>
      <c r="UG17" s="66"/>
      <c r="UH17" s="66"/>
      <c r="UI17" s="66"/>
      <c r="UJ17" s="66"/>
      <c r="UK17" s="66"/>
      <c r="UL17" s="66"/>
      <c r="UM17" s="66"/>
      <c r="UN17" s="66"/>
      <c r="UO17" s="66"/>
      <c r="UP17" s="66"/>
      <c r="UQ17" s="66"/>
      <c r="UR17" s="66"/>
      <c r="US17" s="66"/>
      <c r="UT17" s="66"/>
      <c r="UU17" s="66"/>
      <c r="UV17" s="66"/>
      <c r="UW17" s="66"/>
      <c r="UX17" s="66"/>
      <c r="UY17" s="66"/>
      <c r="UZ17" s="66"/>
      <c r="VA17" s="66"/>
      <c r="VB17" s="66"/>
      <c r="VC17" s="66"/>
      <c r="VD17" s="66"/>
      <c r="VE17" s="66"/>
      <c r="VF17" s="66"/>
      <c r="VG17" s="66"/>
      <c r="VH17" s="66"/>
      <c r="VI17" s="66"/>
      <c r="VJ17" s="66"/>
      <c r="VK17" s="66"/>
      <c r="VL17" s="66"/>
      <c r="VM17" s="66"/>
      <c r="VN17" s="66"/>
      <c r="VO17" s="66"/>
      <c r="VP17" s="66"/>
      <c r="VQ17" s="66"/>
      <c r="VR17" s="66"/>
      <c r="VS17" s="66"/>
      <c r="VT17" s="66"/>
      <c r="VU17" s="66"/>
      <c r="VV17" s="66"/>
      <c r="VW17" s="66"/>
      <c r="VX17" s="66"/>
      <c r="VY17" s="66"/>
      <c r="VZ17" s="66"/>
      <c r="WA17" s="66"/>
      <c r="WB17" s="66"/>
      <c r="WC17" s="66"/>
      <c r="WD17" s="66"/>
      <c r="WE17" s="66"/>
      <c r="WF17" s="66"/>
      <c r="WG17" s="66"/>
      <c r="WH17" s="66"/>
      <c r="WI17" s="66"/>
      <c r="WJ17" s="66"/>
      <c r="WK17" s="66"/>
      <c r="WL17" s="66"/>
      <c r="WM17" s="66"/>
      <c r="WN17" s="66"/>
      <c r="WO17" s="66"/>
      <c r="WP17" s="66"/>
      <c r="WQ17" s="66"/>
      <c r="WR17" s="66"/>
      <c r="WS17" s="66"/>
      <c r="WT17" s="66"/>
      <c r="WU17" s="66"/>
      <c r="WV17" s="66"/>
      <c r="WW17" s="66"/>
      <c r="WX17" s="66"/>
      <c r="WY17" s="66"/>
      <c r="WZ17" s="66"/>
      <c r="XA17" s="66"/>
      <c r="XB17" s="66"/>
      <c r="XC17" s="66"/>
      <c r="XD17" s="66"/>
      <c r="XE17" s="66"/>
      <c r="XF17" s="66"/>
      <c r="XG17" s="66"/>
      <c r="XH17" s="66"/>
      <c r="XI17" s="66"/>
      <c r="XJ17" s="66"/>
      <c r="XK17" s="66"/>
      <c r="XL17" s="66"/>
      <c r="XM17" s="66"/>
      <c r="XN17" s="66"/>
      <c r="XO17" s="66"/>
      <c r="XP17" s="66"/>
      <c r="XQ17" s="66"/>
      <c r="XR17" s="66"/>
      <c r="XS17" s="66"/>
      <c r="XT17" s="66"/>
      <c r="XU17" s="66"/>
      <c r="XV17" s="66"/>
      <c r="XW17" s="66"/>
      <c r="XX17" s="66"/>
      <c r="XY17" s="66"/>
      <c r="XZ17" s="66"/>
      <c r="YA17" s="66"/>
      <c r="YB17" s="66"/>
      <c r="YC17" s="66"/>
      <c r="YD17" s="66"/>
      <c r="YE17" s="66"/>
      <c r="YF17" s="66"/>
      <c r="YG17" s="66"/>
      <c r="YH17" s="66"/>
      <c r="YI17" s="66"/>
      <c r="YJ17" s="66"/>
      <c r="YK17" s="66"/>
      <c r="YL17" s="66"/>
      <c r="YM17" s="66"/>
      <c r="YN17" s="66"/>
      <c r="YO17" s="66"/>
      <c r="YP17" s="66"/>
      <c r="YQ17" s="66"/>
      <c r="YR17" s="66"/>
      <c r="YS17" s="66"/>
      <c r="YT17" s="66"/>
      <c r="YU17" s="66"/>
      <c r="YV17" s="66"/>
      <c r="YW17" s="66"/>
      <c r="YX17" s="66"/>
      <c r="YY17" s="66"/>
      <c r="YZ17" s="66"/>
      <c r="ZA17" s="66"/>
      <c r="ZB17" s="66"/>
      <c r="ZC17" s="66"/>
      <c r="ZD17" s="66"/>
      <c r="ZE17" s="66"/>
      <c r="ZF17" s="66"/>
      <c r="ZG17" s="66"/>
      <c r="ZH17" s="66"/>
      <c r="ZI17" s="66"/>
      <c r="ZJ17" s="66"/>
      <c r="ZK17" s="66"/>
      <c r="ZL17" s="66"/>
      <c r="ZM17" s="66"/>
      <c r="ZN17" s="66"/>
      <c r="ZO17" s="66"/>
      <c r="ZP17" s="66"/>
      <c r="ZQ17" s="66"/>
      <c r="ZR17" s="66"/>
      <c r="ZS17" s="66"/>
      <c r="ZT17" s="66"/>
      <c r="ZU17" s="66"/>
      <c r="ZV17" s="66"/>
      <c r="ZW17" s="66"/>
      <c r="ZX17" s="66"/>
    </row>
    <row r="18" spans="1:700" s="20" customFormat="1" ht="15.75" x14ac:dyDescent="0.25">
      <c r="A18" s="70"/>
      <c r="B18" s="71"/>
      <c r="C18" s="71"/>
      <c r="D18" s="109"/>
      <c r="E18" s="111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  <c r="CH18" s="66"/>
      <c r="CI18" s="66"/>
      <c r="CJ18" s="66"/>
      <c r="CK18" s="66"/>
      <c r="CL18" s="66"/>
      <c r="CM18" s="66"/>
      <c r="CN18" s="66"/>
      <c r="CO18" s="66"/>
      <c r="CP18" s="66"/>
      <c r="CQ18" s="66"/>
      <c r="CR18" s="66"/>
      <c r="CS18" s="66"/>
      <c r="CT18" s="66"/>
      <c r="CU18" s="66"/>
      <c r="CV18" s="66"/>
      <c r="CW18" s="66"/>
      <c r="CX18" s="66"/>
      <c r="CY18" s="66"/>
      <c r="CZ18" s="66"/>
      <c r="DA18" s="66"/>
      <c r="DB18" s="66"/>
      <c r="DC18" s="66"/>
      <c r="DD18" s="66"/>
      <c r="DE18" s="66"/>
      <c r="DF18" s="66"/>
      <c r="DG18" s="66"/>
      <c r="DH18" s="66"/>
      <c r="DI18" s="66"/>
      <c r="DJ18" s="66"/>
      <c r="DK18" s="66"/>
      <c r="DL18" s="66"/>
      <c r="DM18" s="66"/>
      <c r="DN18" s="66"/>
      <c r="DO18" s="66"/>
      <c r="DP18" s="66"/>
      <c r="DQ18" s="66"/>
      <c r="DR18" s="66"/>
      <c r="DS18" s="66"/>
      <c r="DT18" s="66"/>
      <c r="DU18" s="66"/>
      <c r="DV18" s="66"/>
      <c r="DW18" s="66"/>
      <c r="DX18" s="66"/>
      <c r="DY18" s="66"/>
      <c r="DZ18" s="66"/>
      <c r="EA18" s="66"/>
      <c r="EB18" s="66"/>
      <c r="EC18" s="66"/>
      <c r="ED18" s="66"/>
      <c r="EE18" s="66"/>
      <c r="EF18" s="66"/>
      <c r="EG18" s="66"/>
      <c r="EH18" s="66"/>
      <c r="EI18" s="66"/>
      <c r="EJ18" s="66"/>
      <c r="EK18" s="66"/>
      <c r="EL18" s="66"/>
      <c r="EM18" s="66"/>
      <c r="EN18" s="66"/>
      <c r="EO18" s="66"/>
      <c r="EP18" s="66"/>
      <c r="EQ18" s="66"/>
      <c r="ER18" s="66"/>
      <c r="ES18" s="66"/>
      <c r="ET18" s="66"/>
      <c r="EU18" s="66"/>
      <c r="EV18" s="66"/>
      <c r="EW18" s="66"/>
      <c r="EX18" s="66"/>
      <c r="EY18" s="66"/>
      <c r="EZ18" s="66"/>
      <c r="FA18" s="66"/>
      <c r="FB18" s="66"/>
      <c r="FC18" s="66"/>
      <c r="FD18" s="66"/>
      <c r="FE18" s="66"/>
      <c r="FF18" s="66"/>
      <c r="FG18" s="66"/>
      <c r="FH18" s="66"/>
      <c r="FI18" s="66"/>
      <c r="FJ18" s="66"/>
      <c r="FK18" s="66"/>
      <c r="FL18" s="66"/>
      <c r="FM18" s="66"/>
      <c r="FN18" s="66"/>
      <c r="FO18" s="66"/>
      <c r="FP18" s="66"/>
      <c r="FQ18" s="66"/>
      <c r="FR18" s="66"/>
      <c r="FS18" s="66"/>
      <c r="FT18" s="66"/>
      <c r="FU18" s="66"/>
      <c r="FV18" s="66"/>
      <c r="FW18" s="66"/>
      <c r="FX18" s="66"/>
      <c r="FY18" s="66"/>
      <c r="FZ18" s="66"/>
      <c r="GA18" s="66"/>
      <c r="GB18" s="66"/>
      <c r="GC18" s="66"/>
      <c r="GD18" s="66"/>
      <c r="GE18" s="66"/>
      <c r="GF18" s="66"/>
      <c r="GG18" s="66"/>
      <c r="GH18" s="66"/>
      <c r="GI18" s="66"/>
      <c r="GJ18" s="66"/>
      <c r="GK18" s="66"/>
      <c r="GL18" s="66"/>
      <c r="GM18" s="66"/>
      <c r="GN18" s="66"/>
      <c r="GO18" s="66"/>
      <c r="GP18" s="66"/>
      <c r="GQ18" s="66"/>
      <c r="GR18" s="66"/>
      <c r="GS18" s="66"/>
      <c r="GT18" s="66"/>
      <c r="GU18" s="66"/>
      <c r="GV18" s="66"/>
      <c r="GW18" s="66"/>
      <c r="GX18" s="66"/>
      <c r="GY18" s="66"/>
      <c r="GZ18" s="66"/>
      <c r="HA18" s="66"/>
      <c r="HB18" s="66"/>
      <c r="HC18" s="66"/>
      <c r="HD18" s="66"/>
      <c r="HE18" s="66"/>
      <c r="HF18" s="66"/>
      <c r="HG18" s="66"/>
      <c r="HH18" s="66"/>
      <c r="HI18" s="66"/>
      <c r="HJ18" s="66"/>
      <c r="HK18" s="66"/>
      <c r="HL18" s="66"/>
      <c r="HM18" s="66"/>
      <c r="HN18" s="66"/>
      <c r="HO18" s="66"/>
      <c r="HP18" s="66"/>
      <c r="HQ18" s="66"/>
      <c r="HR18" s="66"/>
      <c r="HS18" s="66"/>
      <c r="HT18" s="66"/>
      <c r="HU18" s="66"/>
      <c r="HV18" s="66"/>
      <c r="HW18" s="66"/>
      <c r="HX18" s="66"/>
      <c r="HY18" s="66"/>
      <c r="HZ18" s="66"/>
      <c r="IA18" s="66"/>
      <c r="IB18" s="66"/>
      <c r="IC18" s="66"/>
      <c r="ID18" s="66"/>
      <c r="IE18" s="66"/>
      <c r="IF18" s="66"/>
      <c r="IG18" s="66"/>
      <c r="IH18" s="66"/>
      <c r="II18" s="66"/>
      <c r="IJ18" s="66"/>
      <c r="IK18" s="66"/>
      <c r="IL18" s="66"/>
      <c r="IM18" s="66"/>
      <c r="IN18" s="66"/>
      <c r="IO18" s="66"/>
      <c r="IP18" s="66"/>
      <c r="IQ18" s="66"/>
      <c r="IR18" s="66"/>
      <c r="IS18" s="66"/>
      <c r="IT18" s="66"/>
      <c r="IU18" s="66"/>
      <c r="IV18" s="66"/>
      <c r="IW18" s="66"/>
      <c r="IX18" s="66"/>
      <c r="IY18" s="66"/>
      <c r="IZ18" s="66"/>
      <c r="JA18" s="66"/>
      <c r="JB18" s="66"/>
      <c r="JC18" s="66"/>
      <c r="JD18" s="66"/>
      <c r="JE18" s="66"/>
      <c r="JF18" s="66"/>
      <c r="JG18" s="66"/>
      <c r="JH18" s="66"/>
      <c r="JI18" s="66"/>
      <c r="JJ18" s="66"/>
      <c r="JK18" s="66"/>
      <c r="JL18" s="66"/>
      <c r="JM18" s="66"/>
      <c r="JN18" s="66"/>
      <c r="JO18" s="66"/>
      <c r="JP18" s="66"/>
      <c r="JQ18" s="66"/>
      <c r="JR18" s="66"/>
      <c r="JS18" s="66"/>
      <c r="JT18" s="66"/>
      <c r="JU18" s="66"/>
      <c r="JV18" s="66"/>
      <c r="JW18" s="66"/>
      <c r="JX18" s="66"/>
      <c r="JY18" s="66"/>
      <c r="JZ18" s="66"/>
      <c r="KA18" s="66"/>
      <c r="KB18" s="66"/>
      <c r="KC18" s="66"/>
      <c r="KD18" s="66"/>
      <c r="KE18" s="66"/>
      <c r="KF18" s="66"/>
      <c r="KG18" s="66"/>
      <c r="KH18" s="66"/>
      <c r="KI18" s="66"/>
      <c r="KJ18" s="66"/>
      <c r="KK18" s="66"/>
      <c r="KL18" s="66"/>
      <c r="KM18" s="66"/>
      <c r="KN18" s="66"/>
      <c r="KO18" s="66"/>
      <c r="KP18" s="66"/>
      <c r="KQ18" s="66"/>
      <c r="KR18" s="66"/>
      <c r="KS18" s="66"/>
      <c r="KT18" s="66"/>
      <c r="KU18" s="66"/>
      <c r="KV18" s="66"/>
      <c r="KW18" s="66"/>
      <c r="KX18" s="66"/>
      <c r="KY18" s="66"/>
      <c r="KZ18" s="66"/>
      <c r="LA18" s="66"/>
      <c r="LB18" s="66"/>
      <c r="LC18" s="66"/>
      <c r="LD18" s="66"/>
      <c r="LE18" s="66"/>
      <c r="LF18" s="66"/>
      <c r="LG18" s="66"/>
      <c r="LH18" s="66"/>
      <c r="LI18" s="66"/>
      <c r="LJ18" s="66"/>
      <c r="LK18" s="66"/>
      <c r="LL18" s="66"/>
      <c r="LM18" s="66"/>
      <c r="LN18" s="66"/>
      <c r="LO18" s="66"/>
      <c r="LP18" s="66"/>
      <c r="LQ18" s="66"/>
      <c r="LR18" s="66"/>
      <c r="LS18" s="66"/>
      <c r="LT18" s="66"/>
      <c r="LU18" s="66"/>
      <c r="LV18" s="66"/>
      <c r="LW18" s="66"/>
      <c r="LX18" s="66"/>
      <c r="LY18" s="66"/>
      <c r="LZ18" s="66"/>
      <c r="MA18" s="66"/>
      <c r="MB18" s="66"/>
      <c r="MC18" s="66"/>
      <c r="MD18" s="66"/>
      <c r="ME18" s="66"/>
      <c r="MF18" s="66"/>
      <c r="MG18" s="66"/>
      <c r="MH18" s="66"/>
      <c r="MI18" s="66"/>
      <c r="MJ18" s="66"/>
      <c r="MK18" s="66"/>
      <c r="ML18" s="66"/>
      <c r="MM18" s="66"/>
      <c r="MN18" s="66"/>
      <c r="MO18" s="66"/>
      <c r="MP18" s="66"/>
      <c r="MQ18" s="66"/>
      <c r="MR18" s="66"/>
      <c r="MS18" s="66"/>
      <c r="MT18" s="66"/>
      <c r="MU18" s="66"/>
      <c r="MV18" s="66"/>
      <c r="MW18" s="66"/>
      <c r="MX18" s="66"/>
      <c r="MY18" s="66"/>
      <c r="MZ18" s="66"/>
      <c r="NA18" s="66"/>
      <c r="NB18" s="66"/>
      <c r="NC18" s="66"/>
      <c r="ND18" s="66"/>
      <c r="NE18" s="66"/>
      <c r="NF18" s="66"/>
      <c r="NG18" s="66"/>
      <c r="NH18" s="66"/>
      <c r="NI18" s="66"/>
      <c r="NJ18" s="66"/>
      <c r="NK18" s="66"/>
      <c r="NL18" s="66"/>
      <c r="NM18" s="66"/>
      <c r="NN18" s="66"/>
      <c r="NO18" s="66"/>
      <c r="NP18" s="66"/>
      <c r="NQ18" s="66"/>
      <c r="NR18" s="66"/>
      <c r="NS18" s="66"/>
      <c r="NT18" s="66"/>
      <c r="NU18" s="66"/>
      <c r="NV18" s="66"/>
      <c r="NW18" s="66"/>
      <c r="NX18" s="66"/>
      <c r="NY18" s="66"/>
      <c r="NZ18" s="66"/>
      <c r="OA18" s="66"/>
      <c r="OB18" s="66"/>
      <c r="OC18" s="66"/>
      <c r="OD18" s="66"/>
      <c r="OE18" s="66"/>
      <c r="OF18" s="66"/>
      <c r="OG18" s="66"/>
      <c r="OH18" s="66"/>
      <c r="OI18" s="66"/>
      <c r="OJ18" s="66"/>
      <c r="OK18" s="66"/>
      <c r="OL18" s="66"/>
      <c r="OM18" s="66"/>
      <c r="ON18" s="66"/>
      <c r="OO18" s="66"/>
      <c r="OP18" s="66"/>
      <c r="OQ18" s="66"/>
      <c r="OR18" s="66"/>
      <c r="OS18" s="66"/>
      <c r="OT18" s="66"/>
      <c r="OU18" s="66"/>
      <c r="OV18" s="66"/>
      <c r="OW18" s="66"/>
      <c r="OX18" s="66"/>
      <c r="OY18" s="66"/>
      <c r="OZ18" s="66"/>
      <c r="PA18" s="66"/>
      <c r="PB18" s="66"/>
      <c r="PC18" s="66"/>
      <c r="PD18" s="66"/>
      <c r="PE18" s="66"/>
      <c r="PF18" s="66"/>
      <c r="PG18" s="66"/>
      <c r="PH18" s="66"/>
      <c r="PI18" s="66"/>
      <c r="PJ18" s="66"/>
      <c r="PK18" s="66"/>
      <c r="PL18" s="66"/>
      <c r="PM18" s="66"/>
      <c r="PN18" s="66"/>
      <c r="PO18" s="66"/>
      <c r="PP18" s="66"/>
      <c r="PQ18" s="66"/>
      <c r="PR18" s="66"/>
      <c r="PS18" s="66"/>
      <c r="PT18" s="66"/>
      <c r="PU18" s="66"/>
      <c r="PV18" s="66"/>
      <c r="PW18" s="66"/>
      <c r="PX18" s="66"/>
      <c r="PY18" s="66"/>
      <c r="PZ18" s="66"/>
      <c r="QA18" s="66"/>
      <c r="QB18" s="66"/>
      <c r="QC18" s="66"/>
      <c r="QD18" s="66"/>
      <c r="QE18" s="66"/>
      <c r="QF18" s="66"/>
      <c r="QG18" s="66"/>
      <c r="QH18" s="66"/>
      <c r="QI18" s="66"/>
      <c r="QJ18" s="66"/>
      <c r="QK18" s="66"/>
      <c r="QL18" s="66"/>
      <c r="QM18" s="66"/>
      <c r="QN18" s="66"/>
      <c r="QO18" s="66"/>
      <c r="QP18" s="66"/>
      <c r="QQ18" s="66"/>
      <c r="QR18" s="66"/>
      <c r="QS18" s="66"/>
      <c r="QT18" s="66"/>
      <c r="QU18" s="66"/>
      <c r="QV18" s="66"/>
      <c r="QW18" s="66"/>
      <c r="QX18" s="66"/>
      <c r="QY18" s="66"/>
      <c r="QZ18" s="66"/>
      <c r="RA18" s="66"/>
      <c r="RB18" s="66"/>
      <c r="RC18" s="66"/>
      <c r="RD18" s="66"/>
      <c r="RE18" s="66"/>
      <c r="RF18" s="66"/>
      <c r="RG18" s="66"/>
      <c r="RH18" s="66"/>
      <c r="RI18" s="66"/>
      <c r="RJ18" s="66"/>
      <c r="RK18" s="66"/>
      <c r="RL18" s="66"/>
      <c r="RM18" s="66"/>
      <c r="RN18" s="66"/>
      <c r="RO18" s="66"/>
      <c r="RP18" s="66"/>
      <c r="RQ18" s="66"/>
      <c r="RR18" s="66"/>
      <c r="RS18" s="66"/>
      <c r="RT18" s="66"/>
      <c r="RU18" s="66"/>
      <c r="RV18" s="66"/>
      <c r="RW18" s="66"/>
      <c r="RX18" s="66"/>
      <c r="RY18" s="66"/>
      <c r="RZ18" s="66"/>
      <c r="SA18" s="66"/>
      <c r="SB18" s="66"/>
      <c r="SC18" s="66"/>
      <c r="SD18" s="66"/>
      <c r="SE18" s="66"/>
      <c r="SF18" s="66"/>
      <c r="SG18" s="66"/>
      <c r="SH18" s="66"/>
      <c r="SI18" s="66"/>
      <c r="SJ18" s="66"/>
      <c r="SK18" s="66"/>
      <c r="SL18" s="66"/>
      <c r="SM18" s="66"/>
      <c r="SN18" s="66"/>
      <c r="SO18" s="66"/>
      <c r="SP18" s="66"/>
      <c r="SQ18" s="66"/>
      <c r="SR18" s="66"/>
      <c r="SS18" s="66"/>
      <c r="ST18" s="66"/>
      <c r="SU18" s="66"/>
      <c r="SV18" s="66"/>
      <c r="SW18" s="66"/>
      <c r="SX18" s="66"/>
      <c r="SY18" s="66"/>
      <c r="SZ18" s="66"/>
      <c r="TA18" s="66"/>
      <c r="TB18" s="66"/>
      <c r="TC18" s="66"/>
      <c r="TD18" s="66"/>
      <c r="TE18" s="66"/>
      <c r="TF18" s="66"/>
      <c r="TG18" s="66"/>
      <c r="TH18" s="66"/>
      <c r="TI18" s="66"/>
      <c r="TJ18" s="66"/>
      <c r="TK18" s="66"/>
      <c r="TL18" s="66"/>
      <c r="TM18" s="66"/>
      <c r="TN18" s="66"/>
      <c r="TO18" s="66"/>
      <c r="TP18" s="66"/>
      <c r="TQ18" s="66"/>
      <c r="TR18" s="66"/>
      <c r="TS18" s="66"/>
      <c r="TT18" s="66"/>
      <c r="TU18" s="66"/>
      <c r="TV18" s="66"/>
      <c r="TW18" s="66"/>
      <c r="TX18" s="66"/>
      <c r="TY18" s="66"/>
      <c r="TZ18" s="66"/>
      <c r="UA18" s="66"/>
      <c r="UB18" s="66"/>
      <c r="UC18" s="66"/>
      <c r="UD18" s="66"/>
      <c r="UE18" s="66"/>
      <c r="UF18" s="66"/>
      <c r="UG18" s="66"/>
      <c r="UH18" s="66"/>
      <c r="UI18" s="66"/>
      <c r="UJ18" s="66"/>
      <c r="UK18" s="66"/>
      <c r="UL18" s="66"/>
      <c r="UM18" s="66"/>
      <c r="UN18" s="66"/>
      <c r="UO18" s="66"/>
      <c r="UP18" s="66"/>
      <c r="UQ18" s="66"/>
      <c r="UR18" s="66"/>
      <c r="US18" s="66"/>
      <c r="UT18" s="66"/>
      <c r="UU18" s="66"/>
      <c r="UV18" s="66"/>
      <c r="UW18" s="66"/>
      <c r="UX18" s="66"/>
      <c r="UY18" s="66"/>
      <c r="UZ18" s="66"/>
      <c r="VA18" s="66"/>
      <c r="VB18" s="66"/>
      <c r="VC18" s="66"/>
      <c r="VD18" s="66"/>
      <c r="VE18" s="66"/>
      <c r="VF18" s="66"/>
      <c r="VG18" s="66"/>
      <c r="VH18" s="66"/>
      <c r="VI18" s="66"/>
      <c r="VJ18" s="66"/>
      <c r="VK18" s="66"/>
      <c r="VL18" s="66"/>
      <c r="VM18" s="66"/>
      <c r="VN18" s="66"/>
      <c r="VO18" s="66"/>
      <c r="VP18" s="66"/>
      <c r="VQ18" s="66"/>
      <c r="VR18" s="66"/>
      <c r="VS18" s="66"/>
      <c r="VT18" s="66"/>
      <c r="VU18" s="66"/>
      <c r="VV18" s="66"/>
      <c r="VW18" s="66"/>
      <c r="VX18" s="66"/>
      <c r="VY18" s="66"/>
      <c r="VZ18" s="66"/>
      <c r="WA18" s="66"/>
      <c r="WB18" s="66"/>
      <c r="WC18" s="66"/>
      <c r="WD18" s="66"/>
      <c r="WE18" s="66"/>
      <c r="WF18" s="66"/>
      <c r="WG18" s="66"/>
      <c r="WH18" s="66"/>
      <c r="WI18" s="66"/>
      <c r="WJ18" s="66"/>
      <c r="WK18" s="66"/>
      <c r="WL18" s="66"/>
      <c r="WM18" s="66"/>
      <c r="WN18" s="66"/>
      <c r="WO18" s="66"/>
      <c r="WP18" s="66"/>
      <c r="WQ18" s="66"/>
      <c r="WR18" s="66"/>
      <c r="WS18" s="66"/>
      <c r="WT18" s="66"/>
      <c r="WU18" s="66"/>
      <c r="WV18" s="66"/>
      <c r="WW18" s="66"/>
      <c r="WX18" s="66"/>
      <c r="WY18" s="66"/>
      <c r="WZ18" s="66"/>
      <c r="XA18" s="66"/>
      <c r="XB18" s="66"/>
      <c r="XC18" s="66"/>
      <c r="XD18" s="66"/>
      <c r="XE18" s="66"/>
      <c r="XF18" s="66"/>
      <c r="XG18" s="66"/>
      <c r="XH18" s="66"/>
      <c r="XI18" s="66"/>
      <c r="XJ18" s="66"/>
      <c r="XK18" s="66"/>
      <c r="XL18" s="66"/>
      <c r="XM18" s="66"/>
      <c r="XN18" s="66"/>
      <c r="XO18" s="66"/>
      <c r="XP18" s="66"/>
      <c r="XQ18" s="66"/>
      <c r="XR18" s="66"/>
      <c r="XS18" s="66"/>
      <c r="XT18" s="66"/>
      <c r="XU18" s="66"/>
      <c r="XV18" s="66"/>
      <c r="XW18" s="66"/>
      <c r="XX18" s="66"/>
      <c r="XY18" s="66"/>
      <c r="XZ18" s="66"/>
      <c r="YA18" s="66"/>
      <c r="YB18" s="66"/>
      <c r="YC18" s="66"/>
      <c r="YD18" s="66"/>
      <c r="YE18" s="66"/>
      <c r="YF18" s="66"/>
      <c r="YG18" s="66"/>
      <c r="YH18" s="66"/>
      <c r="YI18" s="66"/>
      <c r="YJ18" s="66"/>
      <c r="YK18" s="66"/>
      <c r="YL18" s="66"/>
      <c r="YM18" s="66"/>
      <c r="YN18" s="66"/>
      <c r="YO18" s="66"/>
      <c r="YP18" s="66"/>
      <c r="YQ18" s="66"/>
      <c r="YR18" s="66"/>
      <c r="YS18" s="66"/>
      <c r="YT18" s="66"/>
      <c r="YU18" s="66"/>
      <c r="YV18" s="66"/>
      <c r="YW18" s="66"/>
      <c r="YX18" s="66"/>
      <c r="YY18" s="66"/>
      <c r="YZ18" s="66"/>
      <c r="ZA18" s="66"/>
      <c r="ZB18" s="66"/>
      <c r="ZC18" s="66"/>
      <c r="ZD18" s="66"/>
      <c r="ZE18" s="66"/>
      <c r="ZF18" s="66"/>
      <c r="ZG18" s="66"/>
      <c r="ZH18" s="66"/>
      <c r="ZI18" s="66"/>
      <c r="ZJ18" s="66"/>
      <c r="ZK18" s="66"/>
      <c r="ZL18" s="66"/>
      <c r="ZM18" s="66"/>
      <c r="ZN18" s="66"/>
      <c r="ZO18" s="66"/>
      <c r="ZP18" s="66"/>
      <c r="ZQ18" s="66"/>
      <c r="ZR18" s="66"/>
      <c r="ZS18" s="66"/>
      <c r="ZT18" s="66"/>
      <c r="ZU18" s="66"/>
      <c r="ZV18" s="66"/>
      <c r="ZW18" s="66"/>
      <c r="ZX18" s="66"/>
    </row>
    <row r="19" spans="1:700" s="20" customFormat="1" ht="15.75" x14ac:dyDescent="0.25">
      <c r="A19" s="72"/>
      <c r="B19" s="73"/>
      <c r="C19" s="73"/>
      <c r="D19" s="108"/>
      <c r="E19" s="129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U19" s="66"/>
      <c r="CV19" s="66"/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K19" s="66"/>
      <c r="DL19" s="66"/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A19" s="66"/>
      <c r="EB19" s="66"/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  <c r="EQ19" s="66"/>
      <c r="ER19" s="66"/>
      <c r="ES19" s="66"/>
      <c r="ET19" s="66"/>
      <c r="EU19" s="66"/>
      <c r="EV19" s="66"/>
      <c r="EW19" s="66"/>
      <c r="EX19" s="66"/>
      <c r="EY19" s="66"/>
      <c r="EZ19" s="66"/>
      <c r="FA19" s="66"/>
      <c r="FB19" s="66"/>
      <c r="FC19" s="66"/>
      <c r="FD19" s="66"/>
      <c r="FE19" s="66"/>
      <c r="FF19" s="66"/>
      <c r="FG19" s="66"/>
      <c r="FH19" s="66"/>
      <c r="FI19" s="66"/>
      <c r="FJ19" s="66"/>
      <c r="FK19" s="66"/>
      <c r="FL19" s="66"/>
      <c r="FM19" s="66"/>
      <c r="FN19" s="66"/>
      <c r="FO19" s="66"/>
      <c r="FP19" s="66"/>
      <c r="FQ19" s="66"/>
      <c r="FR19" s="66"/>
      <c r="FS19" s="66"/>
      <c r="FT19" s="66"/>
      <c r="FU19" s="66"/>
      <c r="FV19" s="66"/>
      <c r="FW19" s="66"/>
      <c r="FX19" s="66"/>
      <c r="FY19" s="66"/>
      <c r="FZ19" s="66"/>
      <c r="GA19" s="66"/>
      <c r="GB19" s="66"/>
      <c r="GC19" s="66"/>
      <c r="GD19" s="66"/>
      <c r="GE19" s="66"/>
      <c r="GF19" s="66"/>
      <c r="GG19" s="66"/>
      <c r="GH19" s="66"/>
      <c r="GI19" s="66"/>
      <c r="GJ19" s="66"/>
      <c r="GK19" s="66"/>
      <c r="GL19" s="66"/>
      <c r="GM19" s="66"/>
      <c r="GN19" s="66"/>
      <c r="GO19" s="66"/>
      <c r="GP19" s="66"/>
      <c r="GQ19" s="66"/>
      <c r="GR19" s="66"/>
      <c r="GS19" s="66"/>
      <c r="GT19" s="66"/>
      <c r="GU19" s="66"/>
      <c r="GV19" s="66"/>
      <c r="GW19" s="66"/>
      <c r="GX19" s="66"/>
      <c r="GY19" s="66"/>
      <c r="GZ19" s="66"/>
      <c r="HA19" s="66"/>
      <c r="HB19" s="66"/>
      <c r="HC19" s="66"/>
      <c r="HD19" s="66"/>
      <c r="HE19" s="66"/>
      <c r="HF19" s="66"/>
      <c r="HG19" s="66"/>
      <c r="HH19" s="66"/>
      <c r="HI19" s="66"/>
      <c r="HJ19" s="66"/>
      <c r="HK19" s="66"/>
      <c r="HL19" s="66"/>
      <c r="HM19" s="66"/>
      <c r="HN19" s="66"/>
      <c r="HO19" s="66"/>
      <c r="HP19" s="66"/>
      <c r="HQ19" s="66"/>
      <c r="HR19" s="66"/>
      <c r="HS19" s="66"/>
      <c r="HT19" s="66"/>
      <c r="HU19" s="66"/>
      <c r="HV19" s="66"/>
      <c r="HW19" s="66"/>
      <c r="HX19" s="66"/>
      <c r="HY19" s="66"/>
      <c r="HZ19" s="66"/>
      <c r="IA19" s="66"/>
      <c r="IB19" s="66"/>
      <c r="IC19" s="66"/>
      <c r="ID19" s="66"/>
      <c r="IE19" s="66"/>
      <c r="IF19" s="66"/>
      <c r="IG19" s="66"/>
      <c r="IH19" s="66"/>
      <c r="II19" s="66"/>
      <c r="IJ19" s="66"/>
      <c r="IK19" s="66"/>
      <c r="IL19" s="66"/>
      <c r="IM19" s="66"/>
      <c r="IN19" s="66"/>
      <c r="IO19" s="66"/>
      <c r="IP19" s="66"/>
      <c r="IQ19" s="66"/>
      <c r="IR19" s="66"/>
      <c r="IS19" s="66"/>
      <c r="IT19" s="66"/>
      <c r="IU19" s="66"/>
      <c r="IV19" s="66"/>
      <c r="IW19" s="66"/>
      <c r="IX19" s="66"/>
      <c r="IY19" s="66"/>
      <c r="IZ19" s="66"/>
      <c r="JA19" s="66"/>
      <c r="JB19" s="66"/>
      <c r="JC19" s="66"/>
      <c r="JD19" s="66"/>
      <c r="JE19" s="66"/>
      <c r="JF19" s="66"/>
      <c r="JG19" s="66"/>
      <c r="JH19" s="66"/>
      <c r="JI19" s="66"/>
      <c r="JJ19" s="66"/>
      <c r="JK19" s="66"/>
      <c r="JL19" s="66"/>
      <c r="JM19" s="66"/>
      <c r="JN19" s="66"/>
      <c r="JO19" s="66"/>
      <c r="JP19" s="66"/>
      <c r="JQ19" s="66"/>
      <c r="JR19" s="66"/>
      <c r="JS19" s="66"/>
      <c r="JT19" s="66"/>
      <c r="JU19" s="66"/>
      <c r="JV19" s="66"/>
      <c r="JW19" s="66"/>
      <c r="JX19" s="66"/>
      <c r="JY19" s="66"/>
      <c r="JZ19" s="66"/>
      <c r="KA19" s="66"/>
      <c r="KB19" s="66"/>
      <c r="KC19" s="66"/>
      <c r="KD19" s="66"/>
      <c r="KE19" s="66"/>
      <c r="KF19" s="66"/>
      <c r="KG19" s="66"/>
      <c r="KH19" s="66"/>
      <c r="KI19" s="66"/>
      <c r="KJ19" s="66"/>
      <c r="KK19" s="66"/>
      <c r="KL19" s="66"/>
      <c r="KM19" s="66"/>
      <c r="KN19" s="66"/>
      <c r="KO19" s="66"/>
      <c r="KP19" s="66"/>
      <c r="KQ19" s="66"/>
      <c r="KR19" s="66"/>
      <c r="KS19" s="66"/>
      <c r="KT19" s="66"/>
      <c r="KU19" s="66"/>
      <c r="KV19" s="66"/>
      <c r="KW19" s="66"/>
      <c r="KX19" s="66"/>
      <c r="KY19" s="66"/>
      <c r="KZ19" s="66"/>
      <c r="LA19" s="66"/>
      <c r="LB19" s="66"/>
      <c r="LC19" s="66"/>
      <c r="LD19" s="66"/>
      <c r="LE19" s="66"/>
      <c r="LF19" s="66"/>
      <c r="LG19" s="66"/>
      <c r="LH19" s="66"/>
      <c r="LI19" s="66"/>
      <c r="LJ19" s="66"/>
      <c r="LK19" s="66"/>
      <c r="LL19" s="66"/>
      <c r="LM19" s="66"/>
      <c r="LN19" s="66"/>
      <c r="LO19" s="66"/>
      <c r="LP19" s="66"/>
      <c r="LQ19" s="66"/>
      <c r="LR19" s="66"/>
      <c r="LS19" s="66"/>
      <c r="LT19" s="66"/>
      <c r="LU19" s="66"/>
      <c r="LV19" s="66"/>
      <c r="LW19" s="66"/>
      <c r="LX19" s="66"/>
      <c r="LY19" s="66"/>
      <c r="LZ19" s="66"/>
      <c r="MA19" s="66"/>
      <c r="MB19" s="66"/>
      <c r="MC19" s="66"/>
      <c r="MD19" s="66"/>
      <c r="ME19" s="66"/>
      <c r="MF19" s="66"/>
      <c r="MG19" s="66"/>
      <c r="MH19" s="66"/>
      <c r="MI19" s="66"/>
      <c r="MJ19" s="66"/>
      <c r="MK19" s="66"/>
      <c r="ML19" s="66"/>
      <c r="MM19" s="66"/>
      <c r="MN19" s="66"/>
      <c r="MO19" s="66"/>
      <c r="MP19" s="66"/>
      <c r="MQ19" s="66"/>
      <c r="MR19" s="66"/>
      <c r="MS19" s="66"/>
      <c r="MT19" s="66"/>
      <c r="MU19" s="66"/>
      <c r="MV19" s="66"/>
      <c r="MW19" s="66"/>
      <c r="MX19" s="66"/>
      <c r="MY19" s="66"/>
      <c r="MZ19" s="66"/>
      <c r="NA19" s="66"/>
      <c r="NB19" s="66"/>
      <c r="NC19" s="66"/>
      <c r="ND19" s="66"/>
      <c r="NE19" s="66"/>
      <c r="NF19" s="66"/>
      <c r="NG19" s="66"/>
      <c r="NH19" s="66"/>
      <c r="NI19" s="66"/>
      <c r="NJ19" s="66"/>
      <c r="NK19" s="66"/>
      <c r="NL19" s="66"/>
      <c r="NM19" s="66"/>
      <c r="NN19" s="66"/>
      <c r="NO19" s="66"/>
      <c r="NP19" s="66"/>
      <c r="NQ19" s="66"/>
      <c r="NR19" s="66"/>
      <c r="NS19" s="66"/>
      <c r="NT19" s="66"/>
      <c r="NU19" s="66"/>
      <c r="NV19" s="66"/>
      <c r="NW19" s="66"/>
      <c r="NX19" s="66"/>
      <c r="NY19" s="66"/>
      <c r="NZ19" s="66"/>
      <c r="OA19" s="66"/>
      <c r="OB19" s="66"/>
      <c r="OC19" s="66"/>
      <c r="OD19" s="66"/>
      <c r="OE19" s="66"/>
      <c r="OF19" s="66"/>
      <c r="OG19" s="66"/>
      <c r="OH19" s="66"/>
      <c r="OI19" s="66"/>
      <c r="OJ19" s="66"/>
      <c r="OK19" s="66"/>
      <c r="OL19" s="66"/>
      <c r="OM19" s="66"/>
      <c r="ON19" s="66"/>
      <c r="OO19" s="66"/>
      <c r="OP19" s="66"/>
      <c r="OQ19" s="66"/>
      <c r="OR19" s="66"/>
      <c r="OS19" s="66"/>
      <c r="OT19" s="66"/>
      <c r="OU19" s="66"/>
      <c r="OV19" s="66"/>
      <c r="OW19" s="66"/>
      <c r="OX19" s="66"/>
      <c r="OY19" s="66"/>
      <c r="OZ19" s="66"/>
      <c r="PA19" s="66"/>
      <c r="PB19" s="66"/>
      <c r="PC19" s="66"/>
      <c r="PD19" s="66"/>
      <c r="PE19" s="66"/>
      <c r="PF19" s="66"/>
      <c r="PG19" s="66"/>
      <c r="PH19" s="66"/>
      <c r="PI19" s="66"/>
      <c r="PJ19" s="66"/>
      <c r="PK19" s="66"/>
      <c r="PL19" s="66"/>
      <c r="PM19" s="66"/>
      <c r="PN19" s="66"/>
      <c r="PO19" s="66"/>
      <c r="PP19" s="66"/>
      <c r="PQ19" s="66"/>
      <c r="PR19" s="66"/>
      <c r="PS19" s="66"/>
      <c r="PT19" s="66"/>
      <c r="PU19" s="66"/>
      <c r="PV19" s="66"/>
      <c r="PW19" s="66"/>
      <c r="PX19" s="66"/>
      <c r="PY19" s="66"/>
      <c r="PZ19" s="66"/>
      <c r="QA19" s="66"/>
      <c r="QB19" s="66"/>
      <c r="QC19" s="66"/>
      <c r="QD19" s="66"/>
      <c r="QE19" s="66"/>
      <c r="QF19" s="66"/>
      <c r="QG19" s="66"/>
      <c r="QH19" s="66"/>
      <c r="QI19" s="66"/>
      <c r="QJ19" s="66"/>
      <c r="QK19" s="66"/>
      <c r="QL19" s="66"/>
      <c r="QM19" s="66"/>
      <c r="QN19" s="66"/>
      <c r="QO19" s="66"/>
      <c r="QP19" s="66"/>
      <c r="QQ19" s="66"/>
      <c r="QR19" s="66"/>
      <c r="QS19" s="66"/>
      <c r="QT19" s="66"/>
      <c r="QU19" s="66"/>
      <c r="QV19" s="66"/>
      <c r="QW19" s="66"/>
      <c r="QX19" s="66"/>
      <c r="QY19" s="66"/>
      <c r="QZ19" s="66"/>
      <c r="RA19" s="66"/>
      <c r="RB19" s="66"/>
      <c r="RC19" s="66"/>
      <c r="RD19" s="66"/>
      <c r="RE19" s="66"/>
      <c r="RF19" s="66"/>
      <c r="RG19" s="66"/>
      <c r="RH19" s="66"/>
      <c r="RI19" s="66"/>
      <c r="RJ19" s="66"/>
      <c r="RK19" s="66"/>
      <c r="RL19" s="66"/>
      <c r="RM19" s="66"/>
      <c r="RN19" s="66"/>
      <c r="RO19" s="66"/>
      <c r="RP19" s="66"/>
      <c r="RQ19" s="66"/>
      <c r="RR19" s="66"/>
      <c r="RS19" s="66"/>
      <c r="RT19" s="66"/>
      <c r="RU19" s="66"/>
      <c r="RV19" s="66"/>
      <c r="RW19" s="66"/>
      <c r="RX19" s="66"/>
      <c r="RY19" s="66"/>
      <c r="RZ19" s="66"/>
      <c r="SA19" s="66"/>
      <c r="SB19" s="66"/>
      <c r="SC19" s="66"/>
      <c r="SD19" s="66"/>
      <c r="SE19" s="66"/>
      <c r="SF19" s="66"/>
      <c r="SG19" s="66"/>
      <c r="SH19" s="66"/>
      <c r="SI19" s="66"/>
      <c r="SJ19" s="66"/>
      <c r="SK19" s="66"/>
      <c r="SL19" s="66"/>
      <c r="SM19" s="66"/>
      <c r="SN19" s="66"/>
      <c r="SO19" s="66"/>
      <c r="SP19" s="66"/>
      <c r="SQ19" s="66"/>
      <c r="SR19" s="66"/>
      <c r="SS19" s="66"/>
      <c r="ST19" s="66"/>
      <c r="SU19" s="66"/>
      <c r="SV19" s="66"/>
      <c r="SW19" s="66"/>
      <c r="SX19" s="66"/>
      <c r="SY19" s="66"/>
      <c r="SZ19" s="66"/>
      <c r="TA19" s="66"/>
      <c r="TB19" s="66"/>
      <c r="TC19" s="66"/>
      <c r="TD19" s="66"/>
      <c r="TE19" s="66"/>
      <c r="TF19" s="66"/>
      <c r="TG19" s="66"/>
      <c r="TH19" s="66"/>
      <c r="TI19" s="66"/>
      <c r="TJ19" s="66"/>
      <c r="TK19" s="66"/>
      <c r="TL19" s="66"/>
      <c r="TM19" s="66"/>
      <c r="TN19" s="66"/>
      <c r="TO19" s="66"/>
      <c r="TP19" s="66"/>
      <c r="TQ19" s="66"/>
      <c r="TR19" s="66"/>
      <c r="TS19" s="66"/>
      <c r="TT19" s="66"/>
      <c r="TU19" s="66"/>
      <c r="TV19" s="66"/>
      <c r="TW19" s="66"/>
      <c r="TX19" s="66"/>
      <c r="TY19" s="66"/>
      <c r="TZ19" s="66"/>
      <c r="UA19" s="66"/>
      <c r="UB19" s="66"/>
      <c r="UC19" s="66"/>
      <c r="UD19" s="66"/>
      <c r="UE19" s="66"/>
      <c r="UF19" s="66"/>
      <c r="UG19" s="66"/>
      <c r="UH19" s="66"/>
      <c r="UI19" s="66"/>
      <c r="UJ19" s="66"/>
      <c r="UK19" s="66"/>
      <c r="UL19" s="66"/>
      <c r="UM19" s="66"/>
      <c r="UN19" s="66"/>
      <c r="UO19" s="66"/>
      <c r="UP19" s="66"/>
      <c r="UQ19" s="66"/>
      <c r="UR19" s="66"/>
      <c r="US19" s="66"/>
      <c r="UT19" s="66"/>
      <c r="UU19" s="66"/>
      <c r="UV19" s="66"/>
      <c r="UW19" s="66"/>
      <c r="UX19" s="66"/>
      <c r="UY19" s="66"/>
      <c r="UZ19" s="66"/>
      <c r="VA19" s="66"/>
      <c r="VB19" s="66"/>
      <c r="VC19" s="66"/>
      <c r="VD19" s="66"/>
      <c r="VE19" s="66"/>
      <c r="VF19" s="66"/>
      <c r="VG19" s="66"/>
      <c r="VH19" s="66"/>
      <c r="VI19" s="66"/>
      <c r="VJ19" s="66"/>
      <c r="VK19" s="66"/>
      <c r="VL19" s="66"/>
      <c r="VM19" s="66"/>
      <c r="VN19" s="66"/>
      <c r="VO19" s="66"/>
      <c r="VP19" s="66"/>
      <c r="VQ19" s="66"/>
      <c r="VR19" s="66"/>
      <c r="VS19" s="66"/>
      <c r="VT19" s="66"/>
      <c r="VU19" s="66"/>
      <c r="VV19" s="66"/>
      <c r="VW19" s="66"/>
      <c r="VX19" s="66"/>
      <c r="VY19" s="66"/>
      <c r="VZ19" s="66"/>
      <c r="WA19" s="66"/>
      <c r="WB19" s="66"/>
      <c r="WC19" s="66"/>
      <c r="WD19" s="66"/>
      <c r="WE19" s="66"/>
      <c r="WF19" s="66"/>
      <c r="WG19" s="66"/>
      <c r="WH19" s="66"/>
      <c r="WI19" s="66"/>
      <c r="WJ19" s="66"/>
      <c r="WK19" s="66"/>
      <c r="WL19" s="66"/>
      <c r="WM19" s="66"/>
      <c r="WN19" s="66"/>
      <c r="WO19" s="66"/>
      <c r="WP19" s="66"/>
      <c r="WQ19" s="66"/>
      <c r="WR19" s="66"/>
      <c r="WS19" s="66"/>
      <c r="WT19" s="66"/>
      <c r="WU19" s="66"/>
      <c r="WV19" s="66"/>
      <c r="WW19" s="66"/>
      <c r="WX19" s="66"/>
      <c r="WY19" s="66"/>
      <c r="WZ19" s="66"/>
      <c r="XA19" s="66"/>
      <c r="XB19" s="66"/>
      <c r="XC19" s="66"/>
      <c r="XD19" s="66"/>
      <c r="XE19" s="66"/>
      <c r="XF19" s="66"/>
      <c r="XG19" s="66"/>
      <c r="XH19" s="66"/>
      <c r="XI19" s="66"/>
      <c r="XJ19" s="66"/>
      <c r="XK19" s="66"/>
      <c r="XL19" s="66"/>
      <c r="XM19" s="66"/>
      <c r="XN19" s="66"/>
      <c r="XO19" s="66"/>
      <c r="XP19" s="66"/>
      <c r="XQ19" s="66"/>
      <c r="XR19" s="66"/>
      <c r="XS19" s="66"/>
      <c r="XT19" s="66"/>
      <c r="XU19" s="66"/>
      <c r="XV19" s="66"/>
      <c r="XW19" s="66"/>
      <c r="XX19" s="66"/>
      <c r="XY19" s="66"/>
      <c r="XZ19" s="66"/>
      <c r="YA19" s="66"/>
      <c r="YB19" s="66"/>
      <c r="YC19" s="66"/>
      <c r="YD19" s="66"/>
      <c r="YE19" s="66"/>
      <c r="YF19" s="66"/>
      <c r="YG19" s="66"/>
      <c r="YH19" s="66"/>
      <c r="YI19" s="66"/>
      <c r="YJ19" s="66"/>
      <c r="YK19" s="66"/>
      <c r="YL19" s="66"/>
      <c r="YM19" s="66"/>
      <c r="YN19" s="66"/>
      <c r="YO19" s="66"/>
      <c r="YP19" s="66"/>
      <c r="YQ19" s="66"/>
      <c r="YR19" s="66"/>
      <c r="YS19" s="66"/>
      <c r="YT19" s="66"/>
      <c r="YU19" s="66"/>
      <c r="YV19" s="66"/>
      <c r="YW19" s="66"/>
      <c r="YX19" s="66"/>
      <c r="YY19" s="66"/>
      <c r="YZ19" s="66"/>
      <c r="ZA19" s="66"/>
      <c r="ZB19" s="66"/>
      <c r="ZC19" s="66"/>
      <c r="ZD19" s="66"/>
      <c r="ZE19" s="66"/>
      <c r="ZF19" s="66"/>
      <c r="ZG19" s="66"/>
      <c r="ZH19" s="66"/>
      <c r="ZI19" s="66"/>
      <c r="ZJ19" s="66"/>
      <c r="ZK19" s="66"/>
      <c r="ZL19" s="66"/>
      <c r="ZM19" s="66"/>
      <c r="ZN19" s="66"/>
      <c r="ZO19" s="66"/>
      <c r="ZP19" s="66"/>
      <c r="ZQ19" s="66"/>
      <c r="ZR19" s="66"/>
      <c r="ZS19" s="66"/>
      <c r="ZT19" s="66"/>
      <c r="ZU19" s="66"/>
      <c r="ZV19" s="66"/>
      <c r="ZW19" s="66"/>
      <c r="ZX19" s="66"/>
    </row>
    <row r="20" spans="1:700" s="20" customFormat="1" ht="15.75" x14ac:dyDescent="0.25">
      <c r="A20" s="70"/>
      <c r="B20" s="71"/>
      <c r="C20" s="71"/>
      <c r="D20" s="109"/>
      <c r="E20" s="111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  <c r="CH20" s="66"/>
      <c r="CI20" s="66"/>
      <c r="CJ20" s="66"/>
      <c r="CK20" s="66"/>
      <c r="CL20" s="66"/>
      <c r="CM20" s="66"/>
      <c r="CN20" s="66"/>
      <c r="CO20" s="66"/>
      <c r="CP20" s="66"/>
      <c r="CQ20" s="66"/>
      <c r="CR20" s="66"/>
      <c r="CS20" s="66"/>
      <c r="CT20" s="66"/>
      <c r="CU20" s="66"/>
      <c r="CV20" s="66"/>
      <c r="CW20" s="66"/>
      <c r="CX20" s="66"/>
      <c r="CY20" s="66"/>
      <c r="CZ20" s="66"/>
      <c r="DA20" s="66"/>
      <c r="DB20" s="66"/>
      <c r="DC20" s="66"/>
      <c r="DD20" s="66"/>
      <c r="DE20" s="66"/>
      <c r="DF20" s="66"/>
      <c r="DG20" s="66"/>
      <c r="DH20" s="66"/>
      <c r="DI20" s="66"/>
      <c r="DJ20" s="66"/>
      <c r="DK20" s="66"/>
      <c r="DL20" s="66"/>
      <c r="DM20" s="66"/>
      <c r="DN20" s="66"/>
      <c r="DO20" s="66"/>
      <c r="DP20" s="66"/>
      <c r="DQ20" s="66"/>
      <c r="DR20" s="66"/>
      <c r="DS20" s="66"/>
      <c r="DT20" s="66"/>
      <c r="DU20" s="66"/>
      <c r="DV20" s="66"/>
      <c r="DW20" s="66"/>
      <c r="DX20" s="66"/>
      <c r="DY20" s="66"/>
      <c r="DZ20" s="66"/>
      <c r="EA20" s="66"/>
      <c r="EB20" s="66"/>
      <c r="EC20" s="66"/>
      <c r="ED20" s="66"/>
      <c r="EE20" s="66"/>
      <c r="EF20" s="66"/>
      <c r="EG20" s="66"/>
      <c r="EH20" s="66"/>
      <c r="EI20" s="66"/>
      <c r="EJ20" s="66"/>
      <c r="EK20" s="66"/>
      <c r="EL20" s="66"/>
      <c r="EM20" s="66"/>
      <c r="EN20" s="66"/>
      <c r="EO20" s="66"/>
      <c r="EP20" s="66"/>
      <c r="EQ20" s="66"/>
      <c r="ER20" s="66"/>
      <c r="ES20" s="66"/>
      <c r="ET20" s="66"/>
      <c r="EU20" s="66"/>
      <c r="EV20" s="66"/>
      <c r="EW20" s="66"/>
      <c r="EX20" s="66"/>
      <c r="EY20" s="66"/>
      <c r="EZ20" s="66"/>
      <c r="FA20" s="66"/>
      <c r="FB20" s="66"/>
      <c r="FC20" s="66"/>
      <c r="FD20" s="66"/>
      <c r="FE20" s="66"/>
      <c r="FF20" s="66"/>
      <c r="FG20" s="66"/>
      <c r="FH20" s="66"/>
      <c r="FI20" s="66"/>
      <c r="FJ20" s="66"/>
      <c r="FK20" s="66"/>
      <c r="FL20" s="66"/>
      <c r="FM20" s="66"/>
      <c r="FN20" s="66"/>
      <c r="FO20" s="66"/>
      <c r="FP20" s="66"/>
      <c r="FQ20" s="66"/>
      <c r="FR20" s="66"/>
      <c r="FS20" s="66"/>
      <c r="FT20" s="66"/>
      <c r="FU20" s="66"/>
      <c r="FV20" s="66"/>
      <c r="FW20" s="66"/>
      <c r="FX20" s="66"/>
      <c r="FY20" s="66"/>
      <c r="FZ20" s="66"/>
      <c r="GA20" s="66"/>
      <c r="GB20" s="66"/>
      <c r="GC20" s="66"/>
      <c r="GD20" s="66"/>
      <c r="GE20" s="66"/>
      <c r="GF20" s="66"/>
      <c r="GG20" s="66"/>
      <c r="GH20" s="66"/>
      <c r="GI20" s="66"/>
      <c r="GJ20" s="66"/>
      <c r="GK20" s="66"/>
      <c r="GL20" s="66"/>
      <c r="GM20" s="66"/>
      <c r="GN20" s="66"/>
      <c r="GO20" s="66"/>
      <c r="GP20" s="66"/>
      <c r="GQ20" s="66"/>
      <c r="GR20" s="66"/>
      <c r="GS20" s="66"/>
      <c r="GT20" s="66"/>
      <c r="GU20" s="66"/>
      <c r="GV20" s="66"/>
      <c r="GW20" s="66"/>
      <c r="GX20" s="66"/>
      <c r="GY20" s="66"/>
      <c r="GZ20" s="66"/>
      <c r="HA20" s="66"/>
      <c r="HB20" s="66"/>
      <c r="HC20" s="66"/>
      <c r="HD20" s="66"/>
      <c r="HE20" s="66"/>
      <c r="HF20" s="66"/>
      <c r="HG20" s="66"/>
      <c r="HH20" s="66"/>
      <c r="HI20" s="66"/>
      <c r="HJ20" s="66"/>
      <c r="HK20" s="66"/>
      <c r="HL20" s="66"/>
      <c r="HM20" s="66"/>
      <c r="HN20" s="66"/>
      <c r="HO20" s="66"/>
      <c r="HP20" s="66"/>
      <c r="HQ20" s="66"/>
      <c r="HR20" s="66"/>
      <c r="HS20" s="66"/>
      <c r="HT20" s="66"/>
      <c r="HU20" s="66"/>
      <c r="HV20" s="66"/>
      <c r="HW20" s="66"/>
      <c r="HX20" s="66"/>
      <c r="HY20" s="66"/>
      <c r="HZ20" s="66"/>
      <c r="IA20" s="66"/>
      <c r="IB20" s="66"/>
      <c r="IC20" s="66"/>
      <c r="ID20" s="66"/>
      <c r="IE20" s="66"/>
      <c r="IF20" s="66"/>
      <c r="IG20" s="66"/>
      <c r="IH20" s="66"/>
      <c r="II20" s="66"/>
      <c r="IJ20" s="66"/>
      <c r="IK20" s="66"/>
      <c r="IL20" s="66"/>
      <c r="IM20" s="66"/>
      <c r="IN20" s="66"/>
      <c r="IO20" s="66"/>
      <c r="IP20" s="66"/>
      <c r="IQ20" s="66"/>
      <c r="IR20" s="66"/>
      <c r="IS20" s="66"/>
      <c r="IT20" s="66"/>
      <c r="IU20" s="66"/>
      <c r="IV20" s="66"/>
      <c r="IW20" s="66"/>
      <c r="IX20" s="66"/>
      <c r="IY20" s="66"/>
      <c r="IZ20" s="66"/>
      <c r="JA20" s="66"/>
      <c r="JB20" s="66"/>
      <c r="JC20" s="66"/>
      <c r="JD20" s="66"/>
      <c r="JE20" s="66"/>
      <c r="JF20" s="66"/>
      <c r="JG20" s="66"/>
      <c r="JH20" s="66"/>
      <c r="JI20" s="66"/>
      <c r="JJ20" s="66"/>
      <c r="JK20" s="66"/>
      <c r="JL20" s="66"/>
      <c r="JM20" s="66"/>
      <c r="JN20" s="66"/>
      <c r="JO20" s="66"/>
      <c r="JP20" s="66"/>
      <c r="JQ20" s="66"/>
      <c r="JR20" s="66"/>
      <c r="JS20" s="66"/>
      <c r="JT20" s="66"/>
      <c r="JU20" s="66"/>
      <c r="JV20" s="66"/>
      <c r="JW20" s="66"/>
      <c r="JX20" s="66"/>
      <c r="JY20" s="66"/>
      <c r="JZ20" s="66"/>
      <c r="KA20" s="66"/>
      <c r="KB20" s="66"/>
      <c r="KC20" s="66"/>
      <c r="KD20" s="66"/>
      <c r="KE20" s="66"/>
      <c r="KF20" s="66"/>
      <c r="KG20" s="66"/>
      <c r="KH20" s="66"/>
      <c r="KI20" s="66"/>
      <c r="KJ20" s="66"/>
      <c r="KK20" s="66"/>
      <c r="KL20" s="66"/>
      <c r="KM20" s="66"/>
      <c r="KN20" s="66"/>
      <c r="KO20" s="66"/>
      <c r="KP20" s="66"/>
      <c r="KQ20" s="66"/>
      <c r="KR20" s="66"/>
      <c r="KS20" s="66"/>
      <c r="KT20" s="66"/>
      <c r="KU20" s="66"/>
      <c r="KV20" s="66"/>
      <c r="KW20" s="66"/>
      <c r="KX20" s="66"/>
      <c r="KY20" s="66"/>
      <c r="KZ20" s="66"/>
      <c r="LA20" s="66"/>
      <c r="LB20" s="66"/>
      <c r="LC20" s="66"/>
      <c r="LD20" s="66"/>
      <c r="LE20" s="66"/>
      <c r="LF20" s="66"/>
      <c r="LG20" s="66"/>
      <c r="LH20" s="66"/>
      <c r="LI20" s="66"/>
      <c r="LJ20" s="66"/>
      <c r="LK20" s="66"/>
      <c r="LL20" s="66"/>
      <c r="LM20" s="66"/>
      <c r="LN20" s="66"/>
      <c r="LO20" s="66"/>
      <c r="LP20" s="66"/>
      <c r="LQ20" s="66"/>
      <c r="LR20" s="66"/>
      <c r="LS20" s="66"/>
      <c r="LT20" s="66"/>
      <c r="LU20" s="66"/>
      <c r="LV20" s="66"/>
      <c r="LW20" s="66"/>
      <c r="LX20" s="66"/>
      <c r="LY20" s="66"/>
      <c r="LZ20" s="66"/>
      <c r="MA20" s="66"/>
      <c r="MB20" s="66"/>
      <c r="MC20" s="66"/>
      <c r="MD20" s="66"/>
      <c r="ME20" s="66"/>
      <c r="MF20" s="66"/>
      <c r="MG20" s="66"/>
      <c r="MH20" s="66"/>
      <c r="MI20" s="66"/>
      <c r="MJ20" s="66"/>
      <c r="MK20" s="66"/>
      <c r="ML20" s="66"/>
      <c r="MM20" s="66"/>
      <c r="MN20" s="66"/>
      <c r="MO20" s="66"/>
      <c r="MP20" s="66"/>
      <c r="MQ20" s="66"/>
      <c r="MR20" s="66"/>
      <c r="MS20" s="66"/>
      <c r="MT20" s="66"/>
      <c r="MU20" s="66"/>
      <c r="MV20" s="66"/>
      <c r="MW20" s="66"/>
      <c r="MX20" s="66"/>
      <c r="MY20" s="66"/>
      <c r="MZ20" s="66"/>
      <c r="NA20" s="66"/>
      <c r="NB20" s="66"/>
      <c r="NC20" s="66"/>
      <c r="ND20" s="66"/>
      <c r="NE20" s="66"/>
      <c r="NF20" s="66"/>
      <c r="NG20" s="66"/>
      <c r="NH20" s="66"/>
      <c r="NI20" s="66"/>
      <c r="NJ20" s="66"/>
      <c r="NK20" s="66"/>
      <c r="NL20" s="66"/>
      <c r="NM20" s="66"/>
      <c r="NN20" s="66"/>
      <c r="NO20" s="66"/>
      <c r="NP20" s="66"/>
      <c r="NQ20" s="66"/>
      <c r="NR20" s="66"/>
      <c r="NS20" s="66"/>
      <c r="NT20" s="66"/>
      <c r="NU20" s="66"/>
      <c r="NV20" s="66"/>
      <c r="NW20" s="66"/>
      <c r="NX20" s="66"/>
      <c r="NY20" s="66"/>
      <c r="NZ20" s="66"/>
      <c r="OA20" s="66"/>
      <c r="OB20" s="66"/>
      <c r="OC20" s="66"/>
      <c r="OD20" s="66"/>
      <c r="OE20" s="66"/>
      <c r="OF20" s="66"/>
      <c r="OG20" s="66"/>
      <c r="OH20" s="66"/>
      <c r="OI20" s="66"/>
      <c r="OJ20" s="66"/>
      <c r="OK20" s="66"/>
      <c r="OL20" s="66"/>
      <c r="OM20" s="66"/>
      <c r="ON20" s="66"/>
      <c r="OO20" s="66"/>
      <c r="OP20" s="66"/>
      <c r="OQ20" s="66"/>
      <c r="OR20" s="66"/>
      <c r="OS20" s="66"/>
      <c r="OT20" s="66"/>
      <c r="OU20" s="66"/>
      <c r="OV20" s="66"/>
      <c r="OW20" s="66"/>
      <c r="OX20" s="66"/>
      <c r="OY20" s="66"/>
      <c r="OZ20" s="66"/>
      <c r="PA20" s="66"/>
      <c r="PB20" s="66"/>
      <c r="PC20" s="66"/>
      <c r="PD20" s="66"/>
      <c r="PE20" s="66"/>
      <c r="PF20" s="66"/>
      <c r="PG20" s="66"/>
      <c r="PH20" s="66"/>
      <c r="PI20" s="66"/>
      <c r="PJ20" s="66"/>
      <c r="PK20" s="66"/>
      <c r="PL20" s="66"/>
      <c r="PM20" s="66"/>
      <c r="PN20" s="66"/>
      <c r="PO20" s="66"/>
      <c r="PP20" s="66"/>
      <c r="PQ20" s="66"/>
      <c r="PR20" s="66"/>
      <c r="PS20" s="66"/>
      <c r="PT20" s="66"/>
      <c r="PU20" s="66"/>
      <c r="PV20" s="66"/>
      <c r="PW20" s="66"/>
      <c r="PX20" s="66"/>
      <c r="PY20" s="66"/>
      <c r="PZ20" s="66"/>
      <c r="QA20" s="66"/>
      <c r="QB20" s="66"/>
      <c r="QC20" s="66"/>
      <c r="QD20" s="66"/>
      <c r="QE20" s="66"/>
      <c r="QF20" s="66"/>
      <c r="QG20" s="66"/>
      <c r="QH20" s="66"/>
      <c r="QI20" s="66"/>
      <c r="QJ20" s="66"/>
      <c r="QK20" s="66"/>
      <c r="QL20" s="66"/>
      <c r="QM20" s="66"/>
      <c r="QN20" s="66"/>
      <c r="QO20" s="66"/>
      <c r="QP20" s="66"/>
      <c r="QQ20" s="66"/>
      <c r="QR20" s="66"/>
      <c r="QS20" s="66"/>
      <c r="QT20" s="66"/>
      <c r="QU20" s="66"/>
      <c r="QV20" s="66"/>
      <c r="QW20" s="66"/>
      <c r="QX20" s="66"/>
      <c r="QY20" s="66"/>
      <c r="QZ20" s="66"/>
      <c r="RA20" s="66"/>
      <c r="RB20" s="66"/>
      <c r="RC20" s="66"/>
      <c r="RD20" s="66"/>
      <c r="RE20" s="66"/>
      <c r="RF20" s="66"/>
      <c r="RG20" s="66"/>
      <c r="RH20" s="66"/>
      <c r="RI20" s="66"/>
      <c r="RJ20" s="66"/>
      <c r="RK20" s="66"/>
      <c r="RL20" s="66"/>
      <c r="RM20" s="66"/>
      <c r="RN20" s="66"/>
      <c r="RO20" s="66"/>
      <c r="RP20" s="66"/>
      <c r="RQ20" s="66"/>
      <c r="RR20" s="66"/>
      <c r="RS20" s="66"/>
      <c r="RT20" s="66"/>
      <c r="RU20" s="66"/>
      <c r="RV20" s="66"/>
      <c r="RW20" s="66"/>
      <c r="RX20" s="66"/>
      <c r="RY20" s="66"/>
      <c r="RZ20" s="66"/>
      <c r="SA20" s="66"/>
      <c r="SB20" s="66"/>
      <c r="SC20" s="66"/>
      <c r="SD20" s="66"/>
      <c r="SE20" s="66"/>
      <c r="SF20" s="66"/>
      <c r="SG20" s="66"/>
      <c r="SH20" s="66"/>
      <c r="SI20" s="66"/>
      <c r="SJ20" s="66"/>
      <c r="SK20" s="66"/>
      <c r="SL20" s="66"/>
      <c r="SM20" s="66"/>
      <c r="SN20" s="66"/>
      <c r="SO20" s="66"/>
      <c r="SP20" s="66"/>
      <c r="SQ20" s="66"/>
      <c r="SR20" s="66"/>
      <c r="SS20" s="66"/>
      <c r="ST20" s="66"/>
      <c r="SU20" s="66"/>
      <c r="SV20" s="66"/>
      <c r="SW20" s="66"/>
      <c r="SX20" s="66"/>
      <c r="SY20" s="66"/>
      <c r="SZ20" s="66"/>
      <c r="TA20" s="66"/>
      <c r="TB20" s="66"/>
      <c r="TC20" s="66"/>
      <c r="TD20" s="66"/>
      <c r="TE20" s="66"/>
      <c r="TF20" s="66"/>
      <c r="TG20" s="66"/>
      <c r="TH20" s="66"/>
      <c r="TI20" s="66"/>
      <c r="TJ20" s="66"/>
      <c r="TK20" s="66"/>
      <c r="TL20" s="66"/>
      <c r="TM20" s="66"/>
      <c r="TN20" s="66"/>
      <c r="TO20" s="66"/>
      <c r="TP20" s="66"/>
      <c r="TQ20" s="66"/>
      <c r="TR20" s="66"/>
      <c r="TS20" s="66"/>
      <c r="TT20" s="66"/>
      <c r="TU20" s="66"/>
      <c r="TV20" s="66"/>
      <c r="TW20" s="66"/>
      <c r="TX20" s="66"/>
      <c r="TY20" s="66"/>
      <c r="TZ20" s="66"/>
      <c r="UA20" s="66"/>
      <c r="UB20" s="66"/>
      <c r="UC20" s="66"/>
      <c r="UD20" s="66"/>
      <c r="UE20" s="66"/>
      <c r="UF20" s="66"/>
      <c r="UG20" s="66"/>
      <c r="UH20" s="66"/>
      <c r="UI20" s="66"/>
      <c r="UJ20" s="66"/>
      <c r="UK20" s="66"/>
      <c r="UL20" s="66"/>
      <c r="UM20" s="66"/>
      <c r="UN20" s="66"/>
      <c r="UO20" s="66"/>
      <c r="UP20" s="66"/>
      <c r="UQ20" s="66"/>
      <c r="UR20" s="66"/>
      <c r="US20" s="66"/>
      <c r="UT20" s="66"/>
      <c r="UU20" s="66"/>
      <c r="UV20" s="66"/>
      <c r="UW20" s="66"/>
      <c r="UX20" s="66"/>
      <c r="UY20" s="66"/>
      <c r="UZ20" s="66"/>
      <c r="VA20" s="66"/>
      <c r="VB20" s="66"/>
      <c r="VC20" s="66"/>
      <c r="VD20" s="66"/>
      <c r="VE20" s="66"/>
      <c r="VF20" s="66"/>
      <c r="VG20" s="66"/>
      <c r="VH20" s="66"/>
      <c r="VI20" s="66"/>
      <c r="VJ20" s="66"/>
      <c r="VK20" s="66"/>
      <c r="VL20" s="66"/>
      <c r="VM20" s="66"/>
      <c r="VN20" s="66"/>
      <c r="VO20" s="66"/>
      <c r="VP20" s="66"/>
      <c r="VQ20" s="66"/>
      <c r="VR20" s="66"/>
      <c r="VS20" s="66"/>
      <c r="VT20" s="66"/>
      <c r="VU20" s="66"/>
      <c r="VV20" s="66"/>
      <c r="VW20" s="66"/>
      <c r="VX20" s="66"/>
      <c r="VY20" s="66"/>
      <c r="VZ20" s="66"/>
      <c r="WA20" s="66"/>
      <c r="WB20" s="66"/>
      <c r="WC20" s="66"/>
      <c r="WD20" s="66"/>
      <c r="WE20" s="66"/>
      <c r="WF20" s="66"/>
      <c r="WG20" s="66"/>
      <c r="WH20" s="66"/>
      <c r="WI20" s="66"/>
      <c r="WJ20" s="66"/>
      <c r="WK20" s="66"/>
      <c r="WL20" s="66"/>
      <c r="WM20" s="66"/>
      <c r="WN20" s="66"/>
      <c r="WO20" s="66"/>
      <c r="WP20" s="66"/>
      <c r="WQ20" s="66"/>
      <c r="WR20" s="66"/>
      <c r="WS20" s="66"/>
      <c r="WT20" s="66"/>
      <c r="WU20" s="66"/>
      <c r="WV20" s="66"/>
      <c r="WW20" s="66"/>
      <c r="WX20" s="66"/>
      <c r="WY20" s="66"/>
      <c r="WZ20" s="66"/>
      <c r="XA20" s="66"/>
      <c r="XB20" s="66"/>
      <c r="XC20" s="66"/>
      <c r="XD20" s="66"/>
      <c r="XE20" s="66"/>
      <c r="XF20" s="66"/>
      <c r="XG20" s="66"/>
      <c r="XH20" s="66"/>
      <c r="XI20" s="66"/>
      <c r="XJ20" s="66"/>
      <c r="XK20" s="66"/>
      <c r="XL20" s="66"/>
      <c r="XM20" s="66"/>
      <c r="XN20" s="66"/>
      <c r="XO20" s="66"/>
      <c r="XP20" s="66"/>
      <c r="XQ20" s="66"/>
      <c r="XR20" s="66"/>
      <c r="XS20" s="66"/>
      <c r="XT20" s="66"/>
      <c r="XU20" s="66"/>
      <c r="XV20" s="66"/>
      <c r="XW20" s="66"/>
      <c r="XX20" s="66"/>
      <c r="XY20" s="66"/>
      <c r="XZ20" s="66"/>
      <c r="YA20" s="66"/>
      <c r="YB20" s="66"/>
      <c r="YC20" s="66"/>
      <c r="YD20" s="66"/>
      <c r="YE20" s="66"/>
      <c r="YF20" s="66"/>
      <c r="YG20" s="66"/>
      <c r="YH20" s="66"/>
      <c r="YI20" s="66"/>
      <c r="YJ20" s="66"/>
      <c r="YK20" s="66"/>
      <c r="YL20" s="66"/>
      <c r="YM20" s="66"/>
      <c r="YN20" s="66"/>
      <c r="YO20" s="66"/>
      <c r="YP20" s="66"/>
      <c r="YQ20" s="66"/>
      <c r="YR20" s="66"/>
      <c r="YS20" s="66"/>
      <c r="YT20" s="66"/>
      <c r="YU20" s="66"/>
      <c r="YV20" s="66"/>
      <c r="YW20" s="66"/>
      <c r="YX20" s="66"/>
      <c r="YY20" s="66"/>
      <c r="YZ20" s="66"/>
      <c r="ZA20" s="66"/>
      <c r="ZB20" s="66"/>
      <c r="ZC20" s="66"/>
      <c r="ZD20" s="66"/>
      <c r="ZE20" s="66"/>
      <c r="ZF20" s="66"/>
      <c r="ZG20" s="66"/>
      <c r="ZH20" s="66"/>
      <c r="ZI20" s="66"/>
      <c r="ZJ20" s="66"/>
      <c r="ZK20" s="66"/>
      <c r="ZL20" s="66"/>
      <c r="ZM20" s="66"/>
      <c r="ZN20" s="66"/>
      <c r="ZO20" s="66"/>
      <c r="ZP20" s="66"/>
      <c r="ZQ20" s="66"/>
      <c r="ZR20" s="66"/>
      <c r="ZS20" s="66"/>
      <c r="ZT20" s="66"/>
      <c r="ZU20" s="66"/>
      <c r="ZV20" s="66"/>
      <c r="ZW20" s="66"/>
      <c r="ZX20" s="66"/>
    </row>
    <row r="21" spans="1:700" s="20" customFormat="1" ht="15.75" x14ac:dyDescent="0.25">
      <c r="A21" s="72"/>
      <c r="B21" s="73"/>
      <c r="C21" s="73"/>
      <c r="D21" s="108"/>
      <c r="E21" s="129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  <c r="CH21" s="66"/>
      <c r="CI21" s="66"/>
      <c r="CJ21" s="66"/>
      <c r="CK21" s="66"/>
      <c r="CL21" s="66"/>
      <c r="CM21" s="66"/>
      <c r="CN21" s="66"/>
      <c r="CO21" s="66"/>
      <c r="CP21" s="66"/>
      <c r="CQ21" s="66"/>
      <c r="CR21" s="66"/>
      <c r="CS21" s="66"/>
      <c r="CT21" s="66"/>
      <c r="CU21" s="66"/>
      <c r="CV21" s="66"/>
      <c r="CW21" s="66"/>
      <c r="CX21" s="66"/>
      <c r="CY21" s="66"/>
      <c r="CZ21" s="66"/>
      <c r="DA21" s="66"/>
      <c r="DB21" s="66"/>
      <c r="DC21" s="66"/>
      <c r="DD21" s="66"/>
      <c r="DE21" s="66"/>
      <c r="DF21" s="66"/>
      <c r="DG21" s="66"/>
      <c r="DH21" s="66"/>
      <c r="DI21" s="66"/>
      <c r="DJ21" s="66"/>
      <c r="DK21" s="66"/>
      <c r="DL21" s="66"/>
      <c r="DM21" s="66"/>
      <c r="DN21" s="66"/>
      <c r="DO21" s="66"/>
      <c r="DP21" s="66"/>
      <c r="DQ21" s="66"/>
      <c r="DR21" s="66"/>
      <c r="DS21" s="66"/>
      <c r="DT21" s="66"/>
      <c r="DU21" s="66"/>
      <c r="DV21" s="66"/>
      <c r="DW21" s="66"/>
      <c r="DX21" s="66"/>
      <c r="DY21" s="66"/>
      <c r="DZ21" s="66"/>
      <c r="EA21" s="66"/>
      <c r="EB21" s="66"/>
      <c r="EC21" s="66"/>
      <c r="ED21" s="66"/>
      <c r="EE21" s="66"/>
      <c r="EF21" s="66"/>
      <c r="EG21" s="66"/>
      <c r="EH21" s="66"/>
      <c r="EI21" s="66"/>
      <c r="EJ21" s="66"/>
      <c r="EK21" s="66"/>
      <c r="EL21" s="66"/>
      <c r="EM21" s="66"/>
      <c r="EN21" s="66"/>
      <c r="EO21" s="66"/>
      <c r="EP21" s="66"/>
      <c r="EQ21" s="66"/>
      <c r="ER21" s="66"/>
      <c r="ES21" s="66"/>
      <c r="ET21" s="66"/>
      <c r="EU21" s="66"/>
      <c r="EV21" s="66"/>
      <c r="EW21" s="66"/>
      <c r="EX21" s="66"/>
      <c r="EY21" s="66"/>
      <c r="EZ21" s="66"/>
      <c r="FA21" s="66"/>
      <c r="FB21" s="66"/>
      <c r="FC21" s="66"/>
      <c r="FD21" s="66"/>
      <c r="FE21" s="66"/>
      <c r="FF21" s="66"/>
      <c r="FG21" s="66"/>
      <c r="FH21" s="66"/>
      <c r="FI21" s="66"/>
      <c r="FJ21" s="66"/>
      <c r="FK21" s="66"/>
      <c r="FL21" s="66"/>
      <c r="FM21" s="66"/>
      <c r="FN21" s="66"/>
      <c r="FO21" s="66"/>
      <c r="FP21" s="66"/>
      <c r="FQ21" s="66"/>
      <c r="FR21" s="66"/>
      <c r="FS21" s="66"/>
      <c r="FT21" s="66"/>
      <c r="FU21" s="66"/>
      <c r="FV21" s="66"/>
      <c r="FW21" s="66"/>
      <c r="FX21" s="66"/>
      <c r="FY21" s="66"/>
      <c r="FZ21" s="66"/>
      <c r="GA21" s="66"/>
      <c r="GB21" s="66"/>
      <c r="GC21" s="66"/>
      <c r="GD21" s="66"/>
      <c r="GE21" s="66"/>
      <c r="GF21" s="66"/>
      <c r="GG21" s="66"/>
      <c r="GH21" s="66"/>
      <c r="GI21" s="66"/>
      <c r="GJ21" s="66"/>
      <c r="GK21" s="66"/>
      <c r="GL21" s="66"/>
      <c r="GM21" s="66"/>
      <c r="GN21" s="66"/>
      <c r="GO21" s="66"/>
      <c r="GP21" s="66"/>
      <c r="GQ21" s="66"/>
      <c r="GR21" s="66"/>
      <c r="GS21" s="66"/>
      <c r="GT21" s="66"/>
      <c r="GU21" s="66"/>
      <c r="GV21" s="66"/>
      <c r="GW21" s="66"/>
      <c r="GX21" s="66"/>
      <c r="GY21" s="66"/>
      <c r="GZ21" s="66"/>
      <c r="HA21" s="66"/>
      <c r="HB21" s="66"/>
      <c r="HC21" s="66"/>
      <c r="HD21" s="66"/>
      <c r="HE21" s="66"/>
      <c r="HF21" s="66"/>
      <c r="HG21" s="66"/>
      <c r="HH21" s="66"/>
      <c r="HI21" s="66"/>
      <c r="HJ21" s="66"/>
      <c r="HK21" s="66"/>
      <c r="HL21" s="66"/>
      <c r="HM21" s="66"/>
      <c r="HN21" s="66"/>
      <c r="HO21" s="66"/>
      <c r="HP21" s="66"/>
      <c r="HQ21" s="66"/>
      <c r="HR21" s="66"/>
      <c r="HS21" s="66"/>
      <c r="HT21" s="66"/>
      <c r="HU21" s="66"/>
      <c r="HV21" s="66"/>
      <c r="HW21" s="66"/>
      <c r="HX21" s="66"/>
      <c r="HY21" s="66"/>
      <c r="HZ21" s="66"/>
      <c r="IA21" s="66"/>
      <c r="IB21" s="66"/>
      <c r="IC21" s="66"/>
      <c r="ID21" s="66"/>
      <c r="IE21" s="66"/>
      <c r="IF21" s="66"/>
      <c r="IG21" s="66"/>
      <c r="IH21" s="66"/>
      <c r="II21" s="66"/>
      <c r="IJ21" s="66"/>
      <c r="IK21" s="66"/>
      <c r="IL21" s="66"/>
      <c r="IM21" s="66"/>
      <c r="IN21" s="66"/>
      <c r="IO21" s="66"/>
      <c r="IP21" s="66"/>
      <c r="IQ21" s="66"/>
      <c r="IR21" s="66"/>
      <c r="IS21" s="66"/>
      <c r="IT21" s="66"/>
      <c r="IU21" s="66"/>
      <c r="IV21" s="66"/>
      <c r="IW21" s="66"/>
      <c r="IX21" s="66"/>
      <c r="IY21" s="66"/>
      <c r="IZ21" s="66"/>
      <c r="JA21" s="66"/>
      <c r="JB21" s="66"/>
      <c r="JC21" s="66"/>
      <c r="JD21" s="66"/>
      <c r="JE21" s="66"/>
      <c r="JF21" s="66"/>
      <c r="JG21" s="66"/>
      <c r="JH21" s="66"/>
      <c r="JI21" s="66"/>
      <c r="JJ21" s="66"/>
      <c r="JK21" s="66"/>
      <c r="JL21" s="66"/>
      <c r="JM21" s="66"/>
      <c r="JN21" s="66"/>
      <c r="JO21" s="66"/>
      <c r="JP21" s="66"/>
      <c r="JQ21" s="66"/>
      <c r="JR21" s="66"/>
      <c r="JS21" s="66"/>
      <c r="JT21" s="66"/>
      <c r="JU21" s="66"/>
      <c r="JV21" s="66"/>
      <c r="JW21" s="66"/>
      <c r="JX21" s="66"/>
      <c r="JY21" s="66"/>
      <c r="JZ21" s="66"/>
      <c r="KA21" s="66"/>
      <c r="KB21" s="66"/>
      <c r="KC21" s="66"/>
      <c r="KD21" s="66"/>
      <c r="KE21" s="66"/>
      <c r="KF21" s="66"/>
      <c r="KG21" s="66"/>
      <c r="KH21" s="66"/>
      <c r="KI21" s="66"/>
      <c r="KJ21" s="66"/>
      <c r="KK21" s="66"/>
      <c r="KL21" s="66"/>
      <c r="KM21" s="66"/>
      <c r="KN21" s="66"/>
      <c r="KO21" s="66"/>
      <c r="KP21" s="66"/>
      <c r="KQ21" s="66"/>
      <c r="KR21" s="66"/>
      <c r="KS21" s="66"/>
      <c r="KT21" s="66"/>
      <c r="KU21" s="66"/>
      <c r="KV21" s="66"/>
      <c r="KW21" s="66"/>
      <c r="KX21" s="66"/>
      <c r="KY21" s="66"/>
      <c r="KZ21" s="66"/>
      <c r="LA21" s="66"/>
      <c r="LB21" s="66"/>
      <c r="LC21" s="66"/>
      <c r="LD21" s="66"/>
      <c r="LE21" s="66"/>
      <c r="LF21" s="66"/>
      <c r="LG21" s="66"/>
      <c r="LH21" s="66"/>
      <c r="LI21" s="66"/>
      <c r="LJ21" s="66"/>
      <c r="LK21" s="66"/>
      <c r="LL21" s="66"/>
      <c r="LM21" s="66"/>
      <c r="LN21" s="66"/>
      <c r="LO21" s="66"/>
      <c r="LP21" s="66"/>
      <c r="LQ21" s="66"/>
      <c r="LR21" s="66"/>
      <c r="LS21" s="66"/>
      <c r="LT21" s="66"/>
      <c r="LU21" s="66"/>
      <c r="LV21" s="66"/>
      <c r="LW21" s="66"/>
      <c r="LX21" s="66"/>
      <c r="LY21" s="66"/>
      <c r="LZ21" s="66"/>
      <c r="MA21" s="66"/>
      <c r="MB21" s="66"/>
      <c r="MC21" s="66"/>
      <c r="MD21" s="66"/>
      <c r="ME21" s="66"/>
      <c r="MF21" s="66"/>
      <c r="MG21" s="66"/>
      <c r="MH21" s="66"/>
      <c r="MI21" s="66"/>
      <c r="MJ21" s="66"/>
      <c r="MK21" s="66"/>
      <c r="ML21" s="66"/>
      <c r="MM21" s="66"/>
      <c r="MN21" s="66"/>
      <c r="MO21" s="66"/>
      <c r="MP21" s="66"/>
      <c r="MQ21" s="66"/>
      <c r="MR21" s="66"/>
      <c r="MS21" s="66"/>
      <c r="MT21" s="66"/>
      <c r="MU21" s="66"/>
      <c r="MV21" s="66"/>
      <c r="MW21" s="66"/>
      <c r="MX21" s="66"/>
      <c r="MY21" s="66"/>
      <c r="MZ21" s="66"/>
      <c r="NA21" s="66"/>
      <c r="NB21" s="66"/>
      <c r="NC21" s="66"/>
      <c r="ND21" s="66"/>
      <c r="NE21" s="66"/>
      <c r="NF21" s="66"/>
      <c r="NG21" s="66"/>
      <c r="NH21" s="66"/>
      <c r="NI21" s="66"/>
      <c r="NJ21" s="66"/>
      <c r="NK21" s="66"/>
      <c r="NL21" s="66"/>
      <c r="NM21" s="66"/>
      <c r="NN21" s="66"/>
      <c r="NO21" s="66"/>
      <c r="NP21" s="66"/>
      <c r="NQ21" s="66"/>
      <c r="NR21" s="66"/>
      <c r="NS21" s="66"/>
      <c r="NT21" s="66"/>
      <c r="NU21" s="66"/>
      <c r="NV21" s="66"/>
      <c r="NW21" s="66"/>
      <c r="NX21" s="66"/>
      <c r="NY21" s="66"/>
      <c r="NZ21" s="66"/>
      <c r="OA21" s="66"/>
      <c r="OB21" s="66"/>
      <c r="OC21" s="66"/>
      <c r="OD21" s="66"/>
      <c r="OE21" s="66"/>
      <c r="OF21" s="66"/>
      <c r="OG21" s="66"/>
      <c r="OH21" s="66"/>
      <c r="OI21" s="66"/>
      <c r="OJ21" s="66"/>
      <c r="OK21" s="66"/>
      <c r="OL21" s="66"/>
      <c r="OM21" s="66"/>
      <c r="ON21" s="66"/>
      <c r="OO21" s="66"/>
      <c r="OP21" s="66"/>
      <c r="OQ21" s="66"/>
      <c r="OR21" s="66"/>
      <c r="OS21" s="66"/>
      <c r="OT21" s="66"/>
      <c r="OU21" s="66"/>
      <c r="OV21" s="66"/>
      <c r="OW21" s="66"/>
      <c r="OX21" s="66"/>
      <c r="OY21" s="66"/>
      <c r="OZ21" s="66"/>
      <c r="PA21" s="66"/>
      <c r="PB21" s="66"/>
      <c r="PC21" s="66"/>
      <c r="PD21" s="66"/>
      <c r="PE21" s="66"/>
      <c r="PF21" s="66"/>
      <c r="PG21" s="66"/>
      <c r="PH21" s="66"/>
      <c r="PI21" s="66"/>
      <c r="PJ21" s="66"/>
      <c r="PK21" s="66"/>
      <c r="PL21" s="66"/>
      <c r="PM21" s="66"/>
      <c r="PN21" s="66"/>
      <c r="PO21" s="66"/>
      <c r="PP21" s="66"/>
      <c r="PQ21" s="66"/>
      <c r="PR21" s="66"/>
      <c r="PS21" s="66"/>
      <c r="PT21" s="66"/>
      <c r="PU21" s="66"/>
      <c r="PV21" s="66"/>
      <c r="PW21" s="66"/>
      <c r="PX21" s="66"/>
      <c r="PY21" s="66"/>
      <c r="PZ21" s="66"/>
      <c r="QA21" s="66"/>
      <c r="QB21" s="66"/>
      <c r="QC21" s="66"/>
      <c r="QD21" s="66"/>
      <c r="QE21" s="66"/>
      <c r="QF21" s="66"/>
      <c r="QG21" s="66"/>
      <c r="QH21" s="66"/>
      <c r="QI21" s="66"/>
      <c r="QJ21" s="66"/>
      <c r="QK21" s="66"/>
      <c r="QL21" s="66"/>
      <c r="QM21" s="66"/>
      <c r="QN21" s="66"/>
      <c r="QO21" s="66"/>
      <c r="QP21" s="66"/>
      <c r="QQ21" s="66"/>
      <c r="QR21" s="66"/>
      <c r="QS21" s="66"/>
      <c r="QT21" s="66"/>
      <c r="QU21" s="66"/>
      <c r="QV21" s="66"/>
      <c r="QW21" s="66"/>
      <c r="QX21" s="66"/>
      <c r="QY21" s="66"/>
      <c r="QZ21" s="66"/>
      <c r="RA21" s="66"/>
      <c r="RB21" s="66"/>
      <c r="RC21" s="66"/>
      <c r="RD21" s="66"/>
      <c r="RE21" s="66"/>
      <c r="RF21" s="66"/>
      <c r="RG21" s="66"/>
      <c r="RH21" s="66"/>
      <c r="RI21" s="66"/>
      <c r="RJ21" s="66"/>
      <c r="RK21" s="66"/>
      <c r="RL21" s="66"/>
      <c r="RM21" s="66"/>
      <c r="RN21" s="66"/>
      <c r="RO21" s="66"/>
      <c r="RP21" s="66"/>
      <c r="RQ21" s="66"/>
      <c r="RR21" s="66"/>
      <c r="RS21" s="66"/>
      <c r="RT21" s="66"/>
      <c r="RU21" s="66"/>
      <c r="RV21" s="66"/>
      <c r="RW21" s="66"/>
      <c r="RX21" s="66"/>
      <c r="RY21" s="66"/>
      <c r="RZ21" s="66"/>
      <c r="SA21" s="66"/>
      <c r="SB21" s="66"/>
      <c r="SC21" s="66"/>
      <c r="SD21" s="66"/>
      <c r="SE21" s="66"/>
      <c r="SF21" s="66"/>
      <c r="SG21" s="66"/>
      <c r="SH21" s="66"/>
      <c r="SI21" s="66"/>
      <c r="SJ21" s="66"/>
      <c r="SK21" s="66"/>
      <c r="SL21" s="66"/>
      <c r="SM21" s="66"/>
      <c r="SN21" s="66"/>
      <c r="SO21" s="66"/>
      <c r="SP21" s="66"/>
      <c r="SQ21" s="66"/>
      <c r="SR21" s="66"/>
      <c r="SS21" s="66"/>
      <c r="ST21" s="66"/>
      <c r="SU21" s="66"/>
      <c r="SV21" s="66"/>
      <c r="SW21" s="66"/>
      <c r="SX21" s="66"/>
      <c r="SY21" s="66"/>
      <c r="SZ21" s="66"/>
      <c r="TA21" s="66"/>
      <c r="TB21" s="66"/>
      <c r="TC21" s="66"/>
      <c r="TD21" s="66"/>
      <c r="TE21" s="66"/>
      <c r="TF21" s="66"/>
      <c r="TG21" s="66"/>
      <c r="TH21" s="66"/>
      <c r="TI21" s="66"/>
      <c r="TJ21" s="66"/>
      <c r="TK21" s="66"/>
      <c r="TL21" s="66"/>
      <c r="TM21" s="66"/>
      <c r="TN21" s="66"/>
      <c r="TO21" s="66"/>
      <c r="TP21" s="66"/>
      <c r="TQ21" s="66"/>
      <c r="TR21" s="66"/>
      <c r="TS21" s="66"/>
      <c r="TT21" s="66"/>
      <c r="TU21" s="66"/>
      <c r="TV21" s="66"/>
      <c r="TW21" s="66"/>
      <c r="TX21" s="66"/>
      <c r="TY21" s="66"/>
      <c r="TZ21" s="66"/>
      <c r="UA21" s="66"/>
      <c r="UB21" s="66"/>
      <c r="UC21" s="66"/>
      <c r="UD21" s="66"/>
      <c r="UE21" s="66"/>
      <c r="UF21" s="66"/>
      <c r="UG21" s="66"/>
      <c r="UH21" s="66"/>
      <c r="UI21" s="66"/>
      <c r="UJ21" s="66"/>
      <c r="UK21" s="66"/>
      <c r="UL21" s="66"/>
      <c r="UM21" s="66"/>
      <c r="UN21" s="66"/>
      <c r="UO21" s="66"/>
      <c r="UP21" s="66"/>
      <c r="UQ21" s="66"/>
      <c r="UR21" s="66"/>
      <c r="US21" s="66"/>
      <c r="UT21" s="66"/>
      <c r="UU21" s="66"/>
      <c r="UV21" s="66"/>
      <c r="UW21" s="66"/>
      <c r="UX21" s="66"/>
      <c r="UY21" s="66"/>
      <c r="UZ21" s="66"/>
      <c r="VA21" s="66"/>
      <c r="VB21" s="66"/>
      <c r="VC21" s="66"/>
      <c r="VD21" s="66"/>
      <c r="VE21" s="66"/>
      <c r="VF21" s="66"/>
      <c r="VG21" s="66"/>
      <c r="VH21" s="66"/>
      <c r="VI21" s="66"/>
      <c r="VJ21" s="66"/>
      <c r="VK21" s="66"/>
      <c r="VL21" s="66"/>
      <c r="VM21" s="66"/>
      <c r="VN21" s="66"/>
      <c r="VO21" s="66"/>
      <c r="VP21" s="66"/>
      <c r="VQ21" s="66"/>
      <c r="VR21" s="66"/>
      <c r="VS21" s="66"/>
      <c r="VT21" s="66"/>
      <c r="VU21" s="66"/>
      <c r="VV21" s="66"/>
      <c r="VW21" s="66"/>
      <c r="VX21" s="66"/>
      <c r="VY21" s="66"/>
      <c r="VZ21" s="66"/>
      <c r="WA21" s="66"/>
      <c r="WB21" s="66"/>
      <c r="WC21" s="66"/>
      <c r="WD21" s="66"/>
      <c r="WE21" s="66"/>
      <c r="WF21" s="66"/>
      <c r="WG21" s="66"/>
      <c r="WH21" s="66"/>
      <c r="WI21" s="66"/>
      <c r="WJ21" s="66"/>
      <c r="WK21" s="66"/>
      <c r="WL21" s="66"/>
      <c r="WM21" s="66"/>
      <c r="WN21" s="66"/>
      <c r="WO21" s="66"/>
      <c r="WP21" s="66"/>
      <c r="WQ21" s="66"/>
      <c r="WR21" s="66"/>
      <c r="WS21" s="66"/>
      <c r="WT21" s="66"/>
      <c r="WU21" s="66"/>
      <c r="WV21" s="66"/>
      <c r="WW21" s="66"/>
      <c r="WX21" s="66"/>
      <c r="WY21" s="66"/>
      <c r="WZ21" s="66"/>
      <c r="XA21" s="66"/>
      <c r="XB21" s="66"/>
      <c r="XC21" s="66"/>
      <c r="XD21" s="66"/>
      <c r="XE21" s="66"/>
      <c r="XF21" s="66"/>
      <c r="XG21" s="66"/>
      <c r="XH21" s="66"/>
      <c r="XI21" s="66"/>
      <c r="XJ21" s="66"/>
      <c r="XK21" s="66"/>
      <c r="XL21" s="66"/>
      <c r="XM21" s="66"/>
      <c r="XN21" s="66"/>
      <c r="XO21" s="66"/>
      <c r="XP21" s="66"/>
      <c r="XQ21" s="66"/>
      <c r="XR21" s="66"/>
      <c r="XS21" s="66"/>
      <c r="XT21" s="66"/>
      <c r="XU21" s="66"/>
      <c r="XV21" s="66"/>
      <c r="XW21" s="66"/>
      <c r="XX21" s="66"/>
      <c r="XY21" s="66"/>
      <c r="XZ21" s="66"/>
      <c r="YA21" s="66"/>
      <c r="YB21" s="66"/>
      <c r="YC21" s="66"/>
      <c r="YD21" s="66"/>
      <c r="YE21" s="66"/>
      <c r="YF21" s="66"/>
      <c r="YG21" s="66"/>
      <c r="YH21" s="66"/>
      <c r="YI21" s="66"/>
      <c r="YJ21" s="66"/>
      <c r="YK21" s="66"/>
      <c r="YL21" s="66"/>
      <c r="YM21" s="66"/>
      <c r="YN21" s="66"/>
      <c r="YO21" s="66"/>
      <c r="YP21" s="66"/>
      <c r="YQ21" s="66"/>
      <c r="YR21" s="66"/>
      <c r="YS21" s="66"/>
      <c r="YT21" s="66"/>
      <c r="YU21" s="66"/>
      <c r="YV21" s="66"/>
      <c r="YW21" s="66"/>
      <c r="YX21" s="66"/>
      <c r="YY21" s="66"/>
      <c r="YZ21" s="66"/>
      <c r="ZA21" s="66"/>
      <c r="ZB21" s="66"/>
      <c r="ZC21" s="66"/>
      <c r="ZD21" s="66"/>
      <c r="ZE21" s="66"/>
      <c r="ZF21" s="66"/>
      <c r="ZG21" s="66"/>
      <c r="ZH21" s="66"/>
      <c r="ZI21" s="66"/>
      <c r="ZJ21" s="66"/>
      <c r="ZK21" s="66"/>
      <c r="ZL21" s="66"/>
      <c r="ZM21" s="66"/>
      <c r="ZN21" s="66"/>
      <c r="ZO21" s="66"/>
      <c r="ZP21" s="66"/>
      <c r="ZQ21" s="66"/>
      <c r="ZR21" s="66"/>
      <c r="ZS21" s="66"/>
      <c r="ZT21" s="66"/>
      <c r="ZU21" s="66"/>
      <c r="ZV21" s="66"/>
      <c r="ZW21" s="66"/>
      <c r="ZX21" s="66"/>
    </row>
    <row r="22" spans="1:700" s="20" customFormat="1" ht="15.75" x14ac:dyDescent="0.25">
      <c r="A22" s="70"/>
      <c r="B22" s="71"/>
      <c r="C22" s="71"/>
      <c r="D22" s="109"/>
      <c r="E22" s="111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  <c r="CH22" s="66"/>
      <c r="CI22" s="66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6"/>
      <c r="CU22" s="66"/>
      <c r="CV22" s="66"/>
      <c r="CW22" s="66"/>
      <c r="CX22" s="66"/>
      <c r="CY22" s="66"/>
      <c r="CZ22" s="66"/>
      <c r="DA22" s="66"/>
      <c r="DB22" s="66"/>
      <c r="DC22" s="66"/>
      <c r="DD22" s="66"/>
      <c r="DE22" s="66"/>
      <c r="DF22" s="66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6"/>
      <c r="DR22" s="66"/>
      <c r="DS22" s="66"/>
      <c r="DT22" s="66"/>
      <c r="DU22" s="66"/>
      <c r="DV22" s="66"/>
      <c r="DW22" s="66"/>
      <c r="DX22" s="66"/>
      <c r="DY22" s="66"/>
      <c r="DZ22" s="66"/>
      <c r="EA22" s="66"/>
      <c r="EB22" s="66"/>
      <c r="EC22" s="66"/>
      <c r="ED22" s="66"/>
      <c r="EE22" s="66"/>
      <c r="EF22" s="66"/>
      <c r="EG22" s="66"/>
      <c r="EH22" s="66"/>
      <c r="EI22" s="66"/>
      <c r="EJ22" s="66"/>
      <c r="EK22" s="66"/>
      <c r="EL22" s="66"/>
      <c r="EM22" s="66"/>
      <c r="EN22" s="66"/>
      <c r="EO22" s="66"/>
      <c r="EP22" s="66"/>
      <c r="EQ22" s="66"/>
      <c r="ER22" s="66"/>
      <c r="ES22" s="66"/>
      <c r="ET22" s="66"/>
      <c r="EU22" s="66"/>
      <c r="EV22" s="66"/>
      <c r="EW22" s="66"/>
      <c r="EX22" s="66"/>
      <c r="EY22" s="66"/>
      <c r="EZ22" s="66"/>
      <c r="FA22" s="66"/>
      <c r="FB22" s="66"/>
      <c r="FC22" s="66"/>
      <c r="FD22" s="66"/>
      <c r="FE22" s="66"/>
      <c r="FF22" s="66"/>
      <c r="FG22" s="66"/>
      <c r="FH22" s="66"/>
      <c r="FI22" s="66"/>
      <c r="FJ22" s="66"/>
      <c r="FK22" s="66"/>
      <c r="FL22" s="66"/>
      <c r="FM22" s="66"/>
      <c r="FN22" s="66"/>
      <c r="FO22" s="66"/>
      <c r="FP22" s="66"/>
      <c r="FQ22" s="66"/>
      <c r="FR22" s="66"/>
      <c r="FS22" s="66"/>
      <c r="FT22" s="66"/>
      <c r="FU22" s="66"/>
      <c r="FV22" s="66"/>
      <c r="FW22" s="66"/>
      <c r="FX22" s="66"/>
      <c r="FY22" s="66"/>
      <c r="FZ22" s="66"/>
      <c r="GA22" s="66"/>
      <c r="GB22" s="66"/>
      <c r="GC22" s="66"/>
      <c r="GD22" s="66"/>
      <c r="GE22" s="66"/>
      <c r="GF22" s="66"/>
      <c r="GG22" s="66"/>
      <c r="GH22" s="66"/>
      <c r="GI22" s="66"/>
      <c r="GJ22" s="66"/>
      <c r="GK22" s="66"/>
      <c r="GL22" s="66"/>
      <c r="GM22" s="66"/>
      <c r="GN22" s="66"/>
      <c r="GO22" s="66"/>
      <c r="GP22" s="66"/>
      <c r="GQ22" s="66"/>
      <c r="GR22" s="66"/>
      <c r="GS22" s="66"/>
      <c r="GT22" s="66"/>
      <c r="GU22" s="66"/>
      <c r="GV22" s="66"/>
      <c r="GW22" s="66"/>
      <c r="GX22" s="66"/>
      <c r="GY22" s="66"/>
      <c r="GZ22" s="66"/>
      <c r="HA22" s="66"/>
      <c r="HB22" s="66"/>
      <c r="HC22" s="66"/>
      <c r="HD22" s="66"/>
      <c r="HE22" s="66"/>
      <c r="HF22" s="66"/>
      <c r="HG22" s="66"/>
      <c r="HH22" s="66"/>
      <c r="HI22" s="66"/>
      <c r="HJ22" s="66"/>
      <c r="HK22" s="66"/>
      <c r="HL22" s="66"/>
      <c r="HM22" s="66"/>
      <c r="HN22" s="66"/>
      <c r="HO22" s="66"/>
      <c r="HP22" s="66"/>
      <c r="HQ22" s="66"/>
      <c r="HR22" s="66"/>
      <c r="HS22" s="66"/>
      <c r="HT22" s="66"/>
      <c r="HU22" s="66"/>
      <c r="HV22" s="66"/>
      <c r="HW22" s="66"/>
      <c r="HX22" s="66"/>
      <c r="HY22" s="66"/>
      <c r="HZ22" s="66"/>
      <c r="IA22" s="66"/>
      <c r="IB22" s="66"/>
      <c r="IC22" s="66"/>
      <c r="ID22" s="66"/>
      <c r="IE22" s="66"/>
      <c r="IF22" s="66"/>
      <c r="IG22" s="66"/>
      <c r="IH22" s="66"/>
      <c r="II22" s="66"/>
      <c r="IJ22" s="66"/>
      <c r="IK22" s="66"/>
      <c r="IL22" s="66"/>
      <c r="IM22" s="66"/>
      <c r="IN22" s="66"/>
      <c r="IO22" s="66"/>
      <c r="IP22" s="66"/>
      <c r="IQ22" s="66"/>
      <c r="IR22" s="66"/>
      <c r="IS22" s="66"/>
      <c r="IT22" s="66"/>
      <c r="IU22" s="66"/>
      <c r="IV22" s="66"/>
      <c r="IW22" s="66"/>
      <c r="IX22" s="66"/>
      <c r="IY22" s="66"/>
      <c r="IZ22" s="66"/>
      <c r="JA22" s="66"/>
      <c r="JB22" s="66"/>
      <c r="JC22" s="66"/>
      <c r="JD22" s="66"/>
      <c r="JE22" s="66"/>
      <c r="JF22" s="66"/>
      <c r="JG22" s="66"/>
      <c r="JH22" s="66"/>
      <c r="JI22" s="66"/>
      <c r="JJ22" s="66"/>
      <c r="JK22" s="66"/>
      <c r="JL22" s="66"/>
      <c r="JM22" s="66"/>
      <c r="JN22" s="66"/>
      <c r="JO22" s="66"/>
      <c r="JP22" s="66"/>
      <c r="JQ22" s="66"/>
      <c r="JR22" s="66"/>
      <c r="JS22" s="66"/>
      <c r="JT22" s="66"/>
      <c r="JU22" s="66"/>
      <c r="JV22" s="66"/>
      <c r="JW22" s="66"/>
      <c r="JX22" s="66"/>
      <c r="JY22" s="66"/>
      <c r="JZ22" s="66"/>
      <c r="KA22" s="66"/>
      <c r="KB22" s="66"/>
      <c r="KC22" s="66"/>
      <c r="KD22" s="66"/>
      <c r="KE22" s="66"/>
      <c r="KF22" s="66"/>
      <c r="KG22" s="66"/>
      <c r="KH22" s="66"/>
      <c r="KI22" s="66"/>
      <c r="KJ22" s="66"/>
      <c r="KK22" s="66"/>
      <c r="KL22" s="66"/>
      <c r="KM22" s="66"/>
      <c r="KN22" s="66"/>
      <c r="KO22" s="66"/>
      <c r="KP22" s="66"/>
      <c r="KQ22" s="66"/>
      <c r="KR22" s="66"/>
      <c r="KS22" s="66"/>
      <c r="KT22" s="66"/>
      <c r="KU22" s="66"/>
      <c r="KV22" s="66"/>
      <c r="KW22" s="66"/>
      <c r="KX22" s="66"/>
      <c r="KY22" s="66"/>
      <c r="KZ22" s="66"/>
      <c r="LA22" s="66"/>
      <c r="LB22" s="66"/>
      <c r="LC22" s="66"/>
      <c r="LD22" s="66"/>
      <c r="LE22" s="66"/>
      <c r="LF22" s="66"/>
      <c r="LG22" s="66"/>
      <c r="LH22" s="66"/>
      <c r="LI22" s="66"/>
      <c r="LJ22" s="66"/>
      <c r="LK22" s="66"/>
      <c r="LL22" s="66"/>
      <c r="LM22" s="66"/>
      <c r="LN22" s="66"/>
      <c r="LO22" s="66"/>
      <c r="LP22" s="66"/>
      <c r="LQ22" s="66"/>
      <c r="LR22" s="66"/>
      <c r="LS22" s="66"/>
      <c r="LT22" s="66"/>
      <c r="LU22" s="66"/>
      <c r="LV22" s="66"/>
      <c r="LW22" s="66"/>
      <c r="LX22" s="66"/>
      <c r="LY22" s="66"/>
      <c r="LZ22" s="66"/>
      <c r="MA22" s="66"/>
      <c r="MB22" s="66"/>
      <c r="MC22" s="66"/>
      <c r="MD22" s="66"/>
      <c r="ME22" s="66"/>
      <c r="MF22" s="66"/>
      <c r="MG22" s="66"/>
      <c r="MH22" s="66"/>
      <c r="MI22" s="66"/>
      <c r="MJ22" s="66"/>
      <c r="MK22" s="66"/>
      <c r="ML22" s="66"/>
      <c r="MM22" s="66"/>
      <c r="MN22" s="66"/>
      <c r="MO22" s="66"/>
      <c r="MP22" s="66"/>
      <c r="MQ22" s="66"/>
      <c r="MR22" s="66"/>
      <c r="MS22" s="66"/>
      <c r="MT22" s="66"/>
      <c r="MU22" s="66"/>
      <c r="MV22" s="66"/>
      <c r="MW22" s="66"/>
      <c r="MX22" s="66"/>
      <c r="MY22" s="66"/>
      <c r="MZ22" s="66"/>
      <c r="NA22" s="66"/>
      <c r="NB22" s="66"/>
      <c r="NC22" s="66"/>
      <c r="ND22" s="66"/>
      <c r="NE22" s="66"/>
      <c r="NF22" s="66"/>
      <c r="NG22" s="66"/>
      <c r="NH22" s="66"/>
      <c r="NI22" s="66"/>
      <c r="NJ22" s="66"/>
      <c r="NK22" s="66"/>
      <c r="NL22" s="66"/>
      <c r="NM22" s="66"/>
      <c r="NN22" s="66"/>
      <c r="NO22" s="66"/>
      <c r="NP22" s="66"/>
      <c r="NQ22" s="66"/>
      <c r="NR22" s="66"/>
      <c r="NS22" s="66"/>
      <c r="NT22" s="66"/>
      <c r="NU22" s="66"/>
      <c r="NV22" s="66"/>
      <c r="NW22" s="66"/>
      <c r="NX22" s="66"/>
      <c r="NY22" s="66"/>
      <c r="NZ22" s="66"/>
      <c r="OA22" s="66"/>
      <c r="OB22" s="66"/>
      <c r="OC22" s="66"/>
      <c r="OD22" s="66"/>
      <c r="OE22" s="66"/>
      <c r="OF22" s="66"/>
      <c r="OG22" s="66"/>
      <c r="OH22" s="66"/>
      <c r="OI22" s="66"/>
      <c r="OJ22" s="66"/>
      <c r="OK22" s="66"/>
      <c r="OL22" s="66"/>
      <c r="OM22" s="66"/>
      <c r="ON22" s="66"/>
      <c r="OO22" s="66"/>
      <c r="OP22" s="66"/>
      <c r="OQ22" s="66"/>
      <c r="OR22" s="66"/>
      <c r="OS22" s="66"/>
      <c r="OT22" s="66"/>
      <c r="OU22" s="66"/>
      <c r="OV22" s="66"/>
      <c r="OW22" s="66"/>
      <c r="OX22" s="66"/>
      <c r="OY22" s="66"/>
      <c r="OZ22" s="66"/>
      <c r="PA22" s="66"/>
      <c r="PB22" s="66"/>
      <c r="PC22" s="66"/>
      <c r="PD22" s="66"/>
      <c r="PE22" s="66"/>
      <c r="PF22" s="66"/>
      <c r="PG22" s="66"/>
      <c r="PH22" s="66"/>
      <c r="PI22" s="66"/>
      <c r="PJ22" s="66"/>
      <c r="PK22" s="66"/>
      <c r="PL22" s="66"/>
      <c r="PM22" s="66"/>
      <c r="PN22" s="66"/>
      <c r="PO22" s="66"/>
      <c r="PP22" s="66"/>
      <c r="PQ22" s="66"/>
      <c r="PR22" s="66"/>
      <c r="PS22" s="66"/>
      <c r="PT22" s="66"/>
      <c r="PU22" s="66"/>
      <c r="PV22" s="66"/>
      <c r="PW22" s="66"/>
      <c r="PX22" s="66"/>
      <c r="PY22" s="66"/>
      <c r="PZ22" s="66"/>
      <c r="QA22" s="66"/>
      <c r="QB22" s="66"/>
      <c r="QC22" s="66"/>
      <c r="QD22" s="66"/>
      <c r="QE22" s="66"/>
      <c r="QF22" s="66"/>
      <c r="QG22" s="66"/>
      <c r="QH22" s="66"/>
      <c r="QI22" s="66"/>
      <c r="QJ22" s="66"/>
      <c r="QK22" s="66"/>
      <c r="QL22" s="66"/>
      <c r="QM22" s="66"/>
      <c r="QN22" s="66"/>
      <c r="QO22" s="66"/>
      <c r="QP22" s="66"/>
      <c r="QQ22" s="66"/>
      <c r="QR22" s="66"/>
      <c r="QS22" s="66"/>
      <c r="QT22" s="66"/>
      <c r="QU22" s="66"/>
      <c r="QV22" s="66"/>
      <c r="QW22" s="66"/>
      <c r="QX22" s="66"/>
      <c r="QY22" s="66"/>
      <c r="QZ22" s="66"/>
      <c r="RA22" s="66"/>
      <c r="RB22" s="66"/>
      <c r="RC22" s="66"/>
      <c r="RD22" s="66"/>
      <c r="RE22" s="66"/>
      <c r="RF22" s="66"/>
      <c r="RG22" s="66"/>
      <c r="RH22" s="66"/>
      <c r="RI22" s="66"/>
      <c r="RJ22" s="66"/>
      <c r="RK22" s="66"/>
      <c r="RL22" s="66"/>
      <c r="RM22" s="66"/>
      <c r="RN22" s="66"/>
      <c r="RO22" s="66"/>
      <c r="RP22" s="66"/>
      <c r="RQ22" s="66"/>
      <c r="RR22" s="66"/>
      <c r="RS22" s="66"/>
      <c r="RT22" s="66"/>
      <c r="RU22" s="66"/>
      <c r="RV22" s="66"/>
      <c r="RW22" s="66"/>
      <c r="RX22" s="66"/>
      <c r="RY22" s="66"/>
      <c r="RZ22" s="66"/>
      <c r="SA22" s="66"/>
      <c r="SB22" s="66"/>
      <c r="SC22" s="66"/>
      <c r="SD22" s="66"/>
      <c r="SE22" s="66"/>
      <c r="SF22" s="66"/>
      <c r="SG22" s="66"/>
      <c r="SH22" s="66"/>
      <c r="SI22" s="66"/>
      <c r="SJ22" s="66"/>
      <c r="SK22" s="66"/>
      <c r="SL22" s="66"/>
      <c r="SM22" s="66"/>
      <c r="SN22" s="66"/>
      <c r="SO22" s="66"/>
      <c r="SP22" s="66"/>
      <c r="SQ22" s="66"/>
      <c r="SR22" s="66"/>
      <c r="SS22" s="66"/>
      <c r="ST22" s="66"/>
      <c r="SU22" s="66"/>
      <c r="SV22" s="66"/>
      <c r="SW22" s="66"/>
      <c r="SX22" s="66"/>
      <c r="SY22" s="66"/>
      <c r="SZ22" s="66"/>
      <c r="TA22" s="66"/>
      <c r="TB22" s="66"/>
      <c r="TC22" s="66"/>
      <c r="TD22" s="66"/>
      <c r="TE22" s="66"/>
      <c r="TF22" s="66"/>
      <c r="TG22" s="66"/>
      <c r="TH22" s="66"/>
      <c r="TI22" s="66"/>
      <c r="TJ22" s="66"/>
      <c r="TK22" s="66"/>
      <c r="TL22" s="66"/>
      <c r="TM22" s="66"/>
      <c r="TN22" s="66"/>
      <c r="TO22" s="66"/>
      <c r="TP22" s="66"/>
      <c r="TQ22" s="66"/>
      <c r="TR22" s="66"/>
      <c r="TS22" s="66"/>
      <c r="TT22" s="66"/>
      <c r="TU22" s="66"/>
      <c r="TV22" s="66"/>
      <c r="TW22" s="66"/>
      <c r="TX22" s="66"/>
      <c r="TY22" s="66"/>
      <c r="TZ22" s="66"/>
      <c r="UA22" s="66"/>
      <c r="UB22" s="66"/>
      <c r="UC22" s="66"/>
      <c r="UD22" s="66"/>
      <c r="UE22" s="66"/>
      <c r="UF22" s="66"/>
      <c r="UG22" s="66"/>
      <c r="UH22" s="66"/>
      <c r="UI22" s="66"/>
      <c r="UJ22" s="66"/>
      <c r="UK22" s="66"/>
      <c r="UL22" s="66"/>
      <c r="UM22" s="66"/>
      <c r="UN22" s="66"/>
      <c r="UO22" s="66"/>
      <c r="UP22" s="66"/>
      <c r="UQ22" s="66"/>
      <c r="UR22" s="66"/>
      <c r="US22" s="66"/>
      <c r="UT22" s="66"/>
      <c r="UU22" s="66"/>
      <c r="UV22" s="66"/>
      <c r="UW22" s="66"/>
      <c r="UX22" s="66"/>
      <c r="UY22" s="66"/>
      <c r="UZ22" s="66"/>
      <c r="VA22" s="66"/>
      <c r="VB22" s="66"/>
      <c r="VC22" s="66"/>
      <c r="VD22" s="66"/>
      <c r="VE22" s="66"/>
      <c r="VF22" s="66"/>
      <c r="VG22" s="66"/>
      <c r="VH22" s="66"/>
      <c r="VI22" s="66"/>
      <c r="VJ22" s="66"/>
      <c r="VK22" s="66"/>
      <c r="VL22" s="66"/>
      <c r="VM22" s="66"/>
      <c r="VN22" s="66"/>
      <c r="VO22" s="66"/>
      <c r="VP22" s="66"/>
      <c r="VQ22" s="66"/>
      <c r="VR22" s="66"/>
      <c r="VS22" s="66"/>
      <c r="VT22" s="66"/>
      <c r="VU22" s="66"/>
      <c r="VV22" s="66"/>
      <c r="VW22" s="66"/>
      <c r="VX22" s="66"/>
      <c r="VY22" s="66"/>
      <c r="VZ22" s="66"/>
      <c r="WA22" s="66"/>
      <c r="WB22" s="66"/>
      <c r="WC22" s="66"/>
      <c r="WD22" s="66"/>
      <c r="WE22" s="66"/>
      <c r="WF22" s="66"/>
      <c r="WG22" s="66"/>
      <c r="WH22" s="66"/>
      <c r="WI22" s="66"/>
      <c r="WJ22" s="66"/>
      <c r="WK22" s="66"/>
      <c r="WL22" s="66"/>
      <c r="WM22" s="66"/>
      <c r="WN22" s="66"/>
      <c r="WO22" s="66"/>
      <c r="WP22" s="66"/>
      <c r="WQ22" s="66"/>
      <c r="WR22" s="66"/>
      <c r="WS22" s="66"/>
      <c r="WT22" s="66"/>
      <c r="WU22" s="66"/>
      <c r="WV22" s="66"/>
      <c r="WW22" s="66"/>
      <c r="WX22" s="66"/>
      <c r="WY22" s="66"/>
      <c r="WZ22" s="66"/>
      <c r="XA22" s="66"/>
      <c r="XB22" s="66"/>
      <c r="XC22" s="66"/>
      <c r="XD22" s="66"/>
      <c r="XE22" s="66"/>
      <c r="XF22" s="66"/>
      <c r="XG22" s="66"/>
      <c r="XH22" s="66"/>
      <c r="XI22" s="66"/>
      <c r="XJ22" s="66"/>
      <c r="XK22" s="66"/>
      <c r="XL22" s="66"/>
      <c r="XM22" s="66"/>
      <c r="XN22" s="66"/>
      <c r="XO22" s="66"/>
      <c r="XP22" s="66"/>
      <c r="XQ22" s="66"/>
      <c r="XR22" s="66"/>
      <c r="XS22" s="66"/>
      <c r="XT22" s="66"/>
      <c r="XU22" s="66"/>
      <c r="XV22" s="66"/>
      <c r="XW22" s="66"/>
      <c r="XX22" s="66"/>
      <c r="XY22" s="66"/>
      <c r="XZ22" s="66"/>
      <c r="YA22" s="66"/>
      <c r="YB22" s="66"/>
      <c r="YC22" s="66"/>
      <c r="YD22" s="66"/>
      <c r="YE22" s="66"/>
      <c r="YF22" s="66"/>
      <c r="YG22" s="66"/>
      <c r="YH22" s="66"/>
      <c r="YI22" s="66"/>
      <c r="YJ22" s="66"/>
      <c r="YK22" s="66"/>
      <c r="YL22" s="66"/>
      <c r="YM22" s="66"/>
      <c r="YN22" s="66"/>
      <c r="YO22" s="66"/>
      <c r="YP22" s="66"/>
      <c r="YQ22" s="66"/>
      <c r="YR22" s="66"/>
      <c r="YS22" s="66"/>
      <c r="YT22" s="66"/>
      <c r="YU22" s="66"/>
      <c r="YV22" s="66"/>
      <c r="YW22" s="66"/>
      <c r="YX22" s="66"/>
      <c r="YY22" s="66"/>
      <c r="YZ22" s="66"/>
      <c r="ZA22" s="66"/>
      <c r="ZB22" s="66"/>
      <c r="ZC22" s="66"/>
      <c r="ZD22" s="66"/>
      <c r="ZE22" s="66"/>
      <c r="ZF22" s="66"/>
      <c r="ZG22" s="66"/>
      <c r="ZH22" s="66"/>
      <c r="ZI22" s="66"/>
      <c r="ZJ22" s="66"/>
      <c r="ZK22" s="66"/>
      <c r="ZL22" s="66"/>
      <c r="ZM22" s="66"/>
      <c r="ZN22" s="66"/>
      <c r="ZO22" s="66"/>
      <c r="ZP22" s="66"/>
      <c r="ZQ22" s="66"/>
      <c r="ZR22" s="66"/>
      <c r="ZS22" s="66"/>
      <c r="ZT22" s="66"/>
      <c r="ZU22" s="66"/>
      <c r="ZV22" s="66"/>
      <c r="ZW22" s="66"/>
      <c r="ZX22" s="66"/>
    </row>
    <row r="23" spans="1:700" s="20" customFormat="1" ht="15.75" x14ac:dyDescent="0.25">
      <c r="A23" s="72"/>
      <c r="B23" s="73"/>
      <c r="C23" s="73"/>
      <c r="D23" s="108"/>
      <c r="E23" s="129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  <c r="CH23" s="66"/>
      <c r="CI23" s="66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6"/>
      <c r="CU23" s="66"/>
      <c r="CV23" s="66"/>
      <c r="CW23" s="66"/>
      <c r="CX23" s="66"/>
      <c r="CY23" s="66"/>
      <c r="CZ23" s="66"/>
      <c r="DA23" s="66"/>
      <c r="DB23" s="66"/>
      <c r="DC23" s="66"/>
      <c r="DD23" s="66"/>
      <c r="DE23" s="66"/>
      <c r="DF23" s="66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6"/>
      <c r="DR23" s="66"/>
      <c r="DS23" s="66"/>
      <c r="DT23" s="66"/>
      <c r="DU23" s="66"/>
      <c r="DV23" s="66"/>
      <c r="DW23" s="66"/>
      <c r="DX23" s="66"/>
      <c r="DY23" s="66"/>
      <c r="DZ23" s="66"/>
      <c r="EA23" s="66"/>
      <c r="EB23" s="66"/>
      <c r="EC23" s="66"/>
      <c r="ED23" s="66"/>
      <c r="EE23" s="66"/>
      <c r="EF23" s="66"/>
      <c r="EG23" s="66"/>
      <c r="EH23" s="66"/>
      <c r="EI23" s="66"/>
      <c r="EJ23" s="66"/>
      <c r="EK23" s="66"/>
      <c r="EL23" s="66"/>
      <c r="EM23" s="66"/>
      <c r="EN23" s="66"/>
      <c r="EO23" s="66"/>
      <c r="EP23" s="66"/>
      <c r="EQ23" s="66"/>
      <c r="ER23" s="66"/>
      <c r="ES23" s="66"/>
      <c r="ET23" s="66"/>
      <c r="EU23" s="66"/>
      <c r="EV23" s="66"/>
      <c r="EW23" s="66"/>
      <c r="EX23" s="66"/>
      <c r="EY23" s="66"/>
      <c r="EZ23" s="66"/>
      <c r="FA23" s="66"/>
      <c r="FB23" s="66"/>
      <c r="FC23" s="66"/>
      <c r="FD23" s="66"/>
      <c r="FE23" s="66"/>
      <c r="FF23" s="66"/>
      <c r="FG23" s="66"/>
      <c r="FH23" s="66"/>
      <c r="FI23" s="66"/>
      <c r="FJ23" s="66"/>
      <c r="FK23" s="66"/>
      <c r="FL23" s="66"/>
      <c r="FM23" s="66"/>
      <c r="FN23" s="66"/>
      <c r="FO23" s="66"/>
      <c r="FP23" s="66"/>
      <c r="FQ23" s="66"/>
      <c r="FR23" s="66"/>
      <c r="FS23" s="66"/>
      <c r="FT23" s="66"/>
      <c r="FU23" s="66"/>
      <c r="FV23" s="66"/>
      <c r="FW23" s="66"/>
      <c r="FX23" s="66"/>
      <c r="FY23" s="66"/>
      <c r="FZ23" s="66"/>
      <c r="GA23" s="66"/>
      <c r="GB23" s="66"/>
      <c r="GC23" s="66"/>
      <c r="GD23" s="66"/>
      <c r="GE23" s="66"/>
      <c r="GF23" s="66"/>
      <c r="GG23" s="66"/>
      <c r="GH23" s="66"/>
      <c r="GI23" s="66"/>
      <c r="GJ23" s="66"/>
      <c r="GK23" s="66"/>
      <c r="GL23" s="66"/>
      <c r="GM23" s="66"/>
      <c r="GN23" s="66"/>
      <c r="GO23" s="66"/>
      <c r="GP23" s="66"/>
      <c r="GQ23" s="66"/>
      <c r="GR23" s="66"/>
      <c r="GS23" s="66"/>
      <c r="GT23" s="66"/>
      <c r="GU23" s="66"/>
      <c r="GV23" s="66"/>
      <c r="GW23" s="66"/>
      <c r="GX23" s="66"/>
      <c r="GY23" s="66"/>
      <c r="GZ23" s="66"/>
      <c r="HA23" s="66"/>
      <c r="HB23" s="66"/>
      <c r="HC23" s="66"/>
      <c r="HD23" s="66"/>
      <c r="HE23" s="66"/>
      <c r="HF23" s="66"/>
      <c r="HG23" s="66"/>
      <c r="HH23" s="66"/>
      <c r="HI23" s="66"/>
      <c r="HJ23" s="66"/>
      <c r="HK23" s="66"/>
      <c r="HL23" s="66"/>
      <c r="HM23" s="66"/>
      <c r="HN23" s="66"/>
      <c r="HO23" s="66"/>
      <c r="HP23" s="66"/>
      <c r="HQ23" s="66"/>
      <c r="HR23" s="66"/>
      <c r="HS23" s="66"/>
      <c r="HT23" s="66"/>
      <c r="HU23" s="66"/>
      <c r="HV23" s="66"/>
      <c r="HW23" s="66"/>
      <c r="HX23" s="66"/>
      <c r="HY23" s="66"/>
      <c r="HZ23" s="66"/>
      <c r="IA23" s="66"/>
      <c r="IB23" s="66"/>
      <c r="IC23" s="66"/>
      <c r="ID23" s="66"/>
      <c r="IE23" s="66"/>
      <c r="IF23" s="66"/>
      <c r="IG23" s="66"/>
      <c r="IH23" s="66"/>
      <c r="II23" s="66"/>
      <c r="IJ23" s="66"/>
      <c r="IK23" s="66"/>
      <c r="IL23" s="66"/>
      <c r="IM23" s="66"/>
      <c r="IN23" s="66"/>
      <c r="IO23" s="66"/>
      <c r="IP23" s="66"/>
      <c r="IQ23" s="66"/>
      <c r="IR23" s="66"/>
      <c r="IS23" s="66"/>
      <c r="IT23" s="66"/>
      <c r="IU23" s="66"/>
      <c r="IV23" s="66"/>
      <c r="IW23" s="66"/>
      <c r="IX23" s="66"/>
      <c r="IY23" s="66"/>
      <c r="IZ23" s="66"/>
      <c r="JA23" s="66"/>
      <c r="JB23" s="66"/>
      <c r="JC23" s="66"/>
      <c r="JD23" s="66"/>
      <c r="JE23" s="66"/>
      <c r="JF23" s="66"/>
      <c r="JG23" s="66"/>
      <c r="JH23" s="66"/>
      <c r="JI23" s="66"/>
      <c r="JJ23" s="66"/>
      <c r="JK23" s="66"/>
      <c r="JL23" s="66"/>
      <c r="JM23" s="66"/>
      <c r="JN23" s="66"/>
      <c r="JO23" s="66"/>
      <c r="JP23" s="66"/>
      <c r="JQ23" s="66"/>
      <c r="JR23" s="66"/>
      <c r="JS23" s="66"/>
      <c r="JT23" s="66"/>
      <c r="JU23" s="66"/>
      <c r="JV23" s="66"/>
      <c r="JW23" s="66"/>
      <c r="JX23" s="66"/>
      <c r="JY23" s="66"/>
      <c r="JZ23" s="66"/>
      <c r="KA23" s="66"/>
      <c r="KB23" s="66"/>
      <c r="KC23" s="66"/>
      <c r="KD23" s="66"/>
      <c r="KE23" s="66"/>
      <c r="KF23" s="66"/>
      <c r="KG23" s="66"/>
      <c r="KH23" s="66"/>
      <c r="KI23" s="66"/>
      <c r="KJ23" s="66"/>
      <c r="KK23" s="66"/>
      <c r="KL23" s="66"/>
      <c r="KM23" s="66"/>
      <c r="KN23" s="66"/>
      <c r="KO23" s="66"/>
      <c r="KP23" s="66"/>
      <c r="KQ23" s="66"/>
      <c r="KR23" s="66"/>
      <c r="KS23" s="66"/>
      <c r="KT23" s="66"/>
      <c r="KU23" s="66"/>
      <c r="KV23" s="66"/>
      <c r="KW23" s="66"/>
      <c r="KX23" s="66"/>
      <c r="KY23" s="66"/>
      <c r="KZ23" s="66"/>
      <c r="LA23" s="66"/>
      <c r="LB23" s="66"/>
      <c r="LC23" s="66"/>
      <c r="LD23" s="66"/>
      <c r="LE23" s="66"/>
      <c r="LF23" s="66"/>
      <c r="LG23" s="66"/>
      <c r="LH23" s="66"/>
      <c r="LI23" s="66"/>
      <c r="LJ23" s="66"/>
      <c r="LK23" s="66"/>
      <c r="LL23" s="66"/>
      <c r="LM23" s="66"/>
      <c r="LN23" s="66"/>
      <c r="LO23" s="66"/>
      <c r="LP23" s="66"/>
      <c r="LQ23" s="66"/>
      <c r="LR23" s="66"/>
      <c r="LS23" s="66"/>
      <c r="LT23" s="66"/>
      <c r="LU23" s="66"/>
      <c r="LV23" s="66"/>
      <c r="LW23" s="66"/>
      <c r="LX23" s="66"/>
      <c r="LY23" s="66"/>
      <c r="LZ23" s="66"/>
      <c r="MA23" s="66"/>
      <c r="MB23" s="66"/>
      <c r="MC23" s="66"/>
      <c r="MD23" s="66"/>
      <c r="ME23" s="66"/>
      <c r="MF23" s="66"/>
      <c r="MG23" s="66"/>
      <c r="MH23" s="66"/>
      <c r="MI23" s="66"/>
      <c r="MJ23" s="66"/>
      <c r="MK23" s="66"/>
      <c r="ML23" s="66"/>
      <c r="MM23" s="66"/>
      <c r="MN23" s="66"/>
      <c r="MO23" s="66"/>
      <c r="MP23" s="66"/>
      <c r="MQ23" s="66"/>
      <c r="MR23" s="66"/>
      <c r="MS23" s="66"/>
      <c r="MT23" s="66"/>
      <c r="MU23" s="66"/>
      <c r="MV23" s="66"/>
      <c r="MW23" s="66"/>
      <c r="MX23" s="66"/>
      <c r="MY23" s="66"/>
      <c r="MZ23" s="66"/>
      <c r="NA23" s="66"/>
      <c r="NB23" s="66"/>
      <c r="NC23" s="66"/>
      <c r="ND23" s="66"/>
      <c r="NE23" s="66"/>
      <c r="NF23" s="66"/>
      <c r="NG23" s="66"/>
      <c r="NH23" s="66"/>
      <c r="NI23" s="66"/>
      <c r="NJ23" s="66"/>
      <c r="NK23" s="66"/>
      <c r="NL23" s="66"/>
      <c r="NM23" s="66"/>
      <c r="NN23" s="66"/>
      <c r="NO23" s="66"/>
      <c r="NP23" s="66"/>
      <c r="NQ23" s="66"/>
      <c r="NR23" s="66"/>
      <c r="NS23" s="66"/>
      <c r="NT23" s="66"/>
      <c r="NU23" s="66"/>
      <c r="NV23" s="66"/>
      <c r="NW23" s="66"/>
      <c r="NX23" s="66"/>
      <c r="NY23" s="66"/>
      <c r="NZ23" s="66"/>
      <c r="OA23" s="66"/>
      <c r="OB23" s="66"/>
      <c r="OC23" s="66"/>
      <c r="OD23" s="66"/>
      <c r="OE23" s="66"/>
      <c r="OF23" s="66"/>
      <c r="OG23" s="66"/>
      <c r="OH23" s="66"/>
      <c r="OI23" s="66"/>
      <c r="OJ23" s="66"/>
      <c r="OK23" s="66"/>
      <c r="OL23" s="66"/>
      <c r="OM23" s="66"/>
      <c r="ON23" s="66"/>
      <c r="OO23" s="66"/>
      <c r="OP23" s="66"/>
      <c r="OQ23" s="66"/>
      <c r="OR23" s="66"/>
      <c r="OS23" s="66"/>
      <c r="OT23" s="66"/>
      <c r="OU23" s="66"/>
      <c r="OV23" s="66"/>
      <c r="OW23" s="66"/>
      <c r="OX23" s="66"/>
      <c r="OY23" s="66"/>
      <c r="OZ23" s="66"/>
      <c r="PA23" s="66"/>
      <c r="PB23" s="66"/>
      <c r="PC23" s="66"/>
      <c r="PD23" s="66"/>
      <c r="PE23" s="66"/>
      <c r="PF23" s="66"/>
      <c r="PG23" s="66"/>
      <c r="PH23" s="66"/>
      <c r="PI23" s="66"/>
      <c r="PJ23" s="66"/>
      <c r="PK23" s="66"/>
      <c r="PL23" s="66"/>
      <c r="PM23" s="66"/>
      <c r="PN23" s="66"/>
      <c r="PO23" s="66"/>
      <c r="PP23" s="66"/>
      <c r="PQ23" s="66"/>
      <c r="PR23" s="66"/>
      <c r="PS23" s="66"/>
      <c r="PT23" s="66"/>
      <c r="PU23" s="66"/>
      <c r="PV23" s="66"/>
      <c r="PW23" s="66"/>
      <c r="PX23" s="66"/>
      <c r="PY23" s="66"/>
      <c r="PZ23" s="66"/>
      <c r="QA23" s="66"/>
      <c r="QB23" s="66"/>
      <c r="QC23" s="66"/>
      <c r="QD23" s="66"/>
      <c r="QE23" s="66"/>
      <c r="QF23" s="66"/>
      <c r="QG23" s="66"/>
      <c r="QH23" s="66"/>
      <c r="QI23" s="66"/>
      <c r="QJ23" s="66"/>
      <c r="QK23" s="66"/>
      <c r="QL23" s="66"/>
      <c r="QM23" s="66"/>
      <c r="QN23" s="66"/>
      <c r="QO23" s="66"/>
      <c r="QP23" s="66"/>
      <c r="QQ23" s="66"/>
      <c r="QR23" s="66"/>
      <c r="QS23" s="66"/>
      <c r="QT23" s="66"/>
      <c r="QU23" s="66"/>
      <c r="QV23" s="66"/>
      <c r="QW23" s="66"/>
      <c r="QX23" s="66"/>
      <c r="QY23" s="66"/>
      <c r="QZ23" s="66"/>
      <c r="RA23" s="66"/>
      <c r="RB23" s="66"/>
      <c r="RC23" s="66"/>
      <c r="RD23" s="66"/>
      <c r="RE23" s="66"/>
      <c r="RF23" s="66"/>
      <c r="RG23" s="66"/>
      <c r="RH23" s="66"/>
      <c r="RI23" s="66"/>
      <c r="RJ23" s="66"/>
      <c r="RK23" s="66"/>
      <c r="RL23" s="66"/>
      <c r="RM23" s="66"/>
      <c r="RN23" s="66"/>
      <c r="RO23" s="66"/>
      <c r="RP23" s="66"/>
      <c r="RQ23" s="66"/>
      <c r="RR23" s="66"/>
      <c r="RS23" s="66"/>
      <c r="RT23" s="66"/>
      <c r="RU23" s="66"/>
      <c r="RV23" s="66"/>
      <c r="RW23" s="66"/>
      <c r="RX23" s="66"/>
      <c r="RY23" s="66"/>
      <c r="RZ23" s="66"/>
      <c r="SA23" s="66"/>
      <c r="SB23" s="66"/>
      <c r="SC23" s="66"/>
      <c r="SD23" s="66"/>
      <c r="SE23" s="66"/>
      <c r="SF23" s="66"/>
      <c r="SG23" s="66"/>
      <c r="SH23" s="66"/>
      <c r="SI23" s="66"/>
      <c r="SJ23" s="66"/>
      <c r="SK23" s="66"/>
      <c r="SL23" s="66"/>
      <c r="SM23" s="66"/>
      <c r="SN23" s="66"/>
      <c r="SO23" s="66"/>
      <c r="SP23" s="66"/>
      <c r="SQ23" s="66"/>
      <c r="SR23" s="66"/>
      <c r="SS23" s="66"/>
      <c r="ST23" s="66"/>
      <c r="SU23" s="66"/>
      <c r="SV23" s="66"/>
      <c r="SW23" s="66"/>
      <c r="SX23" s="66"/>
      <c r="SY23" s="66"/>
      <c r="SZ23" s="66"/>
      <c r="TA23" s="66"/>
      <c r="TB23" s="66"/>
      <c r="TC23" s="66"/>
      <c r="TD23" s="66"/>
      <c r="TE23" s="66"/>
      <c r="TF23" s="66"/>
      <c r="TG23" s="66"/>
      <c r="TH23" s="66"/>
      <c r="TI23" s="66"/>
      <c r="TJ23" s="66"/>
      <c r="TK23" s="66"/>
      <c r="TL23" s="66"/>
      <c r="TM23" s="66"/>
      <c r="TN23" s="66"/>
      <c r="TO23" s="66"/>
      <c r="TP23" s="66"/>
      <c r="TQ23" s="66"/>
      <c r="TR23" s="66"/>
      <c r="TS23" s="66"/>
      <c r="TT23" s="66"/>
      <c r="TU23" s="66"/>
      <c r="TV23" s="66"/>
      <c r="TW23" s="66"/>
      <c r="TX23" s="66"/>
      <c r="TY23" s="66"/>
      <c r="TZ23" s="66"/>
      <c r="UA23" s="66"/>
      <c r="UB23" s="66"/>
      <c r="UC23" s="66"/>
      <c r="UD23" s="66"/>
      <c r="UE23" s="66"/>
      <c r="UF23" s="66"/>
      <c r="UG23" s="66"/>
      <c r="UH23" s="66"/>
      <c r="UI23" s="66"/>
      <c r="UJ23" s="66"/>
      <c r="UK23" s="66"/>
      <c r="UL23" s="66"/>
      <c r="UM23" s="66"/>
      <c r="UN23" s="66"/>
      <c r="UO23" s="66"/>
      <c r="UP23" s="66"/>
      <c r="UQ23" s="66"/>
      <c r="UR23" s="66"/>
      <c r="US23" s="66"/>
      <c r="UT23" s="66"/>
      <c r="UU23" s="66"/>
      <c r="UV23" s="66"/>
      <c r="UW23" s="66"/>
      <c r="UX23" s="66"/>
      <c r="UY23" s="66"/>
      <c r="UZ23" s="66"/>
      <c r="VA23" s="66"/>
      <c r="VB23" s="66"/>
      <c r="VC23" s="66"/>
      <c r="VD23" s="66"/>
      <c r="VE23" s="66"/>
      <c r="VF23" s="66"/>
      <c r="VG23" s="66"/>
      <c r="VH23" s="66"/>
      <c r="VI23" s="66"/>
      <c r="VJ23" s="66"/>
      <c r="VK23" s="66"/>
      <c r="VL23" s="66"/>
      <c r="VM23" s="66"/>
      <c r="VN23" s="66"/>
      <c r="VO23" s="66"/>
      <c r="VP23" s="66"/>
      <c r="VQ23" s="66"/>
      <c r="VR23" s="66"/>
      <c r="VS23" s="66"/>
      <c r="VT23" s="66"/>
      <c r="VU23" s="66"/>
      <c r="VV23" s="66"/>
      <c r="VW23" s="66"/>
      <c r="VX23" s="66"/>
      <c r="VY23" s="66"/>
      <c r="VZ23" s="66"/>
      <c r="WA23" s="66"/>
      <c r="WB23" s="66"/>
      <c r="WC23" s="66"/>
      <c r="WD23" s="66"/>
      <c r="WE23" s="66"/>
      <c r="WF23" s="66"/>
      <c r="WG23" s="66"/>
      <c r="WH23" s="66"/>
      <c r="WI23" s="66"/>
      <c r="WJ23" s="66"/>
      <c r="WK23" s="66"/>
      <c r="WL23" s="66"/>
      <c r="WM23" s="66"/>
      <c r="WN23" s="66"/>
      <c r="WO23" s="66"/>
      <c r="WP23" s="66"/>
      <c r="WQ23" s="66"/>
      <c r="WR23" s="66"/>
      <c r="WS23" s="66"/>
      <c r="WT23" s="66"/>
      <c r="WU23" s="66"/>
      <c r="WV23" s="66"/>
      <c r="WW23" s="66"/>
      <c r="WX23" s="66"/>
      <c r="WY23" s="66"/>
      <c r="WZ23" s="66"/>
      <c r="XA23" s="66"/>
      <c r="XB23" s="66"/>
      <c r="XC23" s="66"/>
      <c r="XD23" s="66"/>
      <c r="XE23" s="66"/>
      <c r="XF23" s="66"/>
      <c r="XG23" s="66"/>
      <c r="XH23" s="66"/>
      <c r="XI23" s="66"/>
      <c r="XJ23" s="66"/>
      <c r="XK23" s="66"/>
      <c r="XL23" s="66"/>
      <c r="XM23" s="66"/>
      <c r="XN23" s="66"/>
      <c r="XO23" s="66"/>
      <c r="XP23" s="66"/>
      <c r="XQ23" s="66"/>
      <c r="XR23" s="66"/>
      <c r="XS23" s="66"/>
      <c r="XT23" s="66"/>
      <c r="XU23" s="66"/>
      <c r="XV23" s="66"/>
      <c r="XW23" s="66"/>
      <c r="XX23" s="66"/>
      <c r="XY23" s="66"/>
      <c r="XZ23" s="66"/>
      <c r="YA23" s="66"/>
      <c r="YB23" s="66"/>
      <c r="YC23" s="66"/>
      <c r="YD23" s="66"/>
      <c r="YE23" s="66"/>
      <c r="YF23" s="66"/>
      <c r="YG23" s="66"/>
      <c r="YH23" s="66"/>
      <c r="YI23" s="66"/>
      <c r="YJ23" s="66"/>
      <c r="YK23" s="66"/>
      <c r="YL23" s="66"/>
      <c r="YM23" s="66"/>
      <c r="YN23" s="66"/>
      <c r="YO23" s="66"/>
      <c r="YP23" s="66"/>
      <c r="YQ23" s="66"/>
      <c r="YR23" s="66"/>
      <c r="YS23" s="66"/>
      <c r="YT23" s="66"/>
      <c r="YU23" s="66"/>
      <c r="YV23" s="66"/>
      <c r="YW23" s="66"/>
      <c r="YX23" s="66"/>
      <c r="YY23" s="66"/>
      <c r="YZ23" s="66"/>
      <c r="ZA23" s="66"/>
      <c r="ZB23" s="66"/>
      <c r="ZC23" s="66"/>
      <c r="ZD23" s="66"/>
      <c r="ZE23" s="66"/>
      <c r="ZF23" s="66"/>
      <c r="ZG23" s="66"/>
      <c r="ZH23" s="66"/>
      <c r="ZI23" s="66"/>
      <c r="ZJ23" s="66"/>
      <c r="ZK23" s="66"/>
      <c r="ZL23" s="66"/>
      <c r="ZM23" s="66"/>
      <c r="ZN23" s="66"/>
      <c r="ZO23" s="66"/>
      <c r="ZP23" s="66"/>
      <c r="ZQ23" s="66"/>
      <c r="ZR23" s="66"/>
      <c r="ZS23" s="66"/>
      <c r="ZT23" s="66"/>
      <c r="ZU23" s="66"/>
      <c r="ZV23" s="66"/>
      <c r="ZW23" s="66"/>
      <c r="ZX23" s="66"/>
    </row>
    <row r="24" spans="1:700" s="20" customFormat="1" ht="15.75" x14ac:dyDescent="0.25">
      <c r="A24" s="67"/>
      <c r="B24" s="68"/>
      <c r="C24" s="68"/>
      <c r="D24" s="69"/>
      <c r="E24" s="110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  <c r="CH24" s="66"/>
      <c r="CI24" s="66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6"/>
      <c r="CU24" s="66"/>
      <c r="CV24" s="66"/>
      <c r="CW24" s="66"/>
      <c r="CX24" s="66"/>
      <c r="CY24" s="66"/>
      <c r="CZ24" s="66"/>
      <c r="DA24" s="66"/>
      <c r="DB24" s="66"/>
      <c r="DC24" s="66"/>
      <c r="DD24" s="66"/>
      <c r="DE24" s="66"/>
      <c r="DF24" s="66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6"/>
      <c r="DR24" s="66"/>
      <c r="DS24" s="66"/>
      <c r="DT24" s="66"/>
      <c r="DU24" s="66"/>
      <c r="DV24" s="66"/>
      <c r="DW24" s="66"/>
      <c r="DX24" s="66"/>
      <c r="DY24" s="66"/>
      <c r="DZ24" s="66"/>
      <c r="EA24" s="66"/>
      <c r="EB24" s="66"/>
      <c r="EC24" s="66"/>
      <c r="ED24" s="66"/>
      <c r="EE24" s="66"/>
      <c r="EF24" s="66"/>
      <c r="EG24" s="66"/>
      <c r="EH24" s="66"/>
      <c r="EI24" s="66"/>
      <c r="EJ24" s="66"/>
      <c r="EK24" s="66"/>
      <c r="EL24" s="66"/>
      <c r="EM24" s="66"/>
      <c r="EN24" s="66"/>
      <c r="EO24" s="66"/>
      <c r="EP24" s="66"/>
      <c r="EQ24" s="66"/>
      <c r="ER24" s="66"/>
      <c r="ES24" s="66"/>
      <c r="ET24" s="66"/>
      <c r="EU24" s="66"/>
      <c r="EV24" s="66"/>
      <c r="EW24" s="66"/>
      <c r="EX24" s="66"/>
      <c r="EY24" s="66"/>
      <c r="EZ24" s="66"/>
      <c r="FA24" s="66"/>
      <c r="FB24" s="66"/>
      <c r="FC24" s="66"/>
      <c r="FD24" s="66"/>
      <c r="FE24" s="66"/>
      <c r="FF24" s="66"/>
      <c r="FG24" s="66"/>
      <c r="FH24" s="66"/>
      <c r="FI24" s="66"/>
      <c r="FJ24" s="66"/>
      <c r="FK24" s="66"/>
      <c r="FL24" s="66"/>
      <c r="FM24" s="66"/>
      <c r="FN24" s="66"/>
      <c r="FO24" s="66"/>
      <c r="FP24" s="66"/>
      <c r="FQ24" s="66"/>
      <c r="FR24" s="66"/>
      <c r="FS24" s="66"/>
      <c r="FT24" s="66"/>
      <c r="FU24" s="66"/>
      <c r="FV24" s="66"/>
      <c r="FW24" s="66"/>
      <c r="FX24" s="66"/>
      <c r="FY24" s="66"/>
      <c r="FZ24" s="66"/>
      <c r="GA24" s="66"/>
      <c r="GB24" s="66"/>
      <c r="GC24" s="66"/>
      <c r="GD24" s="66"/>
      <c r="GE24" s="66"/>
      <c r="GF24" s="66"/>
      <c r="GG24" s="66"/>
      <c r="GH24" s="66"/>
      <c r="GI24" s="66"/>
      <c r="GJ24" s="66"/>
      <c r="GK24" s="66"/>
      <c r="GL24" s="66"/>
      <c r="GM24" s="66"/>
      <c r="GN24" s="66"/>
      <c r="GO24" s="66"/>
      <c r="GP24" s="66"/>
      <c r="GQ24" s="66"/>
      <c r="GR24" s="66"/>
      <c r="GS24" s="66"/>
      <c r="GT24" s="66"/>
      <c r="GU24" s="66"/>
      <c r="GV24" s="66"/>
      <c r="GW24" s="66"/>
      <c r="GX24" s="66"/>
      <c r="GY24" s="66"/>
      <c r="GZ24" s="66"/>
      <c r="HA24" s="66"/>
      <c r="HB24" s="66"/>
      <c r="HC24" s="66"/>
      <c r="HD24" s="66"/>
      <c r="HE24" s="66"/>
      <c r="HF24" s="66"/>
      <c r="HG24" s="66"/>
      <c r="HH24" s="66"/>
      <c r="HI24" s="66"/>
      <c r="HJ24" s="66"/>
      <c r="HK24" s="66"/>
      <c r="HL24" s="66"/>
      <c r="HM24" s="66"/>
      <c r="HN24" s="66"/>
      <c r="HO24" s="66"/>
      <c r="HP24" s="66"/>
      <c r="HQ24" s="66"/>
      <c r="HR24" s="66"/>
      <c r="HS24" s="66"/>
      <c r="HT24" s="66"/>
      <c r="HU24" s="66"/>
      <c r="HV24" s="66"/>
      <c r="HW24" s="66"/>
      <c r="HX24" s="66"/>
      <c r="HY24" s="66"/>
      <c r="HZ24" s="66"/>
      <c r="IA24" s="66"/>
      <c r="IB24" s="66"/>
      <c r="IC24" s="66"/>
      <c r="ID24" s="66"/>
      <c r="IE24" s="66"/>
      <c r="IF24" s="66"/>
      <c r="IG24" s="66"/>
      <c r="IH24" s="66"/>
      <c r="II24" s="66"/>
      <c r="IJ24" s="66"/>
      <c r="IK24" s="66"/>
      <c r="IL24" s="66"/>
      <c r="IM24" s="66"/>
      <c r="IN24" s="66"/>
      <c r="IO24" s="66"/>
      <c r="IP24" s="66"/>
      <c r="IQ24" s="66"/>
      <c r="IR24" s="66"/>
      <c r="IS24" s="66"/>
      <c r="IT24" s="66"/>
      <c r="IU24" s="66"/>
      <c r="IV24" s="66"/>
      <c r="IW24" s="66"/>
      <c r="IX24" s="66"/>
      <c r="IY24" s="66"/>
      <c r="IZ24" s="66"/>
      <c r="JA24" s="66"/>
      <c r="JB24" s="66"/>
      <c r="JC24" s="66"/>
      <c r="JD24" s="66"/>
      <c r="JE24" s="66"/>
      <c r="JF24" s="66"/>
      <c r="JG24" s="66"/>
      <c r="JH24" s="66"/>
      <c r="JI24" s="66"/>
      <c r="JJ24" s="66"/>
      <c r="JK24" s="66"/>
      <c r="JL24" s="66"/>
      <c r="JM24" s="66"/>
      <c r="JN24" s="66"/>
      <c r="JO24" s="66"/>
      <c r="JP24" s="66"/>
      <c r="JQ24" s="66"/>
      <c r="JR24" s="66"/>
      <c r="JS24" s="66"/>
      <c r="JT24" s="66"/>
      <c r="JU24" s="66"/>
      <c r="JV24" s="66"/>
      <c r="JW24" s="66"/>
      <c r="JX24" s="66"/>
      <c r="JY24" s="66"/>
      <c r="JZ24" s="66"/>
      <c r="KA24" s="66"/>
      <c r="KB24" s="66"/>
      <c r="KC24" s="66"/>
      <c r="KD24" s="66"/>
      <c r="KE24" s="66"/>
      <c r="KF24" s="66"/>
      <c r="KG24" s="66"/>
      <c r="KH24" s="66"/>
      <c r="KI24" s="66"/>
      <c r="KJ24" s="66"/>
      <c r="KK24" s="66"/>
      <c r="KL24" s="66"/>
      <c r="KM24" s="66"/>
      <c r="KN24" s="66"/>
      <c r="KO24" s="66"/>
      <c r="KP24" s="66"/>
      <c r="KQ24" s="66"/>
      <c r="KR24" s="66"/>
      <c r="KS24" s="66"/>
      <c r="KT24" s="66"/>
      <c r="KU24" s="66"/>
      <c r="KV24" s="66"/>
      <c r="KW24" s="66"/>
      <c r="KX24" s="66"/>
      <c r="KY24" s="66"/>
      <c r="KZ24" s="66"/>
      <c r="LA24" s="66"/>
      <c r="LB24" s="66"/>
      <c r="LC24" s="66"/>
      <c r="LD24" s="66"/>
      <c r="LE24" s="66"/>
      <c r="LF24" s="66"/>
      <c r="LG24" s="66"/>
      <c r="LH24" s="66"/>
      <c r="LI24" s="66"/>
      <c r="LJ24" s="66"/>
      <c r="LK24" s="66"/>
      <c r="LL24" s="66"/>
      <c r="LM24" s="66"/>
      <c r="LN24" s="66"/>
      <c r="LO24" s="66"/>
      <c r="LP24" s="66"/>
      <c r="LQ24" s="66"/>
      <c r="LR24" s="66"/>
      <c r="LS24" s="66"/>
      <c r="LT24" s="66"/>
      <c r="LU24" s="66"/>
      <c r="LV24" s="66"/>
      <c r="LW24" s="66"/>
      <c r="LX24" s="66"/>
      <c r="LY24" s="66"/>
      <c r="LZ24" s="66"/>
      <c r="MA24" s="66"/>
      <c r="MB24" s="66"/>
      <c r="MC24" s="66"/>
      <c r="MD24" s="66"/>
      <c r="ME24" s="66"/>
      <c r="MF24" s="66"/>
      <c r="MG24" s="66"/>
      <c r="MH24" s="66"/>
      <c r="MI24" s="66"/>
      <c r="MJ24" s="66"/>
      <c r="MK24" s="66"/>
      <c r="ML24" s="66"/>
      <c r="MM24" s="66"/>
      <c r="MN24" s="66"/>
      <c r="MO24" s="66"/>
      <c r="MP24" s="66"/>
      <c r="MQ24" s="66"/>
      <c r="MR24" s="66"/>
      <c r="MS24" s="66"/>
      <c r="MT24" s="66"/>
      <c r="MU24" s="66"/>
      <c r="MV24" s="66"/>
      <c r="MW24" s="66"/>
      <c r="MX24" s="66"/>
      <c r="MY24" s="66"/>
      <c r="MZ24" s="66"/>
      <c r="NA24" s="66"/>
      <c r="NB24" s="66"/>
      <c r="NC24" s="66"/>
      <c r="ND24" s="66"/>
      <c r="NE24" s="66"/>
      <c r="NF24" s="66"/>
      <c r="NG24" s="66"/>
      <c r="NH24" s="66"/>
      <c r="NI24" s="66"/>
      <c r="NJ24" s="66"/>
      <c r="NK24" s="66"/>
      <c r="NL24" s="66"/>
      <c r="NM24" s="66"/>
      <c r="NN24" s="66"/>
      <c r="NO24" s="66"/>
      <c r="NP24" s="66"/>
      <c r="NQ24" s="66"/>
      <c r="NR24" s="66"/>
      <c r="NS24" s="66"/>
      <c r="NT24" s="66"/>
      <c r="NU24" s="66"/>
      <c r="NV24" s="66"/>
      <c r="NW24" s="66"/>
      <c r="NX24" s="66"/>
      <c r="NY24" s="66"/>
      <c r="NZ24" s="66"/>
      <c r="OA24" s="66"/>
      <c r="OB24" s="66"/>
      <c r="OC24" s="66"/>
      <c r="OD24" s="66"/>
      <c r="OE24" s="66"/>
      <c r="OF24" s="66"/>
      <c r="OG24" s="66"/>
      <c r="OH24" s="66"/>
      <c r="OI24" s="66"/>
      <c r="OJ24" s="66"/>
      <c r="OK24" s="66"/>
      <c r="OL24" s="66"/>
      <c r="OM24" s="66"/>
      <c r="ON24" s="66"/>
      <c r="OO24" s="66"/>
      <c r="OP24" s="66"/>
      <c r="OQ24" s="66"/>
      <c r="OR24" s="66"/>
      <c r="OS24" s="66"/>
      <c r="OT24" s="66"/>
      <c r="OU24" s="66"/>
      <c r="OV24" s="66"/>
      <c r="OW24" s="66"/>
      <c r="OX24" s="66"/>
      <c r="OY24" s="66"/>
      <c r="OZ24" s="66"/>
      <c r="PA24" s="66"/>
      <c r="PB24" s="66"/>
      <c r="PC24" s="66"/>
      <c r="PD24" s="66"/>
      <c r="PE24" s="66"/>
      <c r="PF24" s="66"/>
      <c r="PG24" s="66"/>
      <c r="PH24" s="66"/>
      <c r="PI24" s="66"/>
      <c r="PJ24" s="66"/>
      <c r="PK24" s="66"/>
      <c r="PL24" s="66"/>
      <c r="PM24" s="66"/>
      <c r="PN24" s="66"/>
      <c r="PO24" s="66"/>
      <c r="PP24" s="66"/>
      <c r="PQ24" s="66"/>
      <c r="PR24" s="66"/>
      <c r="PS24" s="66"/>
      <c r="PT24" s="66"/>
      <c r="PU24" s="66"/>
      <c r="PV24" s="66"/>
      <c r="PW24" s="66"/>
      <c r="PX24" s="66"/>
      <c r="PY24" s="66"/>
      <c r="PZ24" s="66"/>
      <c r="QA24" s="66"/>
      <c r="QB24" s="66"/>
      <c r="QC24" s="66"/>
      <c r="QD24" s="66"/>
      <c r="QE24" s="66"/>
      <c r="QF24" s="66"/>
      <c r="QG24" s="66"/>
      <c r="QH24" s="66"/>
      <c r="QI24" s="66"/>
      <c r="QJ24" s="66"/>
      <c r="QK24" s="66"/>
      <c r="QL24" s="66"/>
      <c r="QM24" s="66"/>
      <c r="QN24" s="66"/>
      <c r="QO24" s="66"/>
      <c r="QP24" s="66"/>
      <c r="QQ24" s="66"/>
      <c r="QR24" s="66"/>
      <c r="QS24" s="66"/>
      <c r="QT24" s="66"/>
      <c r="QU24" s="66"/>
      <c r="QV24" s="66"/>
      <c r="QW24" s="66"/>
      <c r="QX24" s="66"/>
      <c r="QY24" s="66"/>
      <c r="QZ24" s="66"/>
      <c r="RA24" s="66"/>
      <c r="RB24" s="66"/>
      <c r="RC24" s="66"/>
      <c r="RD24" s="66"/>
      <c r="RE24" s="66"/>
      <c r="RF24" s="66"/>
      <c r="RG24" s="66"/>
      <c r="RH24" s="66"/>
      <c r="RI24" s="66"/>
      <c r="RJ24" s="66"/>
      <c r="RK24" s="66"/>
      <c r="RL24" s="66"/>
      <c r="RM24" s="66"/>
      <c r="RN24" s="66"/>
      <c r="RO24" s="66"/>
      <c r="RP24" s="66"/>
      <c r="RQ24" s="66"/>
      <c r="RR24" s="66"/>
      <c r="RS24" s="66"/>
      <c r="RT24" s="66"/>
      <c r="RU24" s="66"/>
      <c r="RV24" s="66"/>
      <c r="RW24" s="66"/>
      <c r="RX24" s="66"/>
      <c r="RY24" s="66"/>
      <c r="RZ24" s="66"/>
      <c r="SA24" s="66"/>
      <c r="SB24" s="66"/>
      <c r="SC24" s="66"/>
      <c r="SD24" s="66"/>
      <c r="SE24" s="66"/>
      <c r="SF24" s="66"/>
      <c r="SG24" s="66"/>
      <c r="SH24" s="66"/>
      <c r="SI24" s="66"/>
      <c r="SJ24" s="66"/>
      <c r="SK24" s="66"/>
      <c r="SL24" s="66"/>
      <c r="SM24" s="66"/>
      <c r="SN24" s="66"/>
      <c r="SO24" s="66"/>
      <c r="SP24" s="66"/>
      <c r="SQ24" s="66"/>
      <c r="SR24" s="66"/>
      <c r="SS24" s="66"/>
      <c r="ST24" s="66"/>
      <c r="SU24" s="66"/>
      <c r="SV24" s="66"/>
      <c r="SW24" s="66"/>
      <c r="SX24" s="66"/>
      <c r="SY24" s="66"/>
      <c r="SZ24" s="66"/>
      <c r="TA24" s="66"/>
      <c r="TB24" s="66"/>
      <c r="TC24" s="66"/>
      <c r="TD24" s="66"/>
      <c r="TE24" s="66"/>
      <c r="TF24" s="66"/>
      <c r="TG24" s="66"/>
      <c r="TH24" s="66"/>
      <c r="TI24" s="66"/>
      <c r="TJ24" s="66"/>
      <c r="TK24" s="66"/>
      <c r="TL24" s="66"/>
      <c r="TM24" s="66"/>
      <c r="TN24" s="66"/>
      <c r="TO24" s="66"/>
      <c r="TP24" s="66"/>
      <c r="TQ24" s="66"/>
      <c r="TR24" s="66"/>
      <c r="TS24" s="66"/>
      <c r="TT24" s="66"/>
      <c r="TU24" s="66"/>
      <c r="TV24" s="66"/>
      <c r="TW24" s="66"/>
      <c r="TX24" s="66"/>
      <c r="TY24" s="66"/>
      <c r="TZ24" s="66"/>
      <c r="UA24" s="66"/>
      <c r="UB24" s="66"/>
      <c r="UC24" s="66"/>
      <c r="UD24" s="66"/>
      <c r="UE24" s="66"/>
      <c r="UF24" s="66"/>
      <c r="UG24" s="66"/>
      <c r="UH24" s="66"/>
      <c r="UI24" s="66"/>
      <c r="UJ24" s="66"/>
      <c r="UK24" s="66"/>
      <c r="UL24" s="66"/>
      <c r="UM24" s="66"/>
      <c r="UN24" s="66"/>
      <c r="UO24" s="66"/>
      <c r="UP24" s="66"/>
      <c r="UQ24" s="66"/>
      <c r="UR24" s="66"/>
      <c r="US24" s="66"/>
      <c r="UT24" s="66"/>
      <c r="UU24" s="66"/>
      <c r="UV24" s="66"/>
      <c r="UW24" s="66"/>
      <c r="UX24" s="66"/>
      <c r="UY24" s="66"/>
      <c r="UZ24" s="66"/>
      <c r="VA24" s="66"/>
      <c r="VB24" s="66"/>
      <c r="VC24" s="66"/>
      <c r="VD24" s="66"/>
      <c r="VE24" s="66"/>
      <c r="VF24" s="66"/>
      <c r="VG24" s="66"/>
      <c r="VH24" s="66"/>
      <c r="VI24" s="66"/>
      <c r="VJ24" s="66"/>
      <c r="VK24" s="66"/>
      <c r="VL24" s="66"/>
      <c r="VM24" s="66"/>
      <c r="VN24" s="66"/>
      <c r="VO24" s="66"/>
      <c r="VP24" s="66"/>
      <c r="VQ24" s="66"/>
      <c r="VR24" s="66"/>
      <c r="VS24" s="66"/>
      <c r="VT24" s="66"/>
      <c r="VU24" s="66"/>
      <c r="VV24" s="66"/>
      <c r="VW24" s="66"/>
      <c r="VX24" s="66"/>
      <c r="VY24" s="66"/>
      <c r="VZ24" s="66"/>
      <c r="WA24" s="66"/>
      <c r="WB24" s="66"/>
      <c r="WC24" s="66"/>
      <c r="WD24" s="66"/>
      <c r="WE24" s="66"/>
      <c r="WF24" s="66"/>
      <c r="WG24" s="66"/>
      <c r="WH24" s="66"/>
      <c r="WI24" s="66"/>
      <c r="WJ24" s="66"/>
      <c r="WK24" s="66"/>
      <c r="WL24" s="66"/>
      <c r="WM24" s="66"/>
      <c r="WN24" s="66"/>
      <c r="WO24" s="66"/>
      <c r="WP24" s="66"/>
      <c r="WQ24" s="66"/>
      <c r="WR24" s="66"/>
      <c r="WS24" s="66"/>
      <c r="WT24" s="66"/>
      <c r="WU24" s="66"/>
      <c r="WV24" s="66"/>
      <c r="WW24" s="66"/>
      <c r="WX24" s="66"/>
      <c r="WY24" s="66"/>
      <c r="WZ24" s="66"/>
      <c r="XA24" s="66"/>
      <c r="XB24" s="66"/>
      <c r="XC24" s="66"/>
      <c r="XD24" s="66"/>
      <c r="XE24" s="66"/>
      <c r="XF24" s="66"/>
      <c r="XG24" s="66"/>
      <c r="XH24" s="66"/>
      <c r="XI24" s="66"/>
      <c r="XJ24" s="66"/>
      <c r="XK24" s="66"/>
      <c r="XL24" s="66"/>
      <c r="XM24" s="66"/>
      <c r="XN24" s="66"/>
      <c r="XO24" s="66"/>
      <c r="XP24" s="66"/>
      <c r="XQ24" s="66"/>
      <c r="XR24" s="66"/>
      <c r="XS24" s="66"/>
      <c r="XT24" s="66"/>
      <c r="XU24" s="66"/>
      <c r="XV24" s="66"/>
      <c r="XW24" s="66"/>
      <c r="XX24" s="66"/>
      <c r="XY24" s="66"/>
      <c r="XZ24" s="66"/>
      <c r="YA24" s="66"/>
      <c r="YB24" s="66"/>
      <c r="YC24" s="66"/>
      <c r="YD24" s="66"/>
      <c r="YE24" s="66"/>
      <c r="YF24" s="66"/>
      <c r="YG24" s="66"/>
      <c r="YH24" s="66"/>
      <c r="YI24" s="66"/>
      <c r="YJ24" s="66"/>
      <c r="YK24" s="66"/>
      <c r="YL24" s="66"/>
      <c r="YM24" s="66"/>
      <c r="YN24" s="66"/>
      <c r="YO24" s="66"/>
      <c r="YP24" s="66"/>
      <c r="YQ24" s="66"/>
      <c r="YR24" s="66"/>
      <c r="YS24" s="66"/>
      <c r="YT24" s="66"/>
      <c r="YU24" s="66"/>
      <c r="YV24" s="66"/>
      <c r="YW24" s="66"/>
      <c r="YX24" s="66"/>
      <c r="YY24" s="66"/>
      <c r="YZ24" s="66"/>
      <c r="ZA24" s="66"/>
      <c r="ZB24" s="66"/>
      <c r="ZC24" s="66"/>
      <c r="ZD24" s="66"/>
      <c r="ZE24" s="66"/>
      <c r="ZF24" s="66"/>
      <c r="ZG24" s="66"/>
      <c r="ZH24" s="66"/>
      <c r="ZI24" s="66"/>
      <c r="ZJ24" s="66"/>
      <c r="ZK24" s="66"/>
      <c r="ZL24" s="66"/>
      <c r="ZM24" s="66"/>
      <c r="ZN24" s="66"/>
      <c r="ZO24" s="66"/>
      <c r="ZP24" s="66"/>
      <c r="ZQ24" s="66"/>
      <c r="ZR24" s="66"/>
      <c r="ZS24" s="66"/>
      <c r="ZT24" s="66"/>
      <c r="ZU24" s="66"/>
      <c r="ZV24" s="66"/>
      <c r="ZW24" s="66"/>
      <c r="ZX24" s="66"/>
    </row>
    <row r="25" spans="1:700" s="20" customFormat="1" ht="15.75" x14ac:dyDescent="0.25">
      <c r="A25" s="70"/>
      <c r="B25" s="71"/>
      <c r="C25" s="71"/>
      <c r="D25" s="109"/>
      <c r="E25" s="111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  <c r="CH25" s="66"/>
      <c r="CI25" s="66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6"/>
      <c r="CU25" s="66"/>
      <c r="CV25" s="66"/>
      <c r="CW25" s="66"/>
      <c r="CX25" s="66"/>
      <c r="CY25" s="66"/>
      <c r="CZ25" s="66"/>
      <c r="DA25" s="66"/>
      <c r="DB25" s="66"/>
      <c r="DC25" s="66"/>
      <c r="DD25" s="66"/>
      <c r="DE25" s="66"/>
      <c r="DF25" s="66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6"/>
      <c r="DR25" s="66"/>
      <c r="DS25" s="66"/>
      <c r="DT25" s="66"/>
      <c r="DU25" s="66"/>
      <c r="DV25" s="66"/>
      <c r="DW25" s="66"/>
      <c r="DX25" s="66"/>
      <c r="DY25" s="66"/>
      <c r="DZ25" s="66"/>
      <c r="EA25" s="66"/>
      <c r="EB25" s="66"/>
      <c r="EC25" s="66"/>
      <c r="ED25" s="66"/>
      <c r="EE25" s="66"/>
      <c r="EF25" s="66"/>
      <c r="EG25" s="66"/>
      <c r="EH25" s="66"/>
      <c r="EI25" s="66"/>
      <c r="EJ25" s="66"/>
      <c r="EK25" s="66"/>
      <c r="EL25" s="66"/>
      <c r="EM25" s="66"/>
      <c r="EN25" s="66"/>
      <c r="EO25" s="66"/>
      <c r="EP25" s="66"/>
      <c r="EQ25" s="66"/>
      <c r="ER25" s="66"/>
      <c r="ES25" s="66"/>
      <c r="ET25" s="66"/>
      <c r="EU25" s="66"/>
      <c r="EV25" s="66"/>
      <c r="EW25" s="66"/>
      <c r="EX25" s="66"/>
      <c r="EY25" s="66"/>
      <c r="EZ25" s="66"/>
      <c r="FA25" s="66"/>
      <c r="FB25" s="66"/>
      <c r="FC25" s="66"/>
      <c r="FD25" s="66"/>
      <c r="FE25" s="66"/>
      <c r="FF25" s="66"/>
      <c r="FG25" s="66"/>
      <c r="FH25" s="66"/>
      <c r="FI25" s="66"/>
      <c r="FJ25" s="66"/>
      <c r="FK25" s="66"/>
      <c r="FL25" s="66"/>
      <c r="FM25" s="66"/>
      <c r="FN25" s="66"/>
      <c r="FO25" s="66"/>
      <c r="FP25" s="66"/>
      <c r="FQ25" s="66"/>
      <c r="FR25" s="66"/>
      <c r="FS25" s="66"/>
      <c r="FT25" s="66"/>
      <c r="FU25" s="66"/>
      <c r="FV25" s="66"/>
      <c r="FW25" s="66"/>
      <c r="FX25" s="66"/>
      <c r="FY25" s="66"/>
      <c r="FZ25" s="66"/>
      <c r="GA25" s="66"/>
      <c r="GB25" s="66"/>
      <c r="GC25" s="66"/>
      <c r="GD25" s="66"/>
      <c r="GE25" s="66"/>
      <c r="GF25" s="66"/>
      <c r="GG25" s="66"/>
      <c r="GH25" s="66"/>
      <c r="GI25" s="66"/>
      <c r="GJ25" s="66"/>
      <c r="GK25" s="66"/>
      <c r="GL25" s="66"/>
      <c r="GM25" s="66"/>
      <c r="GN25" s="66"/>
      <c r="GO25" s="66"/>
      <c r="GP25" s="66"/>
      <c r="GQ25" s="66"/>
      <c r="GR25" s="66"/>
      <c r="GS25" s="66"/>
      <c r="GT25" s="66"/>
      <c r="GU25" s="66"/>
      <c r="GV25" s="66"/>
      <c r="GW25" s="66"/>
      <c r="GX25" s="66"/>
      <c r="GY25" s="66"/>
      <c r="GZ25" s="66"/>
      <c r="HA25" s="66"/>
      <c r="HB25" s="66"/>
      <c r="HC25" s="66"/>
      <c r="HD25" s="66"/>
      <c r="HE25" s="66"/>
      <c r="HF25" s="66"/>
      <c r="HG25" s="66"/>
      <c r="HH25" s="66"/>
      <c r="HI25" s="66"/>
      <c r="HJ25" s="66"/>
      <c r="HK25" s="66"/>
      <c r="HL25" s="66"/>
      <c r="HM25" s="66"/>
      <c r="HN25" s="66"/>
      <c r="HO25" s="66"/>
      <c r="HP25" s="66"/>
      <c r="HQ25" s="66"/>
      <c r="HR25" s="66"/>
      <c r="HS25" s="66"/>
      <c r="HT25" s="66"/>
      <c r="HU25" s="66"/>
      <c r="HV25" s="66"/>
      <c r="HW25" s="66"/>
      <c r="HX25" s="66"/>
      <c r="HY25" s="66"/>
      <c r="HZ25" s="66"/>
      <c r="IA25" s="66"/>
      <c r="IB25" s="66"/>
      <c r="IC25" s="66"/>
      <c r="ID25" s="66"/>
      <c r="IE25" s="66"/>
      <c r="IF25" s="66"/>
      <c r="IG25" s="66"/>
      <c r="IH25" s="66"/>
      <c r="II25" s="66"/>
      <c r="IJ25" s="66"/>
      <c r="IK25" s="66"/>
      <c r="IL25" s="66"/>
      <c r="IM25" s="66"/>
      <c r="IN25" s="66"/>
      <c r="IO25" s="66"/>
      <c r="IP25" s="66"/>
      <c r="IQ25" s="66"/>
      <c r="IR25" s="66"/>
      <c r="IS25" s="66"/>
      <c r="IT25" s="66"/>
      <c r="IU25" s="66"/>
      <c r="IV25" s="66"/>
      <c r="IW25" s="66"/>
      <c r="IX25" s="66"/>
      <c r="IY25" s="66"/>
      <c r="IZ25" s="66"/>
      <c r="JA25" s="66"/>
      <c r="JB25" s="66"/>
      <c r="JC25" s="66"/>
      <c r="JD25" s="66"/>
      <c r="JE25" s="66"/>
      <c r="JF25" s="66"/>
      <c r="JG25" s="66"/>
      <c r="JH25" s="66"/>
      <c r="JI25" s="66"/>
      <c r="JJ25" s="66"/>
      <c r="JK25" s="66"/>
      <c r="JL25" s="66"/>
      <c r="JM25" s="66"/>
      <c r="JN25" s="66"/>
      <c r="JO25" s="66"/>
      <c r="JP25" s="66"/>
      <c r="JQ25" s="66"/>
      <c r="JR25" s="66"/>
      <c r="JS25" s="66"/>
      <c r="JT25" s="66"/>
      <c r="JU25" s="66"/>
      <c r="JV25" s="66"/>
      <c r="JW25" s="66"/>
      <c r="JX25" s="66"/>
      <c r="JY25" s="66"/>
      <c r="JZ25" s="66"/>
      <c r="KA25" s="66"/>
      <c r="KB25" s="66"/>
      <c r="KC25" s="66"/>
      <c r="KD25" s="66"/>
      <c r="KE25" s="66"/>
      <c r="KF25" s="66"/>
      <c r="KG25" s="66"/>
      <c r="KH25" s="66"/>
      <c r="KI25" s="66"/>
      <c r="KJ25" s="66"/>
      <c r="KK25" s="66"/>
      <c r="KL25" s="66"/>
      <c r="KM25" s="66"/>
      <c r="KN25" s="66"/>
      <c r="KO25" s="66"/>
      <c r="KP25" s="66"/>
      <c r="KQ25" s="66"/>
      <c r="KR25" s="66"/>
      <c r="KS25" s="66"/>
      <c r="KT25" s="66"/>
      <c r="KU25" s="66"/>
      <c r="KV25" s="66"/>
      <c r="KW25" s="66"/>
      <c r="KX25" s="66"/>
      <c r="KY25" s="66"/>
      <c r="KZ25" s="66"/>
      <c r="LA25" s="66"/>
      <c r="LB25" s="66"/>
      <c r="LC25" s="66"/>
      <c r="LD25" s="66"/>
      <c r="LE25" s="66"/>
      <c r="LF25" s="66"/>
      <c r="LG25" s="66"/>
      <c r="LH25" s="66"/>
      <c r="LI25" s="66"/>
      <c r="LJ25" s="66"/>
      <c r="LK25" s="66"/>
      <c r="LL25" s="66"/>
      <c r="LM25" s="66"/>
      <c r="LN25" s="66"/>
      <c r="LO25" s="66"/>
      <c r="LP25" s="66"/>
      <c r="LQ25" s="66"/>
      <c r="LR25" s="66"/>
      <c r="LS25" s="66"/>
      <c r="LT25" s="66"/>
      <c r="LU25" s="66"/>
      <c r="LV25" s="66"/>
      <c r="LW25" s="66"/>
      <c r="LX25" s="66"/>
      <c r="LY25" s="66"/>
      <c r="LZ25" s="66"/>
      <c r="MA25" s="66"/>
      <c r="MB25" s="66"/>
      <c r="MC25" s="66"/>
      <c r="MD25" s="66"/>
      <c r="ME25" s="66"/>
      <c r="MF25" s="66"/>
      <c r="MG25" s="66"/>
      <c r="MH25" s="66"/>
      <c r="MI25" s="66"/>
      <c r="MJ25" s="66"/>
      <c r="MK25" s="66"/>
      <c r="ML25" s="66"/>
      <c r="MM25" s="66"/>
      <c r="MN25" s="66"/>
      <c r="MO25" s="66"/>
      <c r="MP25" s="66"/>
      <c r="MQ25" s="66"/>
      <c r="MR25" s="66"/>
      <c r="MS25" s="66"/>
      <c r="MT25" s="66"/>
      <c r="MU25" s="66"/>
      <c r="MV25" s="66"/>
      <c r="MW25" s="66"/>
      <c r="MX25" s="66"/>
      <c r="MY25" s="66"/>
      <c r="MZ25" s="66"/>
      <c r="NA25" s="66"/>
      <c r="NB25" s="66"/>
      <c r="NC25" s="66"/>
      <c r="ND25" s="66"/>
      <c r="NE25" s="66"/>
      <c r="NF25" s="66"/>
      <c r="NG25" s="66"/>
      <c r="NH25" s="66"/>
      <c r="NI25" s="66"/>
      <c r="NJ25" s="66"/>
      <c r="NK25" s="66"/>
      <c r="NL25" s="66"/>
      <c r="NM25" s="66"/>
      <c r="NN25" s="66"/>
      <c r="NO25" s="66"/>
      <c r="NP25" s="66"/>
      <c r="NQ25" s="66"/>
      <c r="NR25" s="66"/>
      <c r="NS25" s="66"/>
      <c r="NT25" s="66"/>
      <c r="NU25" s="66"/>
      <c r="NV25" s="66"/>
      <c r="NW25" s="66"/>
      <c r="NX25" s="66"/>
      <c r="NY25" s="66"/>
      <c r="NZ25" s="66"/>
      <c r="OA25" s="66"/>
      <c r="OB25" s="66"/>
      <c r="OC25" s="66"/>
      <c r="OD25" s="66"/>
      <c r="OE25" s="66"/>
      <c r="OF25" s="66"/>
      <c r="OG25" s="66"/>
      <c r="OH25" s="66"/>
      <c r="OI25" s="66"/>
      <c r="OJ25" s="66"/>
      <c r="OK25" s="66"/>
      <c r="OL25" s="66"/>
      <c r="OM25" s="66"/>
      <c r="ON25" s="66"/>
      <c r="OO25" s="66"/>
      <c r="OP25" s="66"/>
      <c r="OQ25" s="66"/>
      <c r="OR25" s="66"/>
      <c r="OS25" s="66"/>
      <c r="OT25" s="66"/>
      <c r="OU25" s="66"/>
      <c r="OV25" s="66"/>
      <c r="OW25" s="66"/>
      <c r="OX25" s="66"/>
      <c r="OY25" s="66"/>
      <c r="OZ25" s="66"/>
      <c r="PA25" s="66"/>
      <c r="PB25" s="66"/>
      <c r="PC25" s="66"/>
      <c r="PD25" s="66"/>
      <c r="PE25" s="66"/>
      <c r="PF25" s="66"/>
      <c r="PG25" s="66"/>
      <c r="PH25" s="66"/>
      <c r="PI25" s="66"/>
      <c r="PJ25" s="66"/>
      <c r="PK25" s="66"/>
      <c r="PL25" s="66"/>
      <c r="PM25" s="66"/>
      <c r="PN25" s="66"/>
      <c r="PO25" s="66"/>
      <c r="PP25" s="66"/>
      <c r="PQ25" s="66"/>
      <c r="PR25" s="66"/>
      <c r="PS25" s="66"/>
      <c r="PT25" s="66"/>
      <c r="PU25" s="66"/>
      <c r="PV25" s="66"/>
      <c r="PW25" s="66"/>
      <c r="PX25" s="66"/>
      <c r="PY25" s="66"/>
      <c r="PZ25" s="66"/>
      <c r="QA25" s="66"/>
      <c r="QB25" s="66"/>
      <c r="QC25" s="66"/>
      <c r="QD25" s="66"/>
      <c r="QE25" s="66"/>
      <c r="QF25" s="66"/>
      <c r="QG25" s="66"/>
      <c r="QH25" s="66"/>
      <c r="QI25" s="66"/>
      <c r="QJ25" s="66"/>
      <c r="QK25" s="66"/>
      <c r="QL25" s="66"/>
      <c r="QM25" s="66"/>
      <c r="QN25" s="66"/>
      <c r="QO25" s="66"/>
      <c r="QP25" s="66"/>
      <c r="QQ25" s="66"/>
      <c r="QR25" s="66"/>
      <c r="QS25" s="66"/>
      <c r="QT25" s="66"/>
      <c r="QU25" s="66"/>
      <c r="QV25" s="66"/>
      <c r="QW25" s="66"/>
      <c r="QX25" s="66"/>
      <c r="QY25" s="66"/>
      <c r="QZ25" s="66"/>
      <c r="RA25" s="66"/>
      <c r="RB25" s="66"/>
      <c r="RC25" s="66"/>
      <c r="RD25" s="66"/>
      <c r="RE25" s="66"/>
      <c r="RF25" s="66"/>
      <c r="RG25" s="66"/>
      <c r="RH25" s="66"/>
      <c r="RI25" s="66"/>
      <c r="RJ25" s="66"/>
      <c r="RK25" s="66"/>
      <c r="RL25" s="66"/>
      <c r="RM25" s="66"/>
      <c r="RN25" s="66"/>
      <c r="RO25" s="66"/>
      <c r="RP25" s="66"/>
      <c r="RQ25" s="66"/>
      <c r="RR25" s="66"/>
      <c r="RS25" s="66"/>
      <c r="RT25" s="66"/>
      <c r="RU25" s="66"/>
      <c r="RV25" s="66"/>
      <c r="RW25" s="66"/>
      <c r="RX25" s="66"/>
      <c r="RY25" s="66"/>
      <c r="RZ25" s="66"/>
      <c r="SA25" s="66"/>
      <c r="SB25" s="66"/>
      <c r="SC25" s="66"/>
      <c r="SD25" s="66"/>
      <c r="SE25" s="66"/>
      <c r="SF25" s="66"/>
      <c r="SG25" s="66"/>
      <c r="SH25" s="66"/>
      <c r="SI25" s="66"/>
      <c r="SJ25" s="66"/>
      <c r="SK25" s="66"/>
      <c r="SL25" s="66"/>
      <c r="SM25" s="66"/>
      <c r="SN25" s="66"/>
      <c r="SO25" s="66"/>
      <c r="SP25" s="66"/>
      <c r="SQ25" s="66"/>
      <c r="SR25" s="66"/>
      <c r="SS25" s="66"/>
      <c r="ST25" s="66"/>
      <c r="SU25" s="66"/>
      <c r="SV25" s="66"/>
      <c r="SW25" s="66"/>
      <c r="SX25" s="66"/>
      <c r="SY25" s="66"/>
      <c r="SZ25" s="66"/>
      <c r="TA25" s="66"/>
      <c r="TB25" s="66"/>
      <c r="TC25" s="66"/>
      <c r="TD25" s="66"/>
      <c r="TE25" s="66"/>
      <c r="TF25" s="66"/>
      <c r="TG25" s="66"/>
      <c r="TH25" s="66"/>
      <c r="TI25" s="66"/>
      <c r="TJ25" s="66"/>
      <c r="TK25" s="66"/>
      <c r="TL25" s="66"/>
      <c r="TM25" s="66"/>
      <c r="TN25" s="66"/>
      <c r="TO25" s="66"/>
      <c r="TP25" s="66"/>
      <c r="TQ25" s="66"/>
      <c r="TR25" s="66"/>
      <c r="TS25" s="66"/>
      <c r="TT25" s="66"/>
      <c r="TU25" s="66"/>
      <c r="TV25" s="66"/>
      <c r="TW25" s="66"/>
      <c r="TX25" s="66"/>
      <c r="TY25" s="66"/>
      <c r="TZ25" s="66"/>
      <c r="UA25" s="66"/>
      <c r="UB25" s="66"/>
      <c r="UC25" s="66"/>
      <c r="UD25" s="66"/>
      <c r="UE25" s="66"/>
      <c r="UF25" s="66"/>
      <c r="UG25" s="66"/>
      <c r="UH25" s="66"/>
      <c r="UI25" s="66"/>
      <c r="UJ25" s="66"/>
      <c r="UK25" s="66"/>
      <c r="UL25" s="66"/>
      <c r="UM25" s="66"/>
      <c r="UN25" s="66"/>
      <c r="UO25" s="66"/>
      <c r="UP25" s="66"/>
      <c r="UQ25" s="66"/>
      <c r="UR25" s="66"/>
      <c r="US25" s="66"/>
      <c r="UT25" s="66"/>
      <c r="UU25" s="66"/>
      <c r="UV25" s="66"/>
      <c r="UW25" s="66"/>
      <c r="UX25" s="66"/>
      <c r="UY25" s="66"/>
      <c r="UZ25" s="66"/>
      <c r="VA25" s="66"/>
      <c r="VB25" s="66"/>
      <c r="VC25" s="66"/>
      <c r="VD25" s="66"/>
      <c r="VE25" s="66"/>
      <c r="VF25" s="66"/>
      <c r="VG25" s="66"/>
      <c r="VH25" s="66"/>
      <c r="VI25" s="66"/>
      <c r="VJ25" s="66"/>
      <c r="VK25" s="66"/>
      <c r="VL25" s="66"/>
      <c r="VM25" s="66"/>
      <c r="VN25" s="66"/>
      <c r="VO25" s="66"/>
      <c r="VP25" s="66"/>
      <c r="VQ25" s="66"/>
      <c r="VR25" s="66"/>
      <c r="VS25" s="66"/>
      <c r="VT25" s="66"/>
      <c r="VU25" s="66"/>
      <c r="VV25" s="66"/>
      <c r="VW25" s="66"/>
      <c r="VX25" s="66"/>
      <c r="VY25" s="66"/>
      <c r="VZ25" s="66"/>
      <c r="WA25" s="66"/>
      <c r="WB25" s="66"/>
      <c r="WC25" s="66"/>
      <c r="WD25" s="66"/>
      <c r="WE25" s="66"/>
      <c r="WF25" s="66"/>
      <c r="WG25" s="66"/>
      <c r="WH25" s="66"/>
      <c r="WI25" s="66"/>
      <c r="WJ25" s="66"/>
      <c r="WK25" s="66"/>
      <c r="WL25" s="66"/>
      <c r="WM25" s="66"/>
      <c r="WN25" s="66"/>
      <c r="WO25" s="66"/>
      <c r="WP25" s="66"/>
      <c r="WQ25" s="66"/>
      <c r="WR25" s="66"/>
      <c r="WS25" s="66"/>
      <c r="WT25" s="66"/>
      <c r="WU25" s="66"/>
      <c r="WV25" s="66"/>
      <c r="WW25" s="66"/>
      <c r="WX25" s="66"/>
      <c r="WY25" s="66"/>
      <c r="WZ25" s="66"/>
      <c r="XA25" s="66"/>
      <c r="XB25" s="66"/>
      <c r="XC25" s="66"/>
      <c r="XD25" s="66"/>
      <c r="XE25" s="66"/>
      <c r="XF25" s="66"/>
      <c r="XG25" s="66"/>
      <c r="XH25" s="66"/>
      <c r="XI25" s="66"/>
      <c r="XJ25" s="66"/>
      <c r="XK25" s="66"/>
      <c r="XL25" s="66"/>
      <c r="XM25" s="66"/>
      <c r="XN25" s="66"/>
      <c r="XO25" s="66"/>
      <c r="XP25" s="66"/>
      <c r="XQ25" s="66"/>
      <c r="XR25" s="66"/>
      <c r="XS25" s="66"/>
      <c r="XT25" s="66"/>
      <c r="XU25" s="66"/>
      <c r="XV25" s="66"/>
      <c r="XW25" s="66"/>
      <c r="XX25" s="66"/>
      <c r="XY25" s="66"/>
      <c r="XZ25" s="66"/>
      <c r="YA25" s="66"/>
      <c r="YB25" s="66"/>
      <c r="YC25" s="66"/>
      <c r="YD25" s="66"/>
      <c r="YE25" s="66"/>
      <c r="YF25" s="66"/>
      <c r="YG25" s="66"/>
      <c r="YH25" s="66"/>
      <c r="YI25" s="66"/>
      <c r="YJ25" s="66"/>
      <c r="YK25" s="66"/>
      <c r="YL25" s="66"/>
      <c r="YM25" s="66"/>
      <c r="YN25" s="66"/>
      <c r="YO25" s="66"/>
      <c r="YP25" s="66"/>
      <c r="YQ25" s="66"/>
      <c r="YR25" s="66"/>
      <c r="YS25" s="66"/>
      <c r="YT25" s="66"/>
      <c r="YU25" s="66"/>
      <c r="YV25" s="66"/>
      <c r="YW25" s="66"/>
      <c r="YX25" s="66"/>
      <c r="YY25" s="66"/>
      <c r="YZ25" s="66"/>
      <c r="ZA25" s="66"/>
      <c r="ZB25" s="66"/>
      <c r="ZC25" s="66"/>
      <c r="ZD25" s="66"/>
      <c r="ZE25" s="66"/>
      <c r="ZF25" s="66"/>
      <c r="ZG25" s="66"/>
      <c r="ZH25" s="66"/>
      <c r="ZI25" s="66"/>
      <c r="ZJ25" s="66"/>
      <c r="ZK25" s="66"/>
      <c r="ZL25" s="66"/>
      <c r="ZM25" s="66"/>
      <c r="ZN25" s="66"/>
      <c r="ZO25" s="66"/>
      <c r="ZP25" s="66"/>
      <c r="ZQ25" s="66"/>
      <c r="ZR25" s="66"/>
      <c r="ZS25" s="66"/>
      <c r="ZT25" s="66"/>
      <c r="ZU25" s="66"/>
      <c r="ZV25" s="66"/>
      <c r="ZW25" s="66"/>
      <c r="ZX25" s="66"/>
    </row>
    <row r="26" spans="1:700" s="20" customFormat="1" ht="15.75" x14ac:dyDescent="0.25">
      <c r="A26" s="125"/>
      <c r="B26" s="126"/>
      <c r="C26" s="126"/>
      <c r="D26" s="127"/>
      <c r="E26" s="128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  <c r="CH26" s="66"/>
      <c r="CI26" s="66"/>
      <c r="CJ26" s="66"/>
      <c r="CK26" s="66"/>
      <c r="CL26" s="66"/>
      <c r="CM26" s="66"/>
      <c r="CN26" s="66"/>
      <c r="CO26" s="66"/>
      <c r="CP26" s="66"/>
      <c r="CQ26" s="66"/>
      <c r="CR26" s="66"/>
      <c r="CS26" s="66"/>
      <c r="CT26" s="66"/>
      <c r="CU26" s="66"/>
      <c r="CV26" s="66"/>
      <c r="CW26" s="66"/>
      <c r="CX26" s="66"/>
      <c r="CY26" s="66"/>
      <c r="CZ26" s="66"/>
      <c r="DA26" s="66"/>
      <c r="DB26" s="66"/>
      <c r="DC26" s="66"/>
      <c r="DD26" s="66"/>
      <c r="DE26" s="66"/>
      <c r="DF26" s="66"/>
      <c r="DG26" s="66"/>
      <c r="DH26" s="66"/>
      <c r="DI26" s="66"/>
      <c r="DJ26" s="66"/>
      <c r="DK26" s="66"/>
      <c r="DL26" s="66"/>
      <c r="DM26" s="66"/>
      <c r="DN26" s="66"/>
      <c r="DO26" s="66"/>
      <c r="DP26" s="66"/>
      <c r="DQ26" s="66"/>
      <c r="DR26" s="66"/>
      <c r="DS26" s="66"/>
      <c r="DT26" s="66"/>
      <c r="DU26" s="66"/>
      <c r="DV26" s="66"/>
      <c r="DW26" s="66"/>
      <c r="DX26" s="66"/>
      <c r="DY26" s="66"/>
      <c r="DZ26" s="66"/>
      <c r="EA26" s="66"/>
      <c r="EB26" s="66"/>
      <c r="EC26" s="66"/>
      <c r="ED26" s="66"/>
      <c r="EE26" s="66"/>
      <c r="EF26" s="66"/>
      <c r="EG26" s="66"/>
      <c r="EH26" s="66"/>
      <c r="EI26" s="66"/>
      <c r="EJ26" s="66"/>
      <c r="EK26" s="66"/>
      <c r="EL26" s="66"/>
      <c r="EM26" s="66"/>
      <c r="EN26" s="66"/>
      <c r="EO26" s="66"/>
      <c r="EP26" s="66"/>
      <c r="EQ26" s="66"/>
      <c r="ER26" s="66"/>
      <c r="ES26" s="66"/>
      <c r="ET26" s="66"/>
      <c r="EU26" s="66"/>
      <c r="EV26" s="66"/>
      <c r="EW26" s="66"/>
      <c r="EX26" s="66"/>
      <c r="EY26" s="66"/>
      <c r="EZ26" s="66"/>
      <c r="FA26" s="66"/>
      <c r="FB26" s="66"/>
      <c r="FC26" s="66"/>
      <c r="FD26" s="66"/>
      <c r="FE26" s="66"/>
      <c r="FF26" s="66"/>
      <c r="FG26" s="66"/>
      <c r="FH26" s="66"/>
      <c r="FI26" s="66"/>
      <c r="FJ26" s="66"/>
      <c r="FK26" s="66"/>
      <c r="FL26" s="66"/>
      <c r="FM26" s="66"/>
      <c r="FN26" s="66"/>
      <c r="FO26" s="66"/>
      <c r="FP26" s="66"/>
      <c r="FQ26" s="66"/>
      <c r="FR26" s="66"/>
      <c r="FS26" s="66"/>
      <c r="FT26" s="66"/>
      <c r="FU26" s="66"/>
      <c r="FV26" s="66"/>
      <c r="FW26" s="66"/>
      <c r="FX26" s="66"/>
      <c r="FY26" s="66"/>
      <c r="FZ26" s="66"/>
      <c r="GA26" s="66"/>
      <c r="GB26" s="66"/>
      <c r="GC26" s="66"/>
      <c r="GD26" s="66"/>
      <c r="GE26" s="66"/>
      <c r="GF26" s="66"/>
      <c r="GG26" s="66"/>
      <c r="GH26" s="66"/>
      <c r="GI26" s="66"/>
      <c r="GJ26" s="66"/>
      <c r="GK26" s="66"/>
      <c r="GL26" s="66"/>
      <c r="GM26" s="66"/>
      <c r="GN26" s="66"/>
      <c r="GO26" s="66"/>
      <c r="GP26" s="66"/>
      <c r="GQ26" s="66"/>
      <c r="GR26" s="66"/>
      <c r="GS26" s="66"/>
      <c r="GT26" s="66"/>
      <c r="GU26" s="66"/>
      <c r="GV26" s="66"/>
      <c r="GW26" s="66"/>
      <c r="GX26" s="66"/>
      <c r="GY26" s="66"/>
      <c r="GZ26" s="66"/>
      <c r="HA26" s="66"/>
      <c r="HB26" s="66"/>
      <c r="HC26" s="66"/>
      <c r="HD26" s="66"/>
      <c r="HE26" s="66"/>
      <c r="HF26" s="66"/>
      <c r="HG26" s="66"/>
      <c r="HH26" s="66"/>
      <c r="HI26" s="66"/>
      <c r="HJ26" s="66"/>
      <c r="HK26" s="66"/>
      <c r="HL26" s="66"/>
      <c r="HM26" s="66"/>
      <c r="HN26" s="66"/>
      <c r="HO26" s="66"/>
      <c r="HP26" s="66"/>
      <c r="HQ26" s="66"/>
      <c r="HR26" s="66"/>
      <c r="HS26" s="66"/>
      <c r="HT26" s="66"/>
      <c r="HU26" s="66"/>
      <c r="HV26" s="66"/>
      <c r="HW26" s="66"/>
      <c r="HX26" s="66"/>
      <c r="HY26" s="66"/>
      <c r="HZ26" s="66"/>
      <c r="IA26" s="66"/>
      <c r="IB26" s="66"/>
      <c r="IC26" s="66"/>
      <c r="ID26" s="66"/>
      <c r="IE26" s="66"/>
      <c r="IF26" s="66"/>
      <c r="IG26" s="66"/>
      <c r="IH26" s="66"/>
      <c r="II26" s="66"/>
      <c r="IJ26" s="66"/>
      <c r="IK26" s="66"/>
      <c r="IL26" s="66"/>
      <c r="IM26" s="66"/>
      <c r="IN26" s="66"/>
      <c r="IO26" s="66"/>
      <c r="IP26" s="66"/>
      <c r="IQ26" s="66"/>
      <c r="IR26" s="66"/>
      <c r="IS26" s="66"/>
      <c r="IT26" s="66"/>
      <c r="IU26" s="66"/>
      <c r="IV26" s="66"/>
      <c r="IW26" s="66"/>
      <c r="IX26" s="66"/>
      <c r="IY26" s="66"/>
      <c r="IZ26" s="66"/>
      <c r="JA26" s="66"/>
      <c r="JB26" s="66"/>
      <c r="JC26" s="66"/>
      <c r="JD26" s="66"/>
      <c r="JE26" s="66"/>
      <c r="JF26" s="66"/>
      <c r="JG26" s="66"/>
      <c r="JH26" s="66"/>
      <c r="JI26" s="66"/>
      <c r="JJ26" s="66"/>
      <c r="JK26" s="66"/>
      <c r="JL26" s="66"/>
      <c r="JM26" s="66"/>
      <c r="JN26" s="66"/>
      <c r="JO26" s="66"/>
      <c r="JP26" s="66"/>
      <c r="JQ26" s="66"/>
      <c r="JR26" s="66"/>
      <c r="JS26" s="66"/>
      <c r="JT26" s="66"/>
      <c r="JU26" s="66"/>
      <c r="JV26" s="66"/>
      <c r="JW26" s="66"/>
      <c r="JX26" s="66"/>
      <c r="JY26" s="66"/>
      <c r="JZ26" s="66"/>
      <c r="KA26" s="66"/>
      <c r="KB26" s="66"/>
      <c r="KC26" s="66"/>
      <c r="KD26" s="66"/>
      <c r="KE26" s="66"/>
      <c r="KF26" s="66"/>
      <c r="KG26" s="66"/>
      <c r="KH26" s="66"/>
      <c r="KI26" s="66"/>
      <c r="KJ26" s="66"/>
      <c r="KK26" s="66"/>
      <c r="KL26" s="66"/>
      <c r="KM26" s="66"/>
      <c r="KN26" s="66"/>
      <c r="KO26" s="66"/>
      <c r="KP26" s="66"/>
      <c r="KQ26" s="66"/>
      <c r="KR26" s="66"/>
      <c r="KS26" s="66"/>
      <c r="KT26" s="66"/>
      <c r="KU26" s="66"/>
      <c r="KV26" s="66"/>
      <c r="KW26" s="66"/>
      <c r="KX26" s="66"/>
      <c r="KY26" s="66"/>
      <c r="KZ26" s="66"/>
      <c r="LA26" s="66"/>
      <c r="LB26" s="66"/>
      <c r="LC26" s="66"/>
      <c r="LD26" s="66"/>
      <c r="LE26" s="66"/>
      <c r="LF26" s="66"/>
      <c r="LG26" s="66"/>
      <c r="LH26" s="66"/>
      <c r="LI26" s="66"/>
      <c r="LJ26" s="66"/>
      <c r="LK26" s="66"/>
      <c r="LL26" s="66"/>
      <c r="LM26" s="66"/>
      <c r="LN26" s="66"/>
      <c r="LO26" s="66"/>
      <c r="LP26" s="66"/>
      <c r="LQ26" s="66"/>
      <c r="LR26" s="66"/>
      <c r="LS26" s="66"/>
      <c r="LT26" s="66"/>
      <c r="LU26" s="66"/>
      <c r="LV26" s="66"/>
      <c r="LW26" s="66"/>
      <c r="LX26" s="66"/>
      <c r="LY26" s="66"/>
      <c r="LZ26" s="66"/>
      <c r="MA26" s="66"/>
      <c r="MB26" s="66"/>
      <c r="MC26" s="66"/>
      <c r="MD26" s="66"/>
      <c r="ME26" s="66"/>
      <c r="MF26" s="66"/>
      <c r="MG26" s="66"/>
      <c r="MH26" s="66"/>
      <c r="MI26" s="66"/>
      <c r="MJ26" s="66"/>
      <c r="MK26" s="66"/>
      <c r="ML26" s="66"/>
      <c r="MM26" s="66"/>
      <c r="MN26" s="66"/>
      <c r="MO26" s="66"/>
      <c r="MP26" s="66"/>
      <c r="MQ26" s="66"/>
      <c r="MR26" s="66"/>
      <c r="MS26" s="66"/>
      <c r="MT26" s="66"/>
      <c r="MU26" s="66"/>
      <c r="MV26" s="66"/>
      <c r="MW26" s="66"/>
      <c r="MX26" s="66"/>
      <c r="MY26" s="66"/>
      <c r="MZ26" s="66"/>
      <c r="NA26" s="66"/>
      <c r="NB26" s="66"/>
      <c r="NC26" s="66"/>
      <c r="ND26" s="66"/>
      <c r="NE26" s="66"/>
      <c r="NF26" s="66"/>
      <c r="NG26" s="66"/>
      <c r="NH26" s="66"/>
      <c r="NI26" s="66"/>
      <c r="NJ26" s="66"/>
      <c r="NK26" s="66"/>
      <c r="NL26" s="66"/>
      <c r="NM26" s="66"/>
      <c r="NN26" s="66"/>
      <c r="NO26" s="66"/>
      <c r="NP26" s="66"/>
      <c r="NQ26" s="66"/>
      <c r="NR26" s="66"/>
      <c r="NS26" s="66"/>
      <c r="NT26" s="66"/>
      <c r="NU26" s="66"/>
      <c r="NV26" s="66"/>
      <c r="NW26" s="66"/>
      <c r="NX26" s="66"/>
      <c r="NY26" s="66"/>
      <c r="NZ26" s="66"/>
      <c r="OA26" s="66"/>
      <c r="OB26" s="66"/>
      <c r="OC26" s="66"/>
      <c r="OD26" s="66"/>
      <c r="OE26" s="66"/>
      <c r="OF26" s="66"/>
      <c r="OG26" s="66"/>
      <c r="OH26" s="66"/>
      <c r="OI26" s="66"/>
      <c r="OJ26" s="66"/>
      <c r="OK26" s="66"/>
      <c r="OL26" s="66"/>
      <c r="OM26" s="66"/>
      <c r="ON26" s="66"/>
      <c r="OO26" s="66"/>
      <c r="OP26" s="66"/>
      <c r="OQ26" s="66"/>
      <c r="OR26" s="66"/>
      <c r="OS26" s="66"/>
      <c r="OT26" s="66"/>
      <c r="OU26" s="66"/>
      <c r="OV26" s="66"/>
      <c r="OW26" s="66"/>
      <c r="OX26" s="66"/>
      <c r="OY26" s="66"/>
      <c r="OZ26" s="66"/>
      <c r="PA26" s="66"/>
      <c r="PB26" s="66"/>
      <c r="PC26" s="66"/>
      <c r="PD26" s="66"/>
      <c r="PE26" s="66"/>
      <c r="PF26" s="66"/>
      <c r="PG26" s="66"/>
      <c r="PH26" s="66"/>
      <c r="PI26" s="66"/>
      <c r="PJ26" s="66"/>
      <c r="PK26" s="66"/>
      <c r="PL26" s="66"/>
      <c r="PM26" s="66"/>
      <c r="PN26" s="66"/>
      <c r="PO26" s="66"/>
      <c r="PP26" s="66"/>
      <c r="PQ26" s="66"/>
      <c r="PR26" s="66"/>
      <c r="PS26" s="66"/>
      <c r="PT26" s="66"/>
      <c r="PU26" s="66"/>
      <c r="PV26" s="66"/>
      <c r="PW26" s="66"/>
      <c r="PX26" s="66"/>
      <c r="PY26" s="66"/>
      <c r="PZ26" s="66"/>
      <c r="QA26" s="66"/>
      <c r="QB26" s="66"/>
      <c r="QC26" s="66"/>
      <c r="QD26" s="66"/>
      <c r="QE26" s="66"/>
      <c r="QF26" s="66"/>
      <c r="QG26" s="66"/>
      <c r="QH26" s="66"/>
      <c r="QI26" s="66"/>
      <c r="QJ26" s="66"/>
      <c r="QK26" s="66"/>
      <c r="QL26" s="66"/>
      <c r="QM26" s="66"/>
      <c r="QN26" s="66"/>
      <c r="QO26" s="66"/>
      <c r="QP26" s="66"/>
      <c r="QQ26" s="66"/>
      <c r="QR26" s="66"/>
      <c r="QS26" s="66"/>
      <c r="QT26" s="66"/>
      <c r="QU26" s="66"/>
      <c r="QV26" s="66"/>
      <c r="QW26" s="66"/>
      <c r="QX26" s="66"/>
      <c r="QY26" s="66"/>
      <c r="QZ26" s="66"/>
      <c r="RA26" s="66"/>
      <c r="RB26" s="66"/>
      <c r="RC26" s="66"/>
      <c r="RD26" s="66"/>
      <c r="RE26" s="66"/>
      <c r="RF26" s="66"/>
      <c r="RG26" s="66"/>
      <c r="RH26" s="66"/>
      <c r="RI26" s="66"/>
      <c r="RJ26" s="66"/>
      <c r="RK26" s="66"/>
      <c r="RL26" s="66"/>
      <c r="RM26" s="66"/>
      <c r="RN26" s="66"/>
      <c r="RO26" s="66"/>
      <c r="RP26" s="66"/>
      <c r="RQ26" s="66"/>
      <c r="RR26" s="66"/>
      <c r="RS26" s="66"/>
      <c r="RT26" s="66"/>
      <c r="RU26" s="66"/>
      <c r="RV26" s="66"/>
      <c r="RW26" s="66"/>
      <c r="RX26" s="66"/>
      <c r="RY26" s="66"/>
      <c r="RZ26" s="66"/>
      <c r="SA26" s="66"/>
      <c r="SB26" s="66"/>
      <c r="SC26" s="66"/>
      <c r="SD26" s="66"/>
      <c r="SE26" s="66"/>
      <c r="SF26" s="66"/>
      <c r="SG26" s="66"/>
      <c r="SH26" s="66"/>
      <c r="SI26" s="66"/>
      <c r="SJ26" s="66"/>
      <c r="SK26" s="66"/>
      <c r="SL26" s="66"/>
      <c r="SM26" s="66"/>
      <c r="SN26" s="66"/>
      <c r="SO26" s="66"/>
      <c r="SP26" s="66"/>
      <c r="SQ26" s="66"/>
      <c r="SR26" s="66"/>
      <c r="SS26" s="66"/>
      <c r="ST26" s="66"/>
      <c r="SU26" s="66"/>
      <c r="SV26" s="66"/>
      <c r="SW26" s="66"/>
      <c r="SX26" s="66"/>
      <c r="SY26" s="66"/>
      <c r="SZ26" s="66"/>
      <c r="TA26" s="66"/>
      <c r="TB26" s="66"/>
      <c r="TC26" s="66"/>
      <c r="TD26" s="66"/>
      <c r="TE26" s="66"/>
      <c r="TF26" s="66"/>
      <c r="TG26" s="66"/>
      <c r="TH26" s="66"/>
      <c r="TI26" s="66"/>
      <c r="TJ26" s="66"/>
      <c r="TK26" s="66"/>
      <c r="TL26" s="66"/>
      <c r="TM26" s="66"/>
      <c r="TN26" s="66"/>
      <c r="TO26" s="66"/>
      <c r="TP26" s="66"/>
      <c r="TQ26" s="66"/>
      <c r="TR26" s="66"/>
      <c r="TS26" s="66"/>
      <c r="TT26" s="66"/>
      <c r="TU26" s="66"/>
      <c r="TV26" s="66"/>
      <c r="TW26" s="66"/>
      <c r="TX26" s="66"/>
      <c r="TY26" s="66"/>
      <c r="TZ26" s="66"/>
      <c r="UA26" s="66"/>
      <c r="UB26" s="66"/>
      <c r="UC26" s="66"/>
      <c r="UD26" s="66"/>
      <c r="UE26" s="66"/>
      <c r="UF26" s="66"/>
      <c r="UG26" s="66"/>
      <c r="UH26" s="66"/>
      <c r="UI26" s="66"/>
      <c r="UJ26" s="66"/>
      <c r="UK26" s="66"/>
      <c r="UL26" s="66"/>
      <c r="UM26" s="66"/>
      <c r="UN26" s="66"/>
      <c r="UO26" s="66"/>
      <c r="UP26" s="66"/>
      <c r="UQ26" s="66"/>
      <c r="UR26" s="66"/>
      <c r="US26" s="66"/>
      <c r="UT26" s="66"/>
      <c r="UU26" s="66"/>
      <c r="UV26" s="66"/>
      <c r="UW26" s="66"/>
      <c r="UX26" s="66"/>
      <c r="UY26" s="66"/>
      <c r="UZ26" s="66"/>
      <c r="VA26" s="66"/>
      <c r="VB26" s="66"/>
      <c r="VC26" s="66"/>
      <c r="VD26" s="66"/>
      <c r="VE26" s="66"/>
      <c r="VF26" s="66"/>
      <c r="VG26" s="66"/>
      <c r="VH26" s="66"/>
      <c r="VI26" s="66"/>
      <c r="VJ26" s="66"/>
      <c r="VK26" s="66"/>
      <c r="VL26" s="66"/>
      <c r="VM26" s="66"/>
      <c r="VN26" s="66"/>
      <c r="VO26" s="66"/>
      <c r="VP26" s="66"/>
      <c r="VQ26" s="66"/>
      <c r="VR26" s="66"/>
      <c r="VS26" s="66"/>
      <c r="VT26" s="66"/>
      <c r="VU26" s="66"/>
      <c r="VV26" s="66"/>
      <c r="VW26" s="66"/>
      <c r="VX26" s="66"/>
      <c r="VY26" s="66"/>
      <c r="VZ26" s="66"/>
      <c r="WA26" s="66"/>
      <c r="WB26" s="66"/>
      <c r="WC26" s="66"/>
      <c r="WD26" s="66"/>
      <c r="WE26" s="66"/>
      <c r="WF26" s="66"/>
      <c r="WG26" s="66"/>
      <c r="WH26" s="66"/>
      <c r="WI26" s="66"/>
      <c r="WJ26" s="66"/>
      <c r="WK26" s="66"/>
      <c r="WL26" s="66"/>
      <c r="WM26" s="66"/>
      <c r="WN26" s="66"/>
      <c r="WO26" s="66"/>
      <c r="WP26" s="66"/>
      <c r="WQ26" s="66"/>
      <c r="WR26" s="66"/>
      <c r="WS26" s="66"/>
      <c r="WT26" s="66"/>
      <c r="WU26" s="66"/>
      <c r="WV26" s="66"/>
      <c r="WW26" s="66"/>
      <c r="WX26" s="66"/>
      <c r="WY26" s="66"/>
      <c r="WZ26" s="66"/>
      <c r="XA26" s="66"/>
      <c r="XB26" s="66"/>
      <c r="XC26" s="66"/>
      <c r="XD26" s="66"/>
      <c r="XE26" s="66"/>
      <c r="XF26" s="66"/>
      <c r="XG26" s="66"/>
      <c r="XH26" s="66"/>
      <c r="XI26" s="66"/>
      <c r="XJ26" s="66"/>
      <c r="XK26" s="66"/>
      <c r="XL26" s="66"/>
      <c r="XM26" s="66"/>
      <c r="XN26" s="66"/>
      <c r="XO26" s="66"/>
      <c r="XP26" s="66"/>
      <c r="XQ26" s="66"/>
      <c r="XR26" s="66"/>
      <c r="XS26" s="66"/>
      <c r="XT26" s="66"/>
      <c r="XU26" s="66"/>
      <c r="XV26" s="66"/>
      <c r="XW26" s="66"/>
      <c r="XX26" s="66"/>
      <c r="XY26" s="66"/>
      <c r="XZ26" s="66"/>
      <c r="YA26" s="66"/>
      <c r="YB26" s="66"/>
      <c r="YC26" s="66"/>
      <c r="YD26" s="66"/>
      <c r="YE26" s="66"/>
      <c r="YF26" s="66"/>
      <c r="YG26" s="66"/>
      <c r="YH26" s="66"/>
      <c r="YI26" s="66"/>
      <c r="YJ26" s="66"/>
      <c r="YK26" s="66"/>
      <c r="YL26" s="66"/>
      <c r="YM26" s="66"/>
      <c r="YN26" s="66"/>
      <c r="YO26" s="66"/>
      <c r="YP26" s="66"/>
      <c r="YQ26" s="66"/>
      <c r="YR26" s="66"/>
      <c r="YS26" s="66"/>
      <c r="YT26" s="66"/>
      <c r="YU26" s="66"/>
      <c r="YV26" s="66"/>
      <c r="YW26" s="66"/>
      <c r="YX26" s="66"/>
      <c r="YY26" s="66"/>
      <c r="YZ26" s="66"/>
      <c r="ZA26" s="66"/>
      <c r="ZB26" s="66"/>
      <c r="ZC26" s="66"/>
      <c r="ZD26" s="66"/>
      <c r="ZE26" s="66"/>
      <c r="ZF26" s="66"/>
      <c r="ZG26" s="66"/>
      <c r="ZH26" s="66"/>
      <c r="ZI26" s="66"/>
      <c r="ZJ26" s="66"/>
      <c r="ZK26" s="66"/>
      <c r="ZL26" s="66"/>
      <c r="ZM26" s="66"/>
      <c r="ZN26" s="66"/>
      <c r="ZO26" s="66"/>
      <c r="ZP26" s="66"/>
      <c r="ZQ26" s="66"/>
      <c r="ZR26" s="66"/>
      <c r="ZS26" s="66"/>
      <c r="ZT26" s="66"/>
      <c r="ZU26" s="66"/>
      <c r="ZV26" s="66"/>
      <c r="ZW26" s="66"/>
      <c r="ZX26" s="66"/>
    </row>
    <row r="27" spans="1:700" s="20" customFormat="1" ht="15.75" x14ac:dyDescent="0.25">
      <c r="A27" s="72"/>
      <c r="B27" s="73"/>
      <c r="C27" s="73"/>
      <c r="D27" s="108"/>
      <c r="E27" s="129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  <c r="CH27" s="66"/>
      <c r="CI27" s="66"/>
      <c r="CJ27" s="66"/>
      <c r="CK27" s="66"/>
      <c r="CL27" s="66"/>
      <c r="CM27" s="66"/>
      <c r="CN27" s="66"/>
      <c r="CO27" s="66"/>
      <c r="CP27" s="66"/>
      <c r="CQ27" s="66"/>
      <c r="CR27" s="66"/>
      <c r="CS27" s="66"/>
      <c r="CT27" s="66"/>
      <c r="CU27" s="66"/>
      <c r="CV27" s="66"/>
      <c r="CW27" s="66"/>
      <c r="CX27" s="66"/>
      <c r="CY27" s="66"/>
      <c r="CZ27" s="66"/>
      <c r="DA27" s="66"/>
      <c r="DB27" s="66"/>
      <c r="DC27" s="66"/>
      <c r="DD27" s="66"/>
      <c r="DE27" s="66"/>
      <c r="DF27" s="66"/>
      <c r="DG27" s="66"/>
      <c r="DH27" s="66"/>
      <c r="DI27" s="66"/>
      <c r="DJ27" s="66"/>
      <c r="DK27" s="66"/>
      <c r="DL27" s="66"/>
      <c r="DM27" s="66"/>
      <c r="DN27" s="66"/>
      <c r="DO27" s="66"/>
      <c r="DP27" s="66"/>
      <c r="DQ27" s="66"/>
      <c r="DR27" s="66"/>
      <c r="DS27" s="66"/>
      <c r="DT27" s="66"/>
      <c r="DU27" s="66"/>
      <c r="DV27" s="66"/>
      <c r="DW27" s="66"/>
      <c r="DX27" s="66"/>
      <c r="DY27" s="66"/>
      <c r="DZ27" s="66"/>
      <c r="EA27" s="66"/>
      <c r="EB27" s="66"/>
      <c r="EC27" s="66"/>
      <c r="ED27" s="66"/>
      <c r="EE27" s="66"/>
      <c r="EF27" s="66"/>
      <c r="EG27" s="66"/>
      <c r="EH27" s="66"/>
      <c r="EI27" s="66"/>
      <c r="EJ27" s="66"/>
      <c r="EK27" s="66"/>
      <c r="EL27" s="66"/>
      <c r="EM27" s="66"/>
      <c r="EN27" s="66"/>
      <c r="EO27" s="66"/>
      <c r="EP27" s="66"/>
      <c r="EQ27" s="66"/>
      <c r="ER27" s="66"/>
      <c r="ES27" s="66"/>
      <c r="ET27" s="66"/>
      <c r="EU27" s="66"/>
      <c r="EV27" s="66"/>
      <c r="EW27" s="66"/>
      <c r="EX27" s="66"/>
      <c r="EY27" s="66"/>
      <c r="EZ27" s="66"/>
      <c r="FA27" s="66"/>
      <c r="FB27" s="66"/>
      <c r="FC27" s="66"/>
      <c r="FD27" s="66"/>
      <c r="FE27" s="66"/>
      <c r="FF27" s="66"/>
      <c r="FG27" s="66"/>
      <c r="FH27" s="66"/>
      <c r="FI27" s="66"/>
      <c r="FJ27" s="66"/>
      <c r="FK27" s="66"/>
      <c r="FL27" s="66"/>
      <c r="FM27" s="66"/>
      <c r="FN27" s="66"/>
      <c r="FO27" s="66"/>
      <c r="FP27" s="66"/>
      <c r="FQ27" s="66"/>
      <c r="FR27" s="66"/>
      <c r="FS27" s="66"/>
      <c r="FT27" s="66"/>
      <c r="FU27" s="66"/>
      <c r="FV27" s="66"/>
      <c r="FW27" s="66"/>
      <c r="FX27" s="66"/>
      <c r="FY27" s="66"/>
      <c r="FZ27" s="66"/>
      <c r="GA27" s="66"/>
      <c r="GB27" s="66"/>
      <c r="GC27" s="66"/>
      <c r="GD27" s="66"/>
      <c r="GE27" s="66"/>
      <c r="GF27" s="66"/>
      <c r="GG27" s="66"/>
      <c r="GH27" s="66"/>
      <c r="GI27" s="66"/>
      <c r="GJ27" s="66"/>
      <c r="GK27" s="66"/>
      <c r="GL27" s="66"/>
      <c r="GM27" s="66"/>
      <c r="GN27" s="66"/>
      <c r="GO27" s="66"/>
      <c r="GP27" s="66"/>
      <c r="GQ27" s="66"/>
      <c r="GR27" s="66"/>
      <c r="GS27" s="66"/>
      <c r="GT27" s="66"/>
      <c r="GU27" s="66"/>
      <c r="GV27" s="66"/>
      <c r="GW27" s="66"/>
      <c r="GX27" s="66"/>
      <c r="GY27" s="66"/>
      <c r="GZ27" s="66"/>
      <c r="HA27" s="66"/>
      <c r="HB27" s="66"/>
      <c r="HC27" s="66"/>
      <c r="HD27" s="66"/>
      <c r="HE27" s="66"/>
      <c r="HF27" s="66"/>
      <c r="HG27" s="66"/>
      <c r="HH27" s="66"/>
      <c r="HI27" s="66"/>
      <c r="HJ27" s="66"/>
      <c r="HK27" s="66"/>
      <c r="HL27" s="66"/>
      <c r="HM27" s="66"/>
      <c r="HN27" s="66"/>
      <c r="HO27" s="66"/>
      <c r="HP27" s="66"/>
      <c r="HQ27" s="66"/>
      <c r="HR27" s="66"/>
      <c r="HS27" s="66"/>
      <c r="HT27" s="66"/>
      <c r="HU27" s="66"/>
      <c r="HV27" s="66"/>
      <c r="HW27" s="66"/>
      <c r="HX27" s="66"/>
      <c r="HY27" s="66"/>
      <c r="HZ27" s="66"/>
      <c r="IA27" s="66"/>
      <c r="IB27" s="66"/>
      <c r="IC27" s="66"/>
      <c r="ID27" s="66"/>
      <c r="IE27" s="66"/>
      <c r="IF27" s="66"/>
      <c r="IG27" s="66"/>
      <c r="IH27" s="66"/>
      <c r="II27" s="66"/>
      <c r="IJ27" s="66"/>
      <c r="IK27" s="66"/>
      <c r="IL27" s="66"/>
      <c r="IM27" s="66"/>
      <c r="IN27" s="66"/>
      <c r="IO27" s="66"/>
      <c r="IP27" s="66"/>
      <c r="IQ27" s="66"/>
      <c r="IR27" s="66"/>
      <c r="IS27" s="66"/>
      <c r="IT27" s="66"/>
      <c r="IU27" s="66"/>
      <c r="IV27" s="66"/>
      <c r="IW27" s="66"/>
      <c r="IX27" s="66"/>
      <c r="IY27" s="66"/>
      <c r="IZ27" s="66"/>
      <c r="JA27" s="66"/>
      <c r="JB27" s="66"/>
      <c r="JC27" s="66"/>
      <c r="JD27" s="66"/>
      <c r="JE27" s="66"/>
      <c r="JF27" s="66"/>
      <c r="JG27" s="66"/>
      <c r="JH27" s="66"/>
      <c r="JI27" s="66"/>
      <c r="JJ27" s="66"/>
      <c r="JK27" s="66"/>
      <c r="JL27" s="66"/>
      <c r="JM27" s="66"/>
      <c r="JN27" s="66"/>
      <c r="JO27" s="66"/>
      <c r="JP27" s="66"/>
      <c r="JQ27" s="66"/>
      <c r="JR27" s="66"/>
      <c r="JS27" s="66"/>
      <c r="JT27" s="66"/>
      <c r="JU27" s="66"/>
      <c r="JV27" s="66"/>
      <c r="JW27" s="66"/>
      <c r="JX27" s="66"/>
      <c r="JY27" s="66"/>
      <c r="JZ27" s="66"/>
      <c r="KA27" s="66"/>
      <c r="KB27" s="66"/>
      <c r="KC27" s="66"/>
      <c r="KD27" s="66"/>
      <c r="KE27" s="66"/>
      <c r="KF27" s="66"/>
      <c r="KG27" s="66"/>
      <c r="KH27" s="66"/>
      <c r="KI27" s="66"/>
      <c r="KJ27" s="66"/>
      <c r="KK27" s="66"/>
      <c r="KL27" s="66"/>
      <c r="KM27" s="66"/>
      <c r="KN27" s="66"/>
      <c r="KO27" s="66"/>
      <c r="KP27" s="66"/>
      <c r="KQ27" s="66"/>
      <c r="KR27" s="66"/>
      <c r="KS27" s="66"/>
      <c r="KT27" s="66"/>
      <c r="KU27" s="66"/>
      <c r="KV27" s="66"/>
      <c r="KW27" s="66"/>
      <c r="KX27" s="66"/>
      <c r="KY27" s="66"/>
      <c r="KZ27" s="66"/>
      <c r="LA27" s="66"/>
      <c r="LB27" s="66"/>
      <c r="LC27" s="66"/>
      <c r="LD27" s="66"/>
      <c r="LE27" s="66"/>
      <c r="LF27" s="66"/>
      <c r="LG27" s="66"/>
      <c r="LH27" s="66"/>
      <c r="LI27" s="66"/>
      <c r="LJ27" s="66"/>
      <c r="LK27" s="66"/>
      <c r="LL27" s="66"/>
      <c r="LM27" s="66"/>
      <c r="LN27" s="66"/>
      <c r="LO27" s="66"/>
      <c r="LP27" s="66"/>
      <c r="LQ27" s="66"/>
      <c r="LR27" s="66"/>
      <c r="LS27" s="66"/>
      <c r="LT27" s="66"/>
      <c r="LU27" s="66"/>
      <c r="LV27" s="66"/>
      <c r="LW27" s="66"/>
      <c r="LX27" s="66"/>
      <c r="LY27" s="66"/>
      <c r="LZ27" s="66"/>
      <c r="MA27" s="66"/>
      <c r="MB27" s="66"/>
      <c r="MC27" s="66"/>
      <c r="MD27" s="66"/>
      <c r="ME27" s="66"/>
      <c r="MF27" s="66"/>
      <c r="MG27" s="66"/>
      <c r="MH27" s="66"/>
      <c r="MI27" s="66"/>
      <c r="MJ27" s="66"/>
      <c r="MK27" s="66"/>
      <c r="ML27" s="66"/>
      <c r="MM27" s="66"/>
      <c r="MN27" s="66"/>
      <c r="MO27" s="66"/>
      <c r="MP27" s="66"/>
      <c r="MQ27" s="66"/>
      <c r="MR27" s="66"/>
      <c r="MS27" s="66"/>
      <c r="MT27" s="66"/>
      <c r="MU27" s="66"/>
      <c r="MV27" s="66"/>
      <c r="MW27" s="66"/>
      <c r="MX27" s="66"/>
      <c r="MY27" s="66"/>
      <c r="MZ27" s="66"/>
      <c r="NA27" s="66"/>
      <c r="NB27" s="66"/>
      <c r="NC27" s="66"/>
      <c r="ND27" s="66"/>
      <c r="NE27" s="66"/>
      <c r="NF27" s="66"/>
      <c r="NG27" s="66"/>
      <c r="NH27" s="66"/>
      <c r="NI27" s="66"/>
      <c r="NJ27" s="66"/>
      <c r="NK27" s="66"/>
      <c r="NL27" s="66"/>
      <c r="NM27" s="66"/>
      <c r="NN27" s="66"/>
      <c r="NO27" s="66"/>
      <c r="NP27" s="66"/>
      <c r="NQ27" s="66"/>
      <c r="NR27" s="66"/>
      <c r="NS27" s="66"/>
      <c r="NT27" s="66"/>
      <c r="NU27" s="66"/>
      <c r="NV27" s="66"/>
      <c r="NW27" s="66"/>
      <c r="NX27" s="66"/>
      <c r="NY27" s="66"/>
      <c r="NZ27" s="66"/>
      <c r="OA27" s="66"/>
      <c r="OB27" s="66"/>
      <c r="OC27" s="66"/>
      <c r="OD27" s="66"/>
      <c r="OE27" s="66"/>
      <c r="OF27" s="66"/>
      <c r="OG27" s="66"/>
      <c r="OH27" s="66"/>
      <c r="OI27" s="66"/>
      <c r="OJ27" s="66"/>
      <c r="OK27" s="66"/>
      <c r="OL27" s="66"/>
      <c r="OM27" s="66"/>
      <c r="ON27" s="66"/>
      <c r="OO27" s="66"/>
      <c r="OP27" s="66"/>
      <c r="OQ27" s="66"/>
      <c r="OR27" s="66"/>
      <c r="OS27" s="66"/>
      <c r="OT27" s="66"/>
      <c r="OU27" s="66"/>
      <c r="OV27" s="66"/>
      <c r="OW27" s="66"/>
      <c r="OX27" s="66"/>
      <c r="OY27" s="66"/>
      <c r="OZ27" s="66"/>
      <c r="PA27" s="66"/>
      <c r="PB27" s="66"/>
      <c r="PC27" s="66"/>
      <c r="PD27" s="66"/>
      <c r="PE27" s="66"/>
      <c r="PF27" s="66"/>
      <c r="PG27" s="66"/>
      <c r="PH27" s="66"/>
      <c r="PI27" s="66"/>
      <c r="PJ27" s="66"/>
      <c r="PK27" s="66"/>
      <c r="PL27" s="66"/>
      <c r="PM27" s="66"/>
      <c r="PN27" s="66"/>
      <c r="PO27" s="66"/>
      <c r="PP27" s="66"/>
      <c r="PQ27" s="66"/>
      <c r="PR27" s="66"/>
      <c r="PS27" s="66"/>
      <c r="PT27" s="66"/>
      <c r="PU27" s="66"/>
      <c r="PV27" s="66"/>
      <c r="PW27" s="66"/>
      <c r="PX27" s="66"/>
      <c r="PY27" s="66"/>
      <c r="PZ27" s="66"/>
      <c r="QA27" s="66"/>
      <c r="QB27" s="66"/>
      <c r="QC27" s="66"/>
      <c r="QD27" s="66"/>
      <c r="QE27" s="66"/>
      <c r="QF27" s="66"/>
      <c r="QG27" s="66"/>
      <c r="QH27" s="66"/>
      <c r="QI27" s="66"/>
      <c r="QJ27" s="66"/>
      <c r="QK27" s="66"/>
      <c r="QL27" s="66"/>
      <c r="QM27" s="66"/>
      <c r="QN27" s="66"/>
      <c r="QO27" s="66"/>
      <c r="QP27" s="66"/>
      <c r="QQ27" s="66"/>
      <c r="QR27" s="66"/>
      <c r="QS27" s="66"/>
      <c r="QT27" s="66"/>
      <c r="QU27" s="66"/>
      <c r="QV27" s="66"/>
      <c r="QW27" s="66"/>
      <c r="QX27" s="66"/>
      <c r="QY27" s="66"/>
      <c r="QZ27" s="66"/>
      <c r="RA27" s="66"/>
      <c r="RB27" s="66"/>
      <c r="RC27" s="66"/>
      <c r="RD27" s="66"/>
      <c r="RE27" s="66"/>
      <c r="RF27" s="66"/>
      <c r="RG27" s="66"/>
      <c r="RH27" s="66"/>
      <c r="RI27" s="66"/>
      <c r="RJ27" s="66"/>
      <c r="RK27" s="66"/>
      <c r="RL27" s="66"/>
      <c r="RM27" s="66"/>
      <c r="RN27" s="66"/>
      <c r="RO27" s="66"/>
      <c r="RP27" s="66"/>
      <c r="RQ27" s="66"/>
      <c r="RR27" s="66"/>
      <c r="RS27" s="66"/>
      <c r="RT27" s="66"/>
      <c r="RU27" s="66"/>
      <c r="RV27" s="66"/>
      <c r="RW27" s="66"/>
      <c r="RX27" s="66"/>
      <c r="RY27" s="66"/>
      <c r="RZ27" s="66"/>
      <c r="SA27" s="66"/>
      <c r="SB27" s="66"/>
      <c r="SC27" s="66"/>
      <c r="SD27" s="66"/>
      <c r="SE27" s="66"/>
      <c r="SF27" s="66"/>
      <c r="SG27" s="66"/>
      <c r="SH27" s="66"/>
      <c r="SI27" s="66"/>
      <c r="SJ27" s="66"/>
      <c r="SK27" s="66"/>
      <c r="SL27" s="66"/>
      <c r="SM27" s="66"/>
      <c r="SN27" s="66"/>
      <c r="SO27" s="66"/>
      <c r="SP27" s="66"/>
      <c r="SQ27" s="66"/>
      <c r="SR27" s="66"/>
      <c r="SS27" s="66"/>
      <c r="ST27" s="66"/>
      <c r="SU27" s="66"/>
      <c r="SV27" s="66"/>
      <c r="SW27" s="66"/>
      <c r="SX27" s="66"/>
      <c r="SY27" s="66"/>
      <c r="SZ27" s="66"/>
      <c r="TA27" s="66"/>
      <c r="TB27" s="66"/>
      <c r="TC27" s="66"/>
      <c r="TD27" s="66"/>
      <c r="TE27" s="66"/>
      <c r="TF27" s="66"/>
      <c r="TG27" s="66"/>
      <c r="TH27" s="66"/>
      <c r="TI27" s="66"/>
      <c r="TJ27" s="66"/>
      <c r="TK27" s="66"/>
      <c r="TL27" s="66"/>
      <c r="TM27" s="66"/>
      <c r="TN27" s="66"/>
      <c r="TO27" s="66"/>
      <c r="TP27" s="66"/>
      <c r="TQ27" s="66"/>
      <c r="TR27" s="66"/>
      <c r="TS27" s="66"/>
      <c r="TT27" s="66"/>
      <c r="TU27" s="66"/>
      <c r="TV27" s="66"/>
      <c r="TW27" s="66"/>
      <c r="TX27" s="66"/>
      <c r="TY27" s="66"/>
      <c r="TZ27" s="66"/>
      <c r="UA27" s="66"/>
      <c r="UB27" s="66"/>
      <c r="UC27" s="66"/>
      <c r="UD27" s="66"/>
      <c r="UE27" s="66"/>
      <c r="UF27" s="66"/>
      <c r="UG27" s="66"/>
      <c r="UH27" s="66"/>
      <c r="UI27" s="66"/>
      <c r="UJ27" s="66"/>
      <c r="UK27" s="66"/>
      <c r="UL27" s="66"/>
      <c r="UM27" s="66"/>
      <c r="UN27" s="66"/>
      <c r="UO27" s="66"/>
      <c r="UP27" s="66"/>
      <c r="UQ27" s="66"/>
      <c r="UR27" s="66"/>
      <c r="US27" s="66"/>
      <c r="UT27" s="66"/>
      <c r="UU27" s="66"/>
      <c r="UV27" s="66"/>
      <c r="UW27" s="66"/>
      <c r="UX27" s="66"/>
      <c r="UY27" s="66"/>
      <c r="UZ27" s="66"/>
      <c r="VA27" s="66"/>
      <c r="VB27" s="66"/>
      <c r="VC27" s="66"/>
      <c r="VD27" s="66"/>
      <c r="VE27" s="66"/>
      <c r="VF27" s="66"/>
      <c r="VG27" s="66"/>
      <c r="VH27" s="66"/>
      <c r="VI27" s="66"/>
      <c r="VJ27" s="66"/>
      <c r="VK27" s="66"/>
      <c r="VL27" s="66"/>
      <c r="VM27" s="66"/>
      <c r="VN27" s="66"/>
      <c r="VO27" s="66"/>
      <c r="VP27" s="66"/>
      <c r="VQ27" s="66"/>
      <c r="VR27" s="66"/>
      <c r="VS27" s="66"/>
      <c r="VT27" s="66"/>
      <c r="VU27" s="66"/>
      <c r="VV27" s="66"/>
      <c r="VW27" s="66"/>
      <c r="VX27" s="66"/>
      <c r="VY27" s="66"/>
      <c r="VZ27" s="66"/>
      <c r="WA27" s="66"/>
      <c r="WB27" s="66"/>
      <c r="WC27" s="66"/>
      <c r="WD27" s="66"/>
      <c r="WE27" s="66"/>
      <c r="WF27" s="66"/>
      <c r="WG27" s="66"/>
      <c r="WH27" s="66"/>
      <c r="WI27" s="66"/>
      <c r="WJ27" s="66"/>
      <c r="WK27" s="66"/>
      <c r="WL27" s="66"/>
      <c r="WM27" s="66"/>
      <c r="WN27" s="66"/>
      <c r="WO27" s="66"/>
      <c r="WP27" s="66"/>
      <c r="WQ27" s="66"/>
      <c r="WR27" s="66"/>
      <c r="WS27" s="66"/>
      <c r="WT27" s="66"/>
      <c r="WU27" s="66"/>
      <c r="WV27" s="66"/>
      <c r="WW27" s="66"/>
      <c r="WX27" s="66"/>
      <c r="WY27" s="66"/>
      <c r="WZ27" s="66"/>
      <c r="XA27" s="66"/>
      <c r="XB27" s="66"/>
      <c r="XC27" s="66"/>
      <c r="XD27" s="66"/>
      <c r="XE27" s="66"/>
      <c r="XF27" s="66"/>
      <c r="XG27" s="66"/>
      <c r="XH27" s="66"/>
      <c r="XI27" s="66"/>
      <c r="XJ27" s="66"/>
      <c r="XK27" s="66"/>
      <c r="XL27" s="66"/>
      <c r="XM27" s="66"/>
      <c r="XN27" s="66"/>
      <c r="XO27" s="66"/>
      <c r="XP27" s="66"/>
      <c r="XQ27" s="66"/>
      <c r="XR27" s="66"/>
      <c r="XS27" s="66"/>
      <c r="XT27" s="66"/>
      <c r="XU27" s="66"/>
      <c r="XV27" s="66"/>
      <c r="XW27" s="66"/>
      <c r="XX27" s="66"/>
      <c r="XY27" s="66"/>
      <c r="XZ27" s="66"/>
      <c r="YA27" s="66"/>
      <c r="YB27" s="66"/>
      <c r="YC27" s="66"/>
      <c r="YD27" s="66"/>
      <c r="YE27" s="66"/>
      <c r="YF27" s="66"/>
      <c r="YG27" s="66"/>
      <c r="YH27" s="66"/>
      <c r="YI27" s="66"/>
      <c r="YJ27" s="66"/>
      <c r="YK27" s="66"/>
      <c r="YL27" s="66"/>
      <c r="YM27" s="66"/>
      <c r="YN27" s="66"/>
      <c r="YO27" s="66"/>
      <c r="YP27" s="66"/>
      <c r="YQ27" s="66"/>
      <c r="YR27" s="66"/>
      <c r="YS27" s="66"/>
      <c r="YT27" s="66"/>
      <c r="YU27" s="66"/>
      <c r="YV27" s="66"/>
      <c r="YW27" s="66"/>
      <c r="YX27" s="66"/>
      <c r="YY27" s="66"/>
      <c r="YZ27" s="66"/>
      <c r="ZA27" s="66"/>
      <c r="ZB27" s="66"/>
      <c r="ZC27" s="66"/>
      <c r="ZD27" s="66"/>
      <c r="ZE27" s="66"/>
      <c r="ZF27" s="66"/>
      <c r="ZG27" s="66"/>
      <c r="ZH27" s="66"/>
      <c r="ZI27" s="66"/>
      <c r="ZJ27" s="66"/>
      <c r="ZK27" s="66"/>
      <c r="ZL27" s="66"/>
      <c r="ZM27" s="66"/>
      <c r="ZN27" s="66"/>
      <c r="ZO27" s="66"/>
      <c r="ZP27" s="66"/>
      <c r="ZQ27" s="66"/>
      <c r="ZR27" s="66"/>
      <c r="ZS27" s="66"/>
      <c r="ZT27" s="66"/>
      <c r="ZU27" s="66"/>
      <c r="ZV27" s="66"/>
      <c r="ZW27" s="66"/>
      <c r="ZX27" s="66"/>
    </row>
    <row r="28" spans="1:700" s="20" customFormat="1" ht="15.75" x14ac:dyDescent="0.25">
      <c r="A28" s="70"/>
      <c r="B28" s="71"/>
      <c r="C28" s="71"/>
      <c r="D28" s="109"/>
      <c r="E28" s="111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  <c r="CH28" s="66"/>
      <c r="CI28" s="66"/>
      <c r="CJ28" s="66"/>
      <c r="CK28" s="66"/>
      <c r="CL28" s="66"/>
      <c r="CM28" s="66"/>
      <c r="CN28" s="66"/>
      <c r="CO28" s="66"/>
      <c r="CP28" s="66"/>
      <c r="CQ28" s="66"/>
      <c r="CR28" s="66"/>
      <c r="CS28" s="66"/>
      <c r="CT28" s="66"/>
      <c r="CU28" s="66"/>
      <c r="CV28" s="66"/>
      <c r="CW28" s="66"/>
      <c r="CX28" s="66"/>
      <c r="CY28" s="66"/>
      <c r="CZ28" s="66"/>
      <c r="DA28" s="66"/>
      <c r="DB28" s="66"/>
      <c r="DC28" s="66"/>
      <c r="DD28" s="66"/>
      <c r="DE28" s="66"/>
      <c r="DF28" s="66"/>
      <c r="DG28" s="66"/>
      <c r="DH28" s="66"/>
      <c r="DI28" s="66"/>
      <c r="DJ28" s="66"/>
      <c r="DK28" s="66"/>
      <c r="DL28" s="66"/>
      <c r="DM28" s="66"/>
      <c r="DN28" s="66"/>
      <c r="DO28" s="66"/>
      <c r="DP28" s="66"/>
      <c r="DQ28" s="66"/>
      <c r="DR28" s="66"/>
      <c r="DS28" s="66"/>
      <c r="DT28" s="66"/>
      <c r="DU28" s="66"/>
      <c r="DV28" s="66"/>
      <c r="DW28" s="66"/>
      <c r="DX28" s="66"/>
      <c r="DY28" s="66"/>
      <c r="DZ28" s="66"/>
      <c r="EA28" s="66"/>
      <c r="EB28" s="66"/>
      <c r="EC28" s="66"/>
      <c r="ED28" s="66"/>
      <c r="EE28" s="66"/>
      <c r="EF28" s="66"/>
      <c r="EG28" s="66"/>
      <c r="EH28" s="66"/>
      <c r="EI28" s="66"/>
      <c r="EJ28" s="66"/>
      <c r="EK28" s="66"/>
      <c r="EL28" s="66"/>
      <c r="EM28" s="66"/>
      <c r="EN28" s="66"/>
      <c r="EO28" s="66"/>
      <c r="EP28" s="66"/>
      <c r="EQ28" s="66"/>
      <c r="ER28" s="66"/>
      <c r="ES28" s="66"/>
      <c r="ET28" s="66"/>
      <c r="EU28" s="66"/>
      <c r="EV28" s="66"/>
      <c r="EW28" s="66"/>
      <c r="EX28" s="66"/>
      <c r="EY28" s="66"/>
      <c r="EZ28" s="66"/>
      <c r="FA28" s="66"/>
      <c r="FB28" s="66"/>
      <c r="FC28" s="66"/>
      <c r="FD28" s="66"/>
      <c r="FE28" s="66"/>
      <c r="FF28" s="66"/>
      <c r="FG28" s="66"/>
      <c r="FH28" s="66"/>
      <c r="FI28" s="66"/>
      <c r="FJ28" s="66"/>
      <c r="FK28" s="66"/>
      <c r="FL28" s="66"/>
      <c r="FM28" s="66"/>
      <c r="FN28" s="66"/>
      <c r="FO28" s="66"/>
      <c r="FP28" s="66"/>
      <c r="FQ28" s="66"/>
      <c r="FR28" s="66"/>
      <c r="FS28" s="66"/>
      <c r="FT28" s="66"/>
      <c r="FU28" s="66"/>
      <c r="FV28" s="66"/>
      <c r="FW28" s="66"/>
      <c r="FX28" s="66"/>
      <c r="FY28" s="66"/>
      <c r="FZ28" s="66"/>
      <c r="GA28" s="66"/>
      <c r="GB28" s="66"/>
      <c r="GC28" s="66"/>
      <c r="GD28" s="66"/>
      <c r="GE28" s="66"/>
      <c r="GF28" s="66"/>
      <c r="GG28" s="66"/>
      <c r="GH28" s="66"/>
      <c r="GI28" s="66"/>
      <c r="GJ28" s="66"/>
      <c r="GK28" s="66"/>
      <c r="GL28" s="66"/>
      <c r="GM28" s="66"/>
      <c r="GN28" s="66"/>
      <c r="GO28" s="66"/>
      <c r="GP28" s="66"/>
      <c r="GQ28" s="66"/>
      <c r="GR28" s="66"/>
      <c r="GS28" s="66"/>
      <c r="GT28" s="66"/>
      <c r="GU28" s="66"/>
      <c r="GV28" s="66"/>
      <c r="GW28" s="66"/>
      <c r="GX28" s="66"/>
      <c r="GY28" s="66"/>
      <c r="GZ28" s="66"/>
      <c r="HA28" s="66"/>
      <c r="HB28" s="66"/>
      <c r="HC28" s="66"/>
      <c r="HD28" s="66"/>
      <c r="HE28" s="66"/>
      <c r="HF28" s="66"/>
      <c r="HG28" s="66"/>
      <c r="HH28" s="66"/>
      <c r="HI28" s="66"/>
      <c r="HJ28" s="66"/>
      <c r="HK28" s="66"/>
      <c r="HL28" s="66"/>
      <c r="HM28" s="66"/>
      <c r="HN28" s="66"/>
      <c r="HO28" s="66"/>
      <c r="HP28" s="66"/>
      <c r="HQ28" s="66"/>
      <c r="HR28" s="66"/>
      <c r="HS28" s="66"/>
      <c r="HT28" s="66"/>
      <c r="HU28" s="66"/>
      <c r="HV28" s="66"/>
      <c r="HW28" s="66"/>
      <c r="HX28" s="66"/>
      <c r="HY28" s="66"/>
      <c r="HZ28" s="66"/>
      <c r="IA28" s="66"/>
      <c r="IB28" s="66"/>
      <c r="IC28" s="66"/>
      <c r="ID28" s="66"/>
      <c r="IE28" s="66"/>
      <c r="IF28" s="66"/>
      <c r="IG28" s="66"/>
      <c r="IH28" s="66"/>
      <c r="II28" s="66"/>
      <c r="IJ28" s="66"/>
      <c r="IK28" s="66"/>
      <c r="IL28" s="66"/>
      <c r="IM28" s="66"/>
      <c r="IN28" s="66"/>
      <c r="IO28" s="66"/>
      <c r="IP28" s="66"/>
      <c r="IQ28" s="66"/>
      <c r="IR28" s="66"/>
      <c r="IS28" s="66"/>
      <c r="IT28" s="66"/>
      <c r="IU28" s="66"/>
      <c r="IV28" s="66"/>
      <c r="IW28" s="66"/>
      <c r="IX28" s="66"/>
      <c r="IY28" s="66"/>
      <c r="IZ28" s="66"/>
      <c r="JA28" s="66"/>
      <c r="JB28" s="66"/>
      <c r="JC28" s="66"/>
      <c r="JD28" s="66"/>
      <c r="JE28" s="66"/>
      <c r="JF28" s="66"/>
      <c r="JG28" s="66"/>
      <c r="JH28" s="66"/>
      <c r="JI28" s="66"/>
      <c r="JJ28" s="66"/>
      <c r="JK28" s="66"/>
      <c r="JL28" s="66"/>
      <c r="JM28" s="66"/>
      <c r="JN28" s="66"/>
      <c r="JO28" s="66"/>
      <c r="JP28" s="66"/>
      <c r="JQ28" s="66"/>
      <c r="JR28" s="66"/>
      <c r="JS28" s="66"/>
      <c r="JT28" s="66"/>
      <c r="JU28" s="66"/>
      <c r="JV28" s="66"/>
      <c r="JW28" s="66"/>
      <c r="JX28" s="66"/>
      <c r="JY28" s="66"/>
      <c r="JZ28" s="66"/>
      <c r="KA28" s="66"/>
      <c r="KB28" s="66"/>
      <c r="KC28" s="66"/>
      <c r="KD28" s="66"/>
      <c r="KE28" s="66"/>
      <c r="KF28" s="66"/>
      <c r="KG28" s="66"/>
      <c r="KH28" s="66"/>
      <c r="KI28" s="66"/>
      <c r="KJ28" s="66"/>
      <c r="KK28" s="66"/>
      <c r="KL28" s="66"/>
      <c r="KM28" s="66"/>
      <c r="KN28" s="66"/>
      <c r="KO28" s="66"/>
      <c r="KP28" s="66"/>
      <c r="KQ28" s="66"/>
      <c r="KR28" s="66"/>
      <c r="KS28" s="66"/>
      <c r="KT28" s="66"/>
      <c r="KU28" s="66"/>
      <c r="KV28" s="66"/>
      <c r="KW28" s="66"/>
      <c r="KX28" s="66"/>
      <c r="KY28" s="66"/>
      <c r="KZ28" s="66"/>
      <c r="LA28" s="66"/>
      <c r="LB28" s="66"/>
      <c r="LC28" s="66"/>
      <c r="LD28" s="66"/>
      <c r="LE28" s="66"/>
      <c r="LF28" s="66"/>
      <c r="LG28" s="66"/>
      <c r="LH28" s="66"/>
      <c r="LI28" s="66"/>
      <c r="LJ28" s="66"/>
      <c r="LK28" s="66"/>
      <c r="LL28" s="66"/>
      <c r="LM28" s="66"/>
      <c r="LN28" s="66"/>
      <c r="LO28" s="66"/>
      <c r="LP28" s="66"/>
      <c r="LQ28" s="66"/>
      <c r="LR28" s="66"/>
      <c r="LS28" s="66"/>
      <c r="LT28" s="66"/>
      <c r="LU28" s="66"/>
      <c r="LV28" s="66"/>
      <c r="LW28" s="66"/>
      <c r="LX28" s="66"/>
      <c r="LY28" s="66"/>
      <c r="LZ28" s="66"/>
      <c r="MA28" s="66"/>
      <c r="MB28" s="66"/>
      <c r="MC28" s="66"/>
      <c r="MD28" s="66"/>
      <c r="ME28" s="66"/>
      <c r="MF28" s="66"/>
      <c r="MG28" s="66"/>
      <c r="MH28" s="66"/>
      <c r="MI28" s="66"/>
      <c r="MJ28" s="66"/>
      <c r="MK28" s="66"/>
      <c r="ML28" s="66"/>
      <c r="MM28" s="66"/>
      <c r="MN28" s="66"/>
      <c r="MO28" s="66"/>
      <c r="MP28" s="66"/>
      <c r="MQ28" s="66"/>
      <c r="MR28" s="66"/>
      <c r="MS28" s="66"/>
      <c r="MT28" s="66"/>
      <c r="MU28" s="66"/>
      <c r="MV28" s="66"/>
      <c r="MW28" s="66"/>
      <c r="MX28" s="66"/>
      <c r="MY28" s="66"/>
      <c r="MZ28" s="66"/>
      <c r="NA28" s="66"/>
      <c r="NB28" s="66"/>
      <c r="NC28" s="66"/>
      <c r="ND28" s="66"/>
      <c r="NE28" s="66"/>
      <c r="NF28" s="66"/>
      <c r="NG28" s="66"/>
      <c r="NH28" s="66"/>
      <c r="NI28" s="66"/>
      <c r="NJ28" s="66"/>
      <c r="NK28" s="66"/>
      <c r="NL28" s="66"/>
      <c r="NM28" s="66"/>
      <c r="NN28" s="66"/>
      <c r="NO28" s="66"/>
      <c r="NP28" s="66"/>
      <c r="NQ28" s="66"/>
      <c r="NR28" s="66"/>
      <c r="NS28" s="66"/>
      <c r="NT28" s="66"/>
      <c r="NU28" s="66"/>
      <c r="NV28" s="66"/>
      <c r="NW28" s="66"/>
      <c r="NX28" s="66"/>
      <c r="NY28" s="66"/>
      <c r="NZ28" s="66"/>
      <c r="OA28" s="66"/>
      <c r="OB28" s="66"/>
      <c r="OC28" s="66"/>
      <c r="OD28" s="66"/>
      <c r="OE28" s="66"/>
      <c r="OF28" s="66"/>
      <c r="OG28" s="66"/>
      <c r="OH28" s="66"/>
      <c r="OI28" s="66"/>
      <c r="OJ28" s="66"/>
      <c r="OK28" s="66"/>
      <c r="OL28" s="66"/>
      <c r="OM28" s="66"/>
      <c r="ON28" s="66"/>
      <c r="OO28" s="66"/>
      <c r="OP28" s="66"/>
      <c r="OQ28" s="66"/>
      <c r="OR28" s="66"/>
      <c r="OS28" s="66"/>
      <c r="OT28" s="66"/>
      <c r="OU28" s="66"/>
      <c r="OV28" s="66"/>
      <c r="OW28" s="66"/>
      <c r="OX28" s="66"/>
      <c r="OY28" s="66"/>
      <c r="OZ28" s="66"/>
      <c r="PA28" s="66"/>
      <c r="PB28" s="66"/>
      <c r="PC28" s="66"/>
      <c r="PD28" s="66"/>
      <c r="PE28" s="66"/>
      <c r="PF28" s="66"/>
      <c r="PG28" s="66"/>
      <c r="PH28" s="66"/>
      <c r="PI28" s="66"/>
      <c r="PJ28" s="66"/>
      <c r="PK28" s="66"/>
      <c r="PL28" s="66"/>
      <c r="PM28" s="66"/>
      <c r="PN28" s="66"/>
      <c r="PO28" s="66"/>
      <c r="PP28" s="66"/>
      <c r="PQ28" s="66"/>
      <c r="PR28" s="66"/>
      <c r="PS28" s="66"/>
      <c r="PT28" s="66"/>
      <c r="PU28" s="66"/>
      <c r="PV28" s="66"/>
      <c r="PW28" s="66"/>
      <c r="PX28" s="66"/>
      <c r="PY28" s="66"/>
      <c r="PZ28" s="66"/>
      <c r="QA28" s="66"/>
      <c r="QB28" s="66"/>
      <c r="QC28" s="66"/>
      <c r="QD28" s="66"/>
      <c r="QE28" s="66"/>
      <c r="QF28" s="66"/>
      <c r="QG28" s="66"/>
      <c r="QH28" s="66"/>
      <c r="QI28" s="66"/>
      <c r="QJ28" s="66"/>
      <c r="QK28" s="66"/>
      <c r="QL28" s="66"/>
      <c r="QM28" s="66"/>
      <c r="QN28" s="66"/>
      <c r="QO28" s="66"/>
      <c r="QP28" s="66"/>
      <c r="QQ28" s="66"/>
      <c r="QR28" s="66"/>
      <c r="QS28" s="66"/>
      <c r="QT28" s="66"/>
      <c r="QU28" s="66"/>
      <c r="QV28" s="66"/>
      <c r="QW28" s="66"/>
      <c r="QX28" s="66"/>
      <c r="QY28" s="66"/>
      <c r="QZ28" s="66"/>
      <c r="RA28" s="66"/>
      <c r="RB28" s="66"/>
      <c r="RC28" s="66"/>
      <c r="RD28" s="66"/>
      <c r="RE28" s="66"/>
      <c r="RF28" s="66"/>
      <c r="RG28" s="66"/>
      <c r="RH28" s="66"/>
      <c r="RI28" s="66"/>
      <c r="RJ28" s="66"/>
      <c r="RK28" s="66"/>
      <c r="RL28" s="66"/>
      <c r="RM28" s="66"/>
      <c r="RN28" s="66"/>
      <c r="RO28" s="66"/>
      <c r="RP28" s="66"/>
      <c r="RQ28" s="66"/>
      <c r="RR28" s="66"/>
      <c r="RS28" s="66"/>
      <c r="RT28" s="66"/>
      <c r="RU28" s="66"/>
      <c r="RV28" s="66"/>
      <c r="RW28" s="66"/>
      <c r="RX28" s="66"/>
      <c r="RY28" s="66"/>
      <c r="RZ28" s="66"/>
      <c r="SA28" s="66"/>
      <c r="SB28" s="66"/>
      <c r="SC28" s="66"/>
      <c r="SD28" s="66"/>
      <c r="SE28" s="66"/>
      <c r="SF28" s="66"/>
      <c r="SG28" s="66"/>
      <c r="SH28" s="66"/>
      <c r="SI28" s="66"/>
      <c r="SJ28" s="66"/>
      <c r="SK28" s="66"/>
      <c r="SL28" s="66"/>
      <c r="SM28" s="66"/>
      <c r="SN28" s="66"/>
      <c r="SO28" s="66"/>
      <c r="SP28" s="66"/>
      <c r="SQ28" s="66"/>
      <c r="SR28" s="66"/>
      <c r="SS28" s="66"/>
      <c r="ST28" s="66"/>
      <c r="SU28" s="66"/>
      <c r="SV28" s="66"/>
      <c r="SW28" s="66"/>
      <c r="SX28" s="66"/>
      <c r="SY28" s="66"/>
      <c r="SZ28" s="66"/>
      <c r="TA28" s="66"/>
      <c r="TB28" s="66"/>
      <c r="TC28" s="66"/>
      <c r="TD28" s="66"/>
      <c r="TE28" s="66"/>
      <c r="TF28" s="66"/>
      <c r="TG28" s="66"/>
      <c r="TH28" s="66"/>
      <c r="TI28" s="66"/>
      <c r="TJ28" s="66"/>
      <c r="TK28" s="66"/>
      <c r="TL28" s="66"/>
      <c r="TM28" s="66"/>
      <c r="TN28" s="66"/>
      <c r="TO28" s="66"/>
      <c r="TP28" s="66"/>
      <c r="TQ28" s="66"/>
      <c r="TR28" s="66"/>
      <c r="TS28" s="66"/>
      <c r="TT28" s="66"/>
      <c r="TU28" s="66"/>
      <c r="TV28" s="66"/>
      <c r="TW28" s="66"/>
      <c r="TX28" s="66"/>
      <c r="TY28" s="66"/>
      <c r="TZ28" s="66"/>
      <c r="UA28" s="66"/>
      <c r="UB28" s="66"/>
      <c r="UC28" s="66"/>
      <c r="UD28" s="66"/>
      <c r="UE28" s="66"/>
      <c r="UF28" s="66"/>
      <c r="UG28" s="66"/>
      <c r="UH28" s="66"/>
      <c r="UI28" s="66"/>
      <c r="UJ28" s="66"/>
      <c r="UK28" s="66"/>
      <c r="UL28" s="66"/>
      <c r="UM28" s="66"/>
      <c r="UN28" s="66"/>
      <c r="UO28" s="66"/>
      <c r="UP28" s="66"/>
      <c r="UQ28" s="66"/>
      <c r="UR28" s="66"/>
      <c r="US28" s="66"/>
      <c r="UT28" s="66"/>
      <c r="UU28" s="66"/>
      <c r="UV28" s="66"/>
      <c r="UW28" s="66"/>
      <c r="UX28" s="66"/>
      <c r="UY28" s="66"/>
      <c r="UZ28" s="66"/>
      <c r="VA28" s="66"/>
      <c r="VB28" s="66"/>
      <c r="VC28" s="66"/>
      <c r="VD28" s="66"/>
      <c r="VE28" s="66"/>
      <c r="VF28" s="66"/>
      <c r="VG28" s="66"/>
      <c r="VH28" s="66"/>
      <c r="VI28" s="66"/>
      <c r="VJ28" s="66"/>
      <c r="VK28" s="66"/>
      <c r="VL28" s="66"/>
      <c r="VM28" s="66"/>
      <c r="VN28" s="66"/>
      <c r="VO28" s="66"/>
      <c r="VP28" s="66"/>
      <c r="VQ28" s="66"/>
      <c r="VR28" s="66"/>
      <c r="VS28" s="66"/>
      <c r="VT28" s="66"/>
      <c r="VU28" s="66"/>
      <c r="VV28" s="66"/>
      <c r="VW28" s="66"/>
      <c r="VX28" s="66"/>
      <c r="VY28" s="66"/>
      <c r="VZ28" s="66"/>
      <c r="WA28" s="66"/>
      <c r="WB28" s="66"/>
      <c r="WC28" s="66"/>
      <c r="WD28" s="66"/>
      <c r="WE28" s="66"/>
      <c r="WF28" s="66"/>
      <c r="WG28" s="66"/>
      <c r="WH28" s="66"/>
      <c r="WI28" s="66"/>
      <c r="WJ28" s="66"/>
      <c r="WK28" s="66"/>
      <c r="WL28" s="66"/>
      <c r="WM28" s="66"/>
      <c r="WN28" s="66"/>
      <c r="WO28" s="66"/>
      <c r="WP28" s="66"/>
      <c r="WQ28" s="66"/>
      <c r="WR28" s="66"/>
      <c r="WS28" s="66"/>
      <c r="WT28" s="66"/>
      <c r="WU28" s="66"/>
      <c r="WV28" s="66"/>
      <c r="WW28" s="66"/>
      <c r="WX28" s="66"/>
      <c r="WY28" s="66"/>
      <c r="WZ28" s="66"/>
      <c r="XA28" s="66"/>
      <c r="XB28" s="66"/>
      <c r="XC28" s="66"/>
      <c r="XD28" s="66"/>
      <c r="XE28" s="66"/>
      <c r="XF28" s="66"/>
      <c r="XG28" s="66"/>
      <c r="XH28" s="66"/>
      <c r="XI28" s="66"/>
      <c r="XJ28" s="66"/>
      <c r="XK28" s="66"/>
      <c r="XL28" s="66"/>
      <c r="XM28" s="66"/>
      <c r="XN28" s="66"/>
      <c r="XO28" s="66"/>
      <c r="XP28" s="66"/>
      <c r="XQ28" s="66"/>
      <c r="XR28" s="66"/>
      <c r="XS28" s="66"/>
      <c r="XT28" s="66"/>
      <c r="XU28" s="66"/>
      <c r="XV28" s="66"/>
      <c r="XW28" s="66"/>
      <c r="XX28" s="66"/>
      <c r="XY28" s="66"/>
      <c r="XZ28" s="66"/>
      <c r="YA28" s="66"/>
      <c r="YB28" s="66"/>
      <c r="YC28" s="66"/>
      <c r="YD28" s="66"/>
      <c r="YE28" s="66"/>
      <c r="YF28" s="66"/>
      <c r="YG28" s="66"/>
      <c r="YH28" s="66"/>
      <c r="YI28" s="66"/>
      <c r="YJ28" s="66"/>
      <c r="YK28" s="66"/>
      <c r="YL28" s="66"/>
      <c r="YM28" s="66"/>
      <c r="YN28" s="66"/>
      <c r="YO28" s="66"/>
      <c r="YP28" s="66"/>
      <c r="YQ28" s="66"/>
      <c r="YR28" s="66"/>
      <c r="YS28" s="66"/>
      <c r="YT28" s="66"/>
      <c r="YU28" s="66"/>
      <c r="YV28" s="66"/>
      <c r="YW28" s="66"/>
      <c r="YX28" s="66"/>
      <c r="YY28" s="66"/>
      <c r="YZ28" s="66"/>
      <c r="ZA28" s="66"/>
      <c r="ZB28" s="66"/>
      <c r="ZC28" s="66"/>
      <c r="ZD28" s="66"/>
      <c r="ZE28" s="66"/>
      <c r="ZF28" s="66"/>
      <c r="ZG28" s="66"/>
      <c r="ZH28" s="66"/>
      <c r="ZI28" s="66"/>
      <c r="ZJ28" s="66"/>
      <c r="ZK28" s="66"/>
      <c r="ZL28" s="66"/>
      <c r="ZM28" s="66"/>
      <c r="ZN28" s="66"/>
      <c r="ZO28" s="66"/>
      <c r="ZP28" s="66"/>
      <c r="ZQ28" s="66"/>
      <c r="ZR28" s="66"/>
      <c r="ZS28" s="66"/>
      <c r="ZT28" s="66"/>
      <c r="ZU28" s="66"/>
      <c r="ZV28" s="66"/>
      <c r="ZW28" s="66"/>
      <c r="ZX28" s="66"/>
    </row>
    <row r="29" spans="1:700" s="20" customFormat="1" ht="15.75" x14ac:dyDescent="0.25">
      <c r="A29" s="72"/>
      <c r="B29" s="73"/>
      <c r="C29" s="73"/>
      <c r="D29" s="108"/>
      <c r="E29" s="129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  <c r="CH29" s="66"/>
      <c r="CI29" s="66"/>
      <c r="CJ29" s="66"/>
      <c r="CK29" s="66"/>
      <c r="CL29" s="66"/>
      <c r="CM29" s="66"/>
      <c r="CN29" s="66"/>
      <c r="CO29" s="66"/>
      <c r="CP29" s="66"/>
      <c r="CQ29" s="66"/>
      <c r="CR29" s="66"/>
      <c r="CS29" s="66"/>
      <c r="CT29" s="66"/>
      <c r="CU29" s="66"/>
      <c r="CV29" s="66"/>
      <c r="CW29" s="66"/>
      <c r="CX29" s="66"/>
      <c r="CY29" s="66"/>
      <c r="CZ29" s="66"/>
      <c r="DA29" s="66"/>
      <c r="DB29" s="66"/>
      <c r="DC29" s="66"/>
      <c r="DD29" s="66"/>
      <c r="DE29" s="66"/>
      <c r="DF29" s="66"/>
      <c r="DG29" s="66"/>
      <c r="DH29" s="66"/>
      <c r="DI29" s="66"/>
      <c r="DJ29" s="66"/>
      <c r="DK29" s="66"/>
      <c r="DL29" s="66"/>
      <c r="DM29" s="66"/>
      <c r="DN29" s="66"/>
      <c r="DO29" s="66"/>
      <c r="DP29" s="66"/>
      <c r="DQ29" s="66"/>
      <c r="DR29" s="66"/>
      <c r="DS29" s="66"/>
      <c r="DT29" s="66"/>
      <c r="DU29" s="66"/>
      <c r="DV29" s="66"/>
      <c r="DW29" s="66"/>
      <c r="DX29" s="66"/>
      <c r="DY29" s="66"/>
      <c r="DZ29" s="66"/>
      <c r="EA29" s="66"/>
      <c r="EB29" s="66"/>
      <c r="EC29" s="66"/>
      <c r="ED29" s="66"/>
      <c r="EE29" s="66"/>
      <c r="EF29" s="66"/>
      <c r="EG29" s="66"/>
      <c r="EH29" s="66"/>
      <c r="EI29" s="66"/>
      <c r="EJ29" s="66"/>
      <c r="EK29" s="66"/>
      <c r="EL29" s="66"/>
      <c r="EM29" s="66"/>
      <c r="EN29" s="66"/>
      <c r="EO29" s="66"/>
      <c r="EP29" s="66"/>
      <c r="EQ29" s="66"/>
      <c r="ER29" s="66"/>
      <c r="ES29" s="66"/>
      <c r="ET29" s="66"/>
      <c r="EU29" s="66"/>
      <c r="EV29" s="66"/>
      <c r="EW29" s="66"/>
      <c r="EX29" s="66"/>
      <c r="EY29" s="66"/>
      <c r="EZ29" s="66"/>
      <c r="FA29" s="66"/>
      <c r="FB29" s="66"/>
      <c r="FC29" s="66"/>
      <c r="FD29" s="66"/>
      <c r="FE29" s="66"/>
      <c r="FF29" s="66"/>
      <c r="FG29" s="66"/>
      <c r="FH29" s="66"/>
      <c r="FI29" s="66"/>
      <c r="FJ29" s="66"/>
      <c r="FK29" s="66"/>
      <c r="FL29" s="66"/>
      <c r="FM29" s="66"/>
      <c r="FN29" s="66"/>
      <c r="FO29" s="66"/>
      <c r="FP29" s="66"/>
      <c r="FQ29" s="66"/>
      <c r="FR29" s="66"/>
      <c r="FS29" s="66"/>
      <c r="FT29" s="66"/>
      <c r="FU29" s="66"/>
      <c r="FV29" s="66"/>
      <c r="FW29" s="66"/>
      <c r="FX29" s="66"/>
      <c r="FY29" s="66"/>
      <c r="FZ29" s="66"/>
      <c r="GA29" s="66"/>
      <c r="GB29" s="66"/>
      <c r="GC29" s="66"/>
      <c r="GD29" s="66"/>
      <c r="GE29" s="66"/>
      <c r="GF29" s="66"/>
      <c r="GG29" s="66"/>
      <c r="GH29" s="66"/>
      <c r="GI29" s="66"/>
      <c r="GJ29" s="66"/>
      <c r="GK29" s="66"/>
      <c r="GL29" s="66"/>
      <c r="GM29" s="66"/>
      <c r="GN29" s="66"/>
      <c r="GO29" s="66"/>
      <c r="GP29" s="66"/>
      <c r="GQ29" s="66"/>
      <c r="GR29" s="66"/>
      <c r="GS29" s="66"/>
      <c r="GT29" s="66"/>
      <c r="GU29" s="66"/>
      <c r="GV29" s="66"/>
      <c r="GW29" s="66"/>
      <c r="GX29" s="66"/>
      <c r="GY29" s="66"/>
      <c r="GZ29" s="66"/>
      <c r="HA29" s="66"/>
      <c r="HB29" s="66"/>
      <c r="HC29" s="66"/>
      <c r="HD29" s="66"/>
      <c r="HE29" s="66"/>
      <c r="HF29" s="66"/>
      <c r="HG29" s="66"/>
      <c r="HH29" s="66"/>
      <c r="HI29" s="66"/>
      <c r="HJ29" s="66"/>
      <c r="HK29" s="66"/>
      <c r="HL29" s="66"/>
      <c r="HM29" s="66"/>
      <c r="HN29" s="66"/>
      <c r="HO29" s="66"/>
      <c r="HP29" s="66"/>
      <c r="HQ29" s="66"/>
      <c r="HR29" s="66"/>
      <c r="HS29" s="66"/>
      <c r="HT29" s="66"/>
      <c r="HU29" s="66"/>
      <c r="HV29" s="66"/>
      <c r="HW29" s="66"/>
      <c r="HX29" s="66"/>
      <c r="HY29" s="66"/>
      <c r="HZ29" s="66"/>
      <c r="IA29" s="66"/>
      <c r="IB29" s="66"/>
      <c r="IC29" s="66"/>
      <c r="ID29" s="66"/>
      <c r="IE29" s="66"/>
      <c r="IF29" s="66"/>
      <c r="IG29" s="66"/>
      <c r="IH29" s="66"/>
      <c r="II29" s="66"/>
      <c r="IJ29" s="66"/>
      <c r="IK29" s="66"/>
      <c r="IL29" s="66"/>
      <c r="IM29" s="66"/>
      <c r="IN29" s="66"/>
      <c r="IO29" s="66"/>
      <c r="IP29" s="66"/>
      <c r="IQ29" s="66"/>
      <c r="IR29" s="66"/>
      <c r="IS29" s="66"/>
      <c r="IT29" s="66"/>
      <c r="IU29" s="66"/>
      <c r="IV29" s="66"/>
      <c r="IW29" s="66"/>
      <c r="IX29" s="66"/>
      <c r="IY29" s="66"/>
      <c r="IZ29" s="66"/>
      <c r="JA29" s="66"/>
      <c r="JB29" s="66"/>
      <c r="JC29" s="66"/>
      <c r="JD29" s="66"/>
      <c r="JE29" s="66"/>
      <c r="JF29" s="66"/>
      <c r="JG29" s="66"/>
      <c r="JH29" s="66"/>
      <c r="JI29" s="66"/>
      <c r="JJ29" s="66"/>
      <c r="JK29" s="66"/>
      <c r="JL29" s="66"/>
      <c r="JM29" s="66"/>
      <c r="JN29" s="66"/>
      <c r="JO29" s="66"/>
      <c r="JP29" s="66"/>
      <c r="JQ29" s="66"/>
      <c r="JR29" s="66"/>
      <c r="JS29" s="66"/>
      <c r="JT29" s="66"/>
      <c r="JU29" s="66"/>
      <c r="JV29" s="66"/>
      <c r="JW29" s="66"/>
      <c r="JX29" s="66"/>
      <c r="JY29" s="66"/>
      <c r="JZ29" s="66"/>
      <c r="KA29" s="66"/>
      <c r="KB29" s="66"/>
      <c r="KC29" s="66"/>
      <c r="KD29" s="66"/>
      <c r="KE29" s="66"/>
      <c r="KF29" s="66"/>
      <c r="KG29" s="66"/>
      <c r="KH29" s="66"/>
      <c r="KI29" s="66"/>
      <c r="KJ29" s="66"/>
      <c r="KK29" s="66"/>
      <c r="KL29" s="66"/>
      <c r="KM29" s="66"/>
      <c r="KN29" s="66"/>
      <c r="KO29" s="66"/>
      <c r="KP29" s="66"/>
      <c r="KQ29" s="66"/>
      <c r="KR29" s="66"/>
      <c r="KS29" s="66"/>
      <c r="KT29" s="66"/>
      <c r="KU29" s="66"/>
      <c r="KV29" s="66"/>
      <c r="KW29" s="66"/>
      <c r="KX29" s="66"/>
      <c r="KY29" s="66"/>
      <c r="KZ29" s="66"/>
      <c r="LA29" s="66"/>
      <c r="LB29" s="66"/>
      <c r="LC29" s="66"/>
      <c r="LD29" s="66"/>
      <c r="LE29" s="66"/>
      <c r="LF29" s="66"/>
      <c r="LG29" s="66"/>
      <c r="LH29" s="66"/>
      <c r="LI29" s="66"/>
      <c r="LJ29" s="66"/>
      <c r="LK29" s="66"/>
      <c r="LL29" s="66"/>
      <c r="LM29" s="66"/>
      <c r="LN29" s="66"/>
      <c r="LO29" s="66"/>
      <c r="LP29" s="66"/>
      <c r="LQ29" s="66"/>
      <c r="LR29" s="66"/>
      <c r="LS29" s="66"/>
      <c r="LT29" s="66"/>
      <c r="LU29" s="66"/>
      <c r="LV29" s="66"/>
      <c r="LW29" s="66"/>
      <c r="LX29" s="66"/>
      <c r="LY29" s="66"/>
      <c r="LZ29" s="66"/>
      <c r="MA29" s="66"/>
      <c r="MB29" s="66"/>
      <c r="MC29" s="66"/>
      <c r="MD29" s="66"/>
      <c r="ME29" s="66"/>
      <c r="MF29" s="66"/>
      <c r="MG29" s="66"/>
      <c r="MH29" s="66"/>
      <c r="MI29" s="66"/>
      <c r="MJ29" s="66"/>
      <c r="MK29" s="66"/>
      <c r="ML29" s="66"/>
      <c r="MM29" s="66"/>
      <c r="MN29" s="66"/>
      <c r="MO29" s="66"/>
      <c r="MP29" s="66"/>
      <c r="MQ29" s="66"/>
      <c r="MR29" s="66"/>
      <c r="MS29" s="66"/>
      <c r="MT29" s="66"/>
      <c r="MU29" s="66"/>
      <c r="MV29" s="66"/>
      <c r="MW29" s="66"/>
      <c r="MX29" s="66"/>
      <c r="MY29" s="66"/>
      <c r="MZ29" s="66"/>
      <c r="NA29" s="66"/>
      <c r="NB29" s="66"/>
      <c r="NC29" s="66"/>
      <c r="ND29" s="66"/>
      <c r="NE29" s="66"/>
      <c r="NF29" s="66"/>
      <c r="NG29" s="66"/>
      <c r="NH29" s="66"/>
      <c r="NI29" s="66"/>
      <c r="NJ29" s="66"/>
      <c r="NK29" s="66"/>
      <c r="NL29" s="66"/>
      <c r="NM29" s="66"/>
      <c r="NN29" s="66"/>
      <c r="NO29" s="66"/>
      <c r="NP29" s="66"/>
      <c r="NQ29" s="66"/>
      <c r="NR29" s="66"/>
      <c r="NS29" s="66"/>
      <c r="NT29" s="66"/>
      <c r="NU29" s="66"/>
      <c r="NV29" s="66"/>
      <c r="NW29" s="66"/>
      <c r="NX29" s="66"/>
      <c r="NY29" s="66"/>
      <c r="NZ29" s="66"/>
      <c r="OA29" s="66"/>
      <c r="OB29" s="66"/>
      <c r="OC29" s="66"/>
      <c r="OD29" s="66"/>
      <c r="OE29" s="66"/>
      <c r="OF29" s="66"/>
      <c r="OG29" s="66"/>
      <c r="OH29" s="66"/>
      <c r="OI29" s="66"/>
      <c r="OJ29" s="66"/>
      <c r="OK29" s="66"/>
      <c r="OL29" s="66"/>
      <c r="OM29" s="66"/>
      <c r="ON29" s="66"/>
      <c r="OO29" s="66"/>
      <c r="OP29" s="66"/>
      <c r="OQ29" s="66"/>
      <c r="OR29" s="66"/>
      <c r="OS29" s="66"/>
      <c r="OT29" s="66"/>
      <c r="OU29" s="66"/>
      <c r="OV29" s="66"/>
      <c r="OW29" s="66"/>
      <c r="OX29" s="66"/>
      <c r="OY29" s="66"/>
      <c r="OZ29" s="66"/>
      <c r="PA29" s="66"/>
      <c r="PB29" s="66"/>
      <c r="PC29" s="66"/>
      <c r="PD29" s="66"/>
      <c r="PE29" s="66"/>
      <c r="PF29" s="66"/>
      <c r="PG29" s="66"/>
      <c r="PH29" s="66"/>
      <c r="PI29" s="66"/>
      <c r="PJ29" s="66"/>
      <c r="PK29" s="66"/>
      <c r="PL29" s="66"/>
      <c r="PM29" s="66"/>
      <c r="PN29" s="66"/>
      <c r="PO29" s="66"/>
      <c r="PP29" s="66"/>
      <c r="PQ29" s="66"/>
      <c r="PR29" s="66"/>
      <c r="PS29" s="66"/>
      <c r="PT29" s="66"/>
      <c r="PU29" s="66"/>
      <c r="PV29" s="66"/>
      <c r="PW29" s="66"/>
      <c r="PX29" s="66"/>
      <c r="PY29" s="66"/>
      <c r="PZ29" s="66"/>
      <c r="QA29" s="66"/>
      <c r="QB29" s="66"/>
      <c r="QC29" s="66"/>
      <c r="QD29" s="66"/>
      <c r="QE29" s="66"/>
      <c r="QF29" s="66"/>
      <c r="QG29" s="66"/>
      <c r="QH29" s="66"/>
      <c r="QI29" s="66"/>
      <c r="QJ29" s="66"/>
      <c r="QK29" s="66"/>
      <c r="QL29" s="66"/>
      <c r="QM29" s="66"/>
      <c r="QN29" s="66"/>
      <c r="QO29" s="66"/>
      <c r="QP29" s="66"/>
      <c r="QQ29" s="66"/>
      <c r="QR29" s="66"/>
      <c r="QS29" s="66"/>
      <c r="QT29" s="66"/>
      <c r="QU29" s="66"/>
      <c r="QV29" s="66"/>
      <c r="QW29" s="66"/>
      <c r="QX29" s="66"/>
      <c r="QY29" s="66"/>
      <c r="QZ29" s="66"/>
      <c r="RA29" s="66"/>
      <c r="RB29" s="66"/>
      <c r="RC29" s="66"/>
      <c r="RD29" s="66"/>
      <c r="RE29" s="66"/>
      <c r="RF29" s="66"/>
      <c r="RG29" s="66"/>
      <c r="RH29" s="66"/>
      <c r="RI29" s="66"/>
      <c r="RJ29" s="66"/>
      <c r="RK29" s="66"/>
      <c r="RL29" s="66"/>
      <c r="RM29" s="66"/>
      <c r="RN29" s="66"/>
      <c r="RO29" s="66"/>
      <c r="RP29" s="66"/>
      <c r="RQ29" s="66"/>
      <c r="RR29" s="66"/>
      <c r="RS29" s="66"/>
      <c r="RT29" s="66"/>
      <c r="RU29" s="66"/>
      <c r="RV29" s="66"/>
      <c r="RW29" s="66"/>
      <c r="RX29" s="66"/>
      <c r="RY29" s="66"/>
      <c r="RZ29" s="66"/>
      <c r="SA29" s="66"/>
      <c r="SB29" s="66"/>
      <c r="SC29" s="66"/>
      <c r="SD29" s="66"/>
      <c r="SE29" s="66"/>
      <c r="SF29" s="66"/>
      <c r="SG29" s="66"/>
      <c r="SH29" s="66"/>
      <c r="SI29" s="66"/>
      <c r="SJ29" s="66"/>
      <c r="SK29" s="66"/>
      <c r="SL29" s="66"/>
      <c r="SM29" s="66"/>
      <c r="SN29" s="66"/>
      <c r="SO29" s="66"/>
      <c r="SP29" s="66"/>
      <c r="SQ29" s="66"/>
      <c r="SR29" s="66"/>
      <c r="SS29" s="66"/>
      <c r="ST29" s="66"/>
      <c r="SU29" s="66"/>
      <c r="SV29" s="66"/>
      <c r="SW29" s="66"/>
      <c r="SX29" s="66"/>
      <c r="SY29" s="66"/>
      <c r="SZ29" s="66"/>
      <c r="TA29" s="66"/>
      <c r="TB29" s="66"/>
      <c r="TC29" s="66"/>
      <c r="TD29" s="66"/>
      <c r="TE29" s="66"/>
      <c r="TF29" s="66"/>
      <c r="TG29" s="66"/>
      <c r="TH29" s="66"/>
      <c r="TI29" s="66"/>
      <c r="TJ29" s="66"/>
      <c r="TK29" s="66"/>
      <c r="TL29" s="66"/>
      <c r="TM29" s="66"/>
      <c r="TN29" s="66"/>
      <c r="TO29" s="66"/>
      <c r="TP29" s="66"/>
      <c r="TQ29" s="66"/>
      <c r="TR29" s="66"/>
      <c r="TS29" s="66"/>
      <c r="TT29" s="66"/>
      <c r="TU29" s="66"/>
      <c r="TV29" s="66"/>
      <c r="TW29" s="66"/>
      <c r="TX29" s="66"/>
      <c r="TY29" s="66"/>
      <c r="TZ29" s="66"/>
      <c r="UA29" s="66"/>
      <c r="UB29" s="66"/>
      <c r="UC29" s="66"/>
      <c r="UD29" s="66"/>
      <c r="UE29" s="66"/>
      <c r="UF29" s="66"/>
      <c r="UG29" s="66"/>
      <c r="UH29" s="66"/>
      <c r="UI29" s="66"/>
      <c r="UJ29" s="66"/>
      <c r="UK29" s="66"/>
      <c r="UL29" s="66"/>
      <c r="UM29" s="66"/>
      <c r="UN29" s="66"/>
      <c r="UO29" s="66"/>
      <c r="UP29" s="66"/>
      <c r="UQ29" s="66"/>
      <c r="UR29" s="66"/>
      <c r="US29" s="66"/>
      <c r="UT29" s="66"/>
      <c r="UU29" s="66"/>
      <c r="UV29" s="66"/>
      <c r="UW29" s="66"/>
      <c r="UX29" s="66"/>
      <c r="UY29" s="66"/>
      <c r="UZ29" s="66"/>
      <c r="VA29" s="66"/>
      <c r="VB29" s="66"/>
      <c r="VC29" s="66"/>
      <c r="VD29" s="66"/>
      <c r="VE29" s="66"/>
      <c r="VF29" s="66"/>
      <c r="VG29" s="66"/>
      <c r="VH29" s="66"/>
      <c r="VI29" s="66"/>
      <c r="VJ29" s="66"/>
      <c r="VK29" s="66"/>
      <c r="VL29" s="66"/>
      <c r="VM29" s="66"/>
      <c r="VN29" s="66"/>
      <c r="VO29" s="66"/>
      <c r="VP29" s="66"/>
      <c r="VQ29" s="66"/>
      <c r="VR29" s="66"/>
      <c r="VS29" s="66"/>
      <c r="VT29" s="66"/>
      <c r="VU29" s="66"/>
      <c r="VV29" s="66"/>
      <c r="VW29" s="66"/>
      <c r="VX29" s="66"/>
      <c r="VY29" s="66"/>
      <c r="VZ29" s="66"/>
      <c r="WA29" s="66"/>
      <c r="WB29" s="66"/>
      <c r="WC29" s="66"/>
      <c r="WD29" s="66"/>
      <c r="WE29" s="66"/>
      <c r="WF29" s="66"/>
      <c r="WG29" s="66"/>
      <c r="WH29" s="66"/>
      <c r="WI29" s="66"/>
      <c r="WJ29" s="66"/>
      <c r="WK29" s="66"/>
      <c r="WL29" s="66"/>
      <c r="WM29" s="66"/>
      <c r="WN29" s="66"/>
      <c r="WO29" s="66"/>
      <c r="WP29" s="66"/>
      <c r="WQ29" s="66"/>
      <c r="WR29" s="66"/>
      <c r="WS29" s="66"/>
      <c r="WT29" s="66"/>
      <c r="WU29" s="66"/>
      <c r="WV29" s="66"/>
      <c r="WW29" s="66"/>
      <c r="WX29" s="66"/>
      <c r="WY29" s="66"/>
      <c r="WZ29" s="66"/>
      <c r="XA29" s="66"/>
      <c r="XB29" s="66"/>
      <c r="XC29" s="66"/>
      <c r="XD29" s="66"/>
      <c r="XE29" s="66"/>
      <c r="XF29" s="66"/>
      <c r="XG29" s="66"/>
      <c r="XH29" s="66"/>
      <c r="XI29" s="66"/>
      <c r="XJ29" s="66"/>
      <c r="XK29" s="66"/>
      <c r="XL29" s="66"/>
      <c r="XM29" s="66"/>
      <c r="XN29" s="66"/>
      <c r="XO29" s="66"/>
      <c r="XP29" s="66"/>
      <c r="XQ29" s="66"/>
      <c r="XR29" s="66"/>
      <c r="XS29" s="66"/>
      <c r="XT29" s="66"/>
      <c r="XU29" s="66"/>
      <c r="XV29" s="66"/>
      <c r="XW29" s="66"/>
      <c r="XX29" s="66"/>
      <c r="XY29" s="66"/>
      <c r="XZ29" s="66"/>
      <c r="YA29" s="66"/>
      <c r="YB29" s="66"/>
      <c r="YC29" s="66"/>
      <c r="YD29" s="66"/>
      <c r="YE29" s="66"/>
      <c r="YF29" s="66"/>
      <c r="YG29" s="66"/>
      <c r="YH29" s="66"/>
      <c r="YI29" s="66"/>
      <c r="YJ29" s="66"/>
      <c r="YK29" s="66"/>
      <c r="YL29" s="66"/>
      <c r="YM29" s="66"/>
      <c r="YN29" s="66"/>
      <c r="YO29" s="66"/>
      <c r="YP29" s="66"/>
      <c r="YQ29" s="66"/>
      <c r="YR29" s="66"/>
      <c r="YS29" s="66"/>
      <c r="YT29" s="66"/>
      <c r="YU29" s="66"/>
      <c r="YV29" s="66"/>
      <c r="YW29" s="66"/>
      <c r="YX29" s="66"/>
      <c r="YY29" s="66"/>
      <c r="YZ29" s="66"/>
      <c r="ZA29" s="66"/>
      <c r="ZB29" s="66"/>
      <c r="ZC29" s="66"/>
      <c r="ZD29" s="66"/>
      <c r="ZE29" s="66"/>
      <c r="ZF29" s="66"/>
      <c r="ZG29" s="66"/>
      <c r="ZH29" s="66"/>
      <c r="ZI29" s="66"/>
      <c r="ZJ29" s="66"/>
      <c r="ZK29" s="66"/>
      <c r="ZL29" s="66"/>
      <c r="ZM29" s="66"/>
      <c r="ZN29" s="66"/>
      <c r="ZO29" s="66"/>
      <c r="ZP29" s="66"/>
      <c r="ZQ29" s="66"/>
      <c r="ZR29" s="66"/>
      <c r="ZS29" s="66"/>
      <c r="ZT29" s="66"/>
      <c r="ZU29" s="66"/>
      <c r="ZV29" s="66"/>
      <c r="ZW29" s="66"/>
      <c r="ZX29" s="66"/>
    </row>
    <row r="30" spans="1:700" s="20" customFormat="1" ht="15.75" x14ac:dyDescent="0.25">
      <c r="A30" s="67"/>
      <c r="B30" s="68"/>
      <c r="C30" s="68"/>
      <c r="D30" s="69"/>
      <c r="E30" s="110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  <c r="CH30" s="66"/>
      <c r="CI30" s="66"/>
      <c r="CJ30" s="66"/>
      <c r="CK30" s="66"/>
      <c r="CL30" s="66"/>
      <c r="CM30" s="66"/>
      <c r="CN30" s="66"/>
      <c r="CO30" s="66"/>
      <c r="CP30" s="66"/>
      <c r="CQ30" s="66"/>
      <c r="CR30" s="66"/>
      <c r="CS30" s="66"/>
      <c r="CT30" s="66"/>
      <c r="CU30" s="66"/>
      <c r="CV30" s="66"/>
      <c r="CW30" s="66"/>
      <c r="CX30" s="66"/>
      <c r="CY30" s="66"/>
      <c r="CZ30" s="66"/>
      <c r="DA30" s="66"/>
      <c r="DB30" s="66"/>
      <c r="DC30" s="66"/>
      <c r="DD30" s="66"/>
      <c r="DE30" s="66"/>
      <c r="DF30" s="66"/>
      <c r="DG30" s="66"/>
      <c r="DH30" s="66"/>
      <c r="DI30" s="66"/>
      <c r="DJ30" s="66"/>
      <c r="DK30" s="66"/>
      <c r="DL30" s="66"/>
      <c r="DM30" s="66"/>
      <c r="DN30" s="66"/>
      <c r="DO30" s="66"/>
      <c r="DP30" s="66"/>
      <c r="DQ30" s="66"/>
      <c r="DR30" s="66"/>
      <c r="DS30" s="66"/>
      <c r="DT30" s="66"/>
      <c r="DU30" s="66"/>
      <c r="DV30" s="66"/>
      <c r="DW30" s="66"/>
      <c r="DX30" s="66"/>
      <c r="DY30" s="66"/>
      <c r="DZ30" s="66"/>
      <c r="EA30" s="66"/>
      <c r="EB30" s="66"/>
      <c r="EC30" s="66"/>
      <c r="ED30" s="66"/>
      <c r="EE30" s="66"/>
      <c r="EF30" s="66"/>
      <c r="EG30" s="66"/>
      <c r="EH30" s="66"/>
      <c r="EI30" s="66"/>
      <c r="EJ30" s="66"/>
      <c r="EK30" s="66"/>
      <c r="EL30" s="66"/>
      <c r="EM30" s="66"/>
      <c r="EN30" s="66"/>
      <c r="EO30" s="66"/>
      <c r="EP30" s="66"/>
      <c r="EQ30" s="66"/>
      <c r="ER30" s="66"/>
      <c r="ES30" s="66"/>
      <c r="ET30" s="66"/>
      <c r="EU30" s="66"/>
      <c r="EV30" s="66"/>
      <c r="EW30" s="66"/>
      <c r="EX30" s="66"/>
      <c r="EY30" s="66"/>
      <c r="EZ30" s="66"/>
      <c r="FA30" s="66"/>
      <c r="FB30" s="66"/>
      <c r="FC30" s="66"/>
      <c r="FD30" s="66"/>
      <c r="FE30" s="66"/>
      <c r="FF30" s="66"/>
      <c r="FG30" s="66"/>
      <c r="FH30" s="66"/>
      <c r="FI30" s="66"/>
      <c r="FJ30" s="66"/>
      <c r="FK30" s="66"/>
      <c r="FL30" s="66"/>
      <c r="FM30" s="66"/>
      <c r="FN30" s="66"/>
      <c r="FO30" s="66"/>
      <c r="FP30" s="66"/>
      <c r="FQ30" s="66"/>
      <c r="FR30" s="66"/>
      <c r="FS30" s="66"/>
      <c r="FT30" s="66"/>
      <c r="FU30" s="66"/>
      <c r="FV30" s="66"/>
      <c r="FW30" s="66"/>
      <c r="FX30" s="66"/>
      <c r="FY30" s="66"/>
      <c r="FZ30" s="66"/>
      <c r="GA30" s="66"/>
      <c r="GB30" s="66"/>
      <c r="GC30" s="66"/>
      <c r="GD30" s="66"/>
      <c r="GE30" s="66"/>
      <c r="GF30" s="66"/>
      <c r="GG30" s="66"/>
      <c r="GH30" s="66"/>
      <c r="GI30" s="66"/>
      <c r="GJ30" s="66"/>
      <c r="GK30" s="66"/>
      <c r="GL30" s="66"/>
      <c r="GM30" s="66"/>
      <c r="GN30" s="66"/>
      <c r="GO30" s="66"/>
      <c r="GP30" s="66"/>
      <c r="GQ30" s="66"/>
      <c r="GR30" s="66"/>
      <c r="GS30" s="66"/>
      <c r="GT30" s="66"/>
      <c r="GU30" s="66"/>
      <c r="GV30" s="66"/>
      <c r="GW30" s="66"/>
      <c r="GX30" s="66"/>
      <c r="GY30" s="66"/>
      <c r="GZ30" s="66"/>
      <c r="HA30" s="66"/>
      <c r="HB30" s="66"/>
      <c r="HC30" s="66"/>
      <c r="HD30" s="66"/>
      <c r="HE30" s="66"/>
      <c r="HF30" s="66"/>
      <c r="HG30" s="66"/>
      <c r="HH30" s="66"/>
      <c r="HI30" s="66"/>
      <c r="HJ30" s="66"/>
      <c r="HK30" s="66"/>
      <c r="HL30" s="66"/>
      <c r="HM30" s="66"/>
      <c r="HN30" s="66"/>
      <c r="HO30" s="66"/>
      <c r="HP30" s="66"/>
      <c r="HQ30" s="66"/>
      <c r="HR30" s="66"/>
      <c r="HS30" s="66"/>
      <c r="HT30" s="66"/>
      <c r="HU30" s="66"/>
      <c r="HV30" s="66"/>
      <c r="HW30" s="66"/>
      <c r="HX30" s="66"/>
      <c r="HY30" s="66"/>
      <c r="HZ30" s="66"/>
      <c r="IA30" s="66"/>
      <c r="IB30" s="66"/>
      <c r="IC30" s="66"/>
      <c r="ID30" s="66"/>
      <c r="IE30" s="66"/>
      <c r="IF30" s="66"/>
      <c r="IG30" s="66"/>
      <c r="IH30" s="66"/>
      <c r="II30" s="66"/>
      <c r="IJ30" s="66"/>
      <c r="IK30" s="66"/>
      <c r="IL30" s="66"/>
      <c r="IM30" s="66"/>
      <c r="IN30" s="66"/>
      <c r="IO30" s="66"/>
      <c r="IP30" s="66"/>
      <c r="IQ30" s="66"/>
      <c r="IR30" s="66"/>
      <c r="IS30" s="66"/>
      <c r="IT30" s="66"/>
      <c r="IU30" s="66"/>
      <c r="IV30" s="66"/>
      <c r="IW30" s="66"/>
      <c r="IX30" s="66"/>
      <c r="IY30" s="66"/>
      <c r="IZ30" s="66"/>
      <c r="JA30" s="66"/>
      <c r="JB30" s="66"/>
      <c r="JC30" s="66"/>
      <c r="JD30" s="66"/>
      <c r="JE30" s="66"/>
      <c r="JF30" s="66"/>
      <c r="JG30" s="66"/>
      <c r="JH30" s="66"/>
      <c r="JI30" s="66"/>
      <c r="JJ30" s="66"/>
      <c r="JK30" s="66"/>
      <c r="JL30" s="66"/>
      <c r="JM30" s="66"/>
      <c r="JN30" s="66"/>
      <c r="JO30" s="66"/>
      <c r="JP30" s="66"/>
      <c r="JQ30" s="66"/>
      <c r="JR30" s="66"/>
      <c r="JS30" s="66"/>
      <c r="JT30" s="66"/>
      <c r="JU30" s="66"/>
      <c r="JV30" s="66"/>
      <c r="JW30" s="66"/>
      <c r="JX30" s="66"/>
      <c r="JY30" s="66"/>
      <c r="JZ30" s="66"/>
      <c r="KA30" s="66"/>
      <c r="KB30" s="66"/>
      <c r="KC30" s="66"/>
      <c r="KD30" s="66"/>
      <c r="KE30" s="66"/>
      <c r="KF30" s="66"/>
      <c r="KG30" s="66"/>
      <c r="KH30" s="66"/>
      <c r="KI30" s="66"/>
      <c r="KJ30" s="66"/>
      <c r="KK30" s="66"/>
      <c r="KL30" s="66"/>
      <c r="KM30" s="66"/>
      <c r="KN30" s="66"/>
      <c r="KO30" s="66"/>
      <c r="KP30" s="66"/>
      <c r="KQ30" s="66"/>
      <c r="KR30" s="66"/>
      <c r="KS30" s="66"/>
      <c r="KT30" s="66"/>
      <c r="KU30" s="66"/>
      <c r="KV30" s="66"/>
      <c r="KW30" s="66"/>
      <c r="KX30" s="66"/>
      <c r="KY30" s="66"/>
      <c r="KZ30" s="66"/>
      <c r="LA30" s="66"/>
      <c r="LB30" s="66"/>
      <c r="LC30" s="66"/>
      <c r="LD30" s="66"/>
      <c r="LE30" s="66"/>
      <c r="LF30" s="66"/>
      <c r="LG30" s="66"/>
      <c r="LH30" s="66"/>
      <c r="LI30" s="66"/>
      <c r="LJ30" s="66"/>
      <c r="LK30" s="66"/>
      <c r="LL30" s="66"/>
      <c r="LM30" s="66"/>
      <c r="LN30" s="66"/>
      <c r="LO30" s="66"/>
      <c r="LP30" s="66"/>
      <c r="LQ30" s="66"/>
      <c r="LR30" s="66"/>
      <c r="LS30" s="66"/>
      <c r="LT30" s="66"/>
      <c r="LU30" s="66"/>
      <c r="LV30" s="66"/>
      <c r="LW30" s="66"/>
      <c r="LX30" s="66"/>
      <c r="LY30" s="66"/>
      <c r="LZ30" s="66"/>
      <c r="MA30" s="66"/>
      <c r="MB30" s="66"/>
      <c r="MC30" s="66"/>
      <c r="MD30" s="66"/>
      <c r="ME30" s="66"/>
      <c r="MF30" s="66"/>
      <c r="MG30" s="66"/>
      <c r="MH30" s="66"/>
      <c r="MI30" s="66"/>
      <c r="MJ30" s="66"/>
      <c r="MK30" s="66"/>
      <c r="ML30" s="66"/>
      <c r="MM30" s="66"/>
      <c r="MN30" s="66"/>
      <c r="MO30" s="66"/>
      <c r="MP30" s="66"/>
      <c r="MQ30" s="66"/>
      <c r="MR30" s="66"/>
      <c r="MS30" s="66"/>
      <c r="MT30" s="66"/>
      <c r="MU30" s="66"/>
      <c r="MV30" s="66"/>
      <c r="MW30" s="66"/>
      <c r="MX30" s="66"/>
      <c r="MY30" s="66"/>
      <c r="MZ30" s="66"/>
      <c r="NA30" s="66"/>
      <c r="NB30" s="66"/>
      <c r="NC30" s="66"/>
      <c r="ND30" s="66"/>
      <c r="NE30" s="66"/>
      <c r="NF30" s="66"/>
      <c r="NG30" s="66"/>
      <c r="NH30" s="66"/>
      <c r="NI30" s="66"/>
      <c r="NJ30" s="66"/>
      <c r="NK30" s="66"/>
      <c r="NL30" s="66"/>
      <c r="NM30" s="66"/>
      <c r="NN30" s="66"/>
      <c r="NO30" s="66"/>
      <c r="NP30" s="66"/>
      <c r="NQ30" s="66"/>
      <c r="NR30" s="66"/>
      <c r="NS30" s="66"/>
      <c r="NT30" s="66"/>
      <c r="NU30" s="66"/>
      <c r="NV30" s="66"/>
      <c r="NW30" s="66"/>
      <c r="NX30" s="66"/>
      <c r="NY30" s="66"/>
      <c r="NZ30" s="66"/>
      <c r="OA30" s="66"/>
      <c r="OB30" s="66"/>
      <c r="OC30" s="66"/>
      <c r="OD30" s="66"/>
      <c r="OE30" s="66"/>
      <c r="OF30" s="66"/>
      <c r="OG30" s="66"/>
      <c r="OH30" s="66"/>
      <c r="OI30" s="66"/>
      <c r="OJ30" s="66"/>
      <c r="OK30" s="66"/>
      <c r="OL30" s="66"/>
      <c r="OM30" s="66"/>
      <c r="ON30" s="66"/>
      <c r="OO30" s="66"/>
      <c r="OP30" s="66"/>
      <c r="OQ30" s="66"/>
      <c r="OR30" s="66"/>
      <c r="OS30" s="66"/>
      <c r="OT30" s="66"/>
      <c r="OU30" s="66"/>
      <c r="OV30" s="66"/>
      <c r="OW30" s="66"/>
      <c r="OX30" s="66"/>
      <c r="OY30" s="66"/>
      <c r="OZ30" s="66"/>
      <c r="PA30" s="66"/>
      <c r="PB30" s="66"/>
      <c r="PC30" s="66"/>
      <c r="PD30" s="66"/>
      <c r="PE30" s="66"/>
      <c r="PF30" s="66"/>
      <c r="PG30" s="66"/>
      <c r="PH30" s="66"/>
      <c r="PI30" s="66"/>
      <c r="PJ30" s="66"/>
      <c r="PK30" s="66"/>
      <c r="PL30" s="66"/>
      <c r="PM30" s="66"/>
      <c r="PN30" s="66"/>
      <c r="PO30" s="66"/>
      <c r="PP30" s="66"/>
      <c r="PQ30" s="66"/>
      <c r="PR30" s="66"/>
      <c r="PS30" s="66"/>
      <c r="PT30" s="66"/>
      <c r="PU30" s="66"/>
      <c r="PV30" s="66"/>
      <c r="PW30" s="66"/>
      <c r="PX30" s="66"/>
      <c r="PY30" s="66"/>
      <c r="PZ30" s="66"/>
      <c r="QA30" s="66"/>
      <c r="QB30" s="66"/>
      <c r="QC30" s="66"/>
      <c r="QD30" s="66"/>
      <c r="QE30" s="66"/>
      <c r="QF30" s="66"/>
      <c r="QG30" s="66"/>
      <c r="QH30" s="66"/>
      <c r="QI30" s="66"/>
      <c r="QJ30" s="66"/>
      <c r="QK30" s="66"/>
      <c r="QL30" s="66"/>
      <c r="QM30" s="66"/>
      <c r="QN30" s="66"/>
      <c r="QO30" s="66"/>
      <c r="QP30" s="66"/>
      <c r="QQ30" s="66"/>
      <c r="QR30" s="66"/>
      <c r="QS30" s="66"/>
      <c r="QT30" s="66"/>
      <c r="QU30" s="66"/>
      <c r="QV30" s="66"/>
      <c r="QW30" s="66"/>
      <c r="QX30" s="66"/>
      <c r="QY30" s="66"/>
      <c r="QZ30" s="66"/>
      <c r="RA30" s="66"/>
      <c r="RB30" s="66"/>
      <c r="RC30" s="66"/>
      <c r="RD30" s="66"/>
      <c r="RE30" s="66"/>
      <c r="RF30" s="66"/>
      <c r="RG30" s="66"/>
      <c r="RH30" s="66"/>
      <c r="RI30" s="66"/>
      <c r="RJ30" s="66"/>
      <c r="RK30" s="66"/>
      <c r="RL30" s="66"/>
      <c r="RM30" s="66"/>
      <c r="RN30" s="66"/>
      <c r="RO30" s="66"/>
      <c r="RP30" s="66"/>
      <c r="RQ30" s="66"/>
      <c r="RR30" s="66"/>
      <c r="RS30" s="66"/>
      <c r="RT30" s="66"/>
      <c r="RU30" s="66"/>
      <c r="RV30" s="66"/>
      <c r="RW30" s="66"/>
      <c r="RX30" s="66"/>
      <c r="RY30" s="66"/>
      <c r="RZ30" s="66"/>
      <c r="SA30" s="66"/>
      <c r="SB30" s="66"/>
      <c r="SC30" s="66"/>
      <c r="SD30" s="66"/>
      <c r="SE30" s="66"/>
      <c r="SF30" s="66"/>
      <c r="SG30" s="66"/>
      <c r="SH30" s="66"/>
      <c r="SI30" s="66"/>
      <c r="SJ30" s="66"/>
      <c r="SK30" s="66"/>
      <c r="SL30" s="66"/>
      <c r="SM30" s="66"/>
      <c r="SN30" s="66"/>
      <c r="SO30" s="66"/>
      <c r="SP30" s="66"/>
      <c r="SQ30" s="66"/>
      <c r="SR30" s="66"/>
      <c r="SS30" s="66"/>
      <c r="ST30" s="66"/>
      <c r="SU30" s="66"/>
      <c r="SV30" s="66"/>
      <c r="SW30" s="66"/>
      <c r="SX30" s="66"/>
      <c r="SY30" s="66"/>
      <c r="SZ30" s="66"/>
      <c r="TA30" s="66"/>
      <c r="TB30" s="66"/>
      <c r="TC30" s="66"/>
      <c r="TD30" s="66"/>
      <c r="TE30" s="66"/>
      <c r="TF30" s="66"/>
      <c r="TG30" s="66"/>
      <c r="TH30" s="66"/>
      <c r="TI30" s="66"/>
      <c r="TJ30" s="66"/>
      <c r="TK30" s="66"/>
      <c r="TL30" s="66"/>
      <c r="TM30" s="66"/>
      <c r="TN30" s="66"/>
      <c r="TO30" s="66"/>
      <c r="TP30" s="66"/>
      <c r="TQ30" s="66"/>
      <c r="TR30" s="66"/>
      <c r="TS30" s="66"/>
      <c r="TT30" s="66"/>
      <c r="TU30" s="66"/>
      <c r="TV30" s="66"/>
      <c r="TW30" s="66"/>
      <c r="TX30" s="66"/>
      <c r="TY30" s="66"/>
      <c r="TZ30" s="66"/>
      <c r="UA30" s="66"/>
      <c r="UB30" s="66"/>
      <c r="UC30" s="66"/>
      <c r="UD30" s="66"/>
      <c r="UE30" s="66"/>
      <c r="UF30" s="66"/>
      <c r="UG30" s="66"/>
      <c r="UH30" s="66"/>
      <c r="UI30" s="66"/>
      <c r="UJ30" s="66"/>
      <c r="UK30" s="66"/>
      <c r="UL30" s="66"/>
      <c r="UM30" s="66"/>
      <c r="UN30" s="66"/>
      <c r="UO30" s="66"/>
      <c r="UP30" s="66"/>
      <c r="UQ30" s="66"/>
      <c r="UR30" s="66"/>
      <c r="US30" s="66"/>
      <c r="UT30" s="66"/>
      <c r="UU30" s="66"/>
      <c r="UV30" s="66"/>
      <c r="UW30" s="66"/>
      <c r="UX30" s="66"/>
      <c r="UY30" s="66"/>
      <c r="UZ30" s="66"/>
      <c r="VA30" s="66"/>
      <c r="VB30" s="66"/>
      <c r="VC30" s="66"/>
      <c r="VD30" s="66"/>
      <c r="VE30" s="66"/>
      <c r="VF30" s="66"/>
      <c r="VG30" s="66"/>
      <c r="VH30" s="66"/>
      <c r="VI30" s="66"/>
      <c r="VJ30" s="66"/>
      <c r="VK30" s="66"/>
      <c r="VL30" s="66"/>
      <c r="VM30" s="66"/>
      <c r="VN30" s="66"/>
      <c r="VO30" s="66"/>
      <c r="VP30" s="66"/>
      <c r="VQ30" s="66"/>
      <c r="VR30" s="66"/>
      <c r="VS30" s="66"/>
      <c r="VT30" s="66"/>
      <c r="VU30" s="66"/>
      <c r="VV30" s="66"/>
      <c r="VW30" s="66"/>
      <c r="VX30" s="66"/>
      <c r="VY30" s="66"/>
      <c r="VZ30" s="66"/>
      <c r="WA30" s="66"/>
      <c r="WB30" s="66"/>
      <c r="WC30" s="66"/>
      <c r="WD30" s="66"/>
      <c r="WE30" s="66"/>
      <c r="WF30" s="66"/>
      <c r="WG30" s="66"/>
      <c r="WH30" s="66"/>
      <c r="WI30" s="66"/>
      <c r="WJ30" s="66"/>
      <c r="WK30" s="66"/>
      <c r="WL30" s="66"/>
      <c r="WM30" s="66"/>
      <c r="WN30" s="66"/>
      <c r="WO30" s="66"/>
      <c r="WP30" s="66"/>
      <c r="WQ30" s="66"/>
      <c r="WR30" s="66"/>
      <c r="WS30" s="66"/>
      <c r="WT30" s="66"/>
      <c r="WU30" s="66"/>
      <c r="WV30" s="66"/>
      <c r="WW30" s="66"/>
      <c r="WX30" s="66"/>
      <c r="WY30" s="66"/>
      <c r="WZ30" s="66"/>
      <c r="XA30" s="66"/>
      <c r="XB30" s="66"/>
      <c r="XC30" s="66"/>
      <c r="XD30" s="66"/>
      <c r="XE30" s="66"/>
      <c r="XF30" s="66"/>
      <c r="XG30" s="66"/>
      <c r="XH30" s="66"/>
      <c r="XI30" s="66"/>
      <c r="XJ30" s="66"/>
      <c r="XK30" s="66"/>
      <c r="XL30" s="66"/>
      <c r="XM30" s="66"/>
      <c r="XN30" s="66"/>
      <c r="XO30" s="66"/>
      <c r="XP30" s="66"/>
      <c r="XQ30" s="66"/>
      <c r="XR30" s="66"/>
      <c r="XS30" s="66"/>
      <c r="XT30" s="66"/>
      <c r="XU30" s="66"/>
      <c r="XV30" s="66"/>
      <c r="XW30" s="66"/>
      <c r="XX30" s="66"/>
      <c r="XY30" s="66"/>
      <c r="XZ30" s="66"/>
      <c r="YA30" s="66"/>
      <c r="YB30" s="66"/>
      <c r="YC30" s="66"/>
      <c r="YD30" s="66"/>
      <c r="YE30" s="66"/>
      <c r="YF30" s="66"/>
      <c r="YG30" s="66"/>
      <c r="YH30" s="66"/>
      <c r="YI30" s="66"/>
      <c r="YJ30" s="66"/>
      <c r="YK30" s="66"/>
      <c r="YL30" s="66"/>
      <c r="YM30" s="66"/>
      <c r="YN30" s="66"/>
      <c r="YO30" s="66"/>
      <c r="YP30" s="66"/>
      <c r="YQ30" s="66"/>
      <c r="YR30" s="66"/>
      <c r="YS30" s="66"/>
      <c r="YT30" s="66"/>
      <c r="YU30" s="66"/>
      <c r="YV30" s="66"/>
      <c r="YW30" s="66"/>
      <c r="YX30" s="66"/>
      <c r="YY30" s="66"/>
      <c r="YZ30" s="66"/>
      <c r="ZA30" s="66"/>
      <c r="ZB30" s="66"/>
      <c r="ZC30" s="66"/>
      <c r="ZD30" s="66"/>
      <c r="ZE30" s="66"/>
      <c r="ZF30" s="66"/>
      <c r="ZG30" s="66"/>
      <c r="ZH30" s="66"/>
      <c r="ZI30" s="66"/>
      <c r="ZJ30" s="66"/>
      <c r="ZK30" s="66"/>
      <c r="ZL30" s="66"/>
      <c r="ZM30" s="66"/>
      <c r="ZN30" s="66"/>
      <c r="ZO30" s="66"/>
      <c r="ZP30" s="66"/>
      <c r="ZQ30" s="66"/>
      <c r="ZR30" s="66"/>
      <c r="ZS30" s="66"/>
      <c r="ZT30" s="66"/>
      <c r="ZU30" s="66"/>
      <c r="ZV30" s="66"/>
      <c r="ZW30" s="66"/>
      <c r="ZX30" s="66"/>
    </row>
    <row r="31" spans="1:700" s="20" customFormat="1" ht="15.75" x14ac:dyDescent="0.25">
      <c r="A31" s="67"/>
      <c r="B31" s="68"/>
      <c r="C31" s="68"/>
      <c r="D31" s="69"/>
      <c r="E31" s="110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  <c r="CH31" s="66"/>
      <c r="CI31" s="66"/>
      <c r="CJ31" s="66"/>
      <c r="CK31" s="66"/>
      <c r="CL31" s="66"/>
      <c r="CM31" s="66"/>
      <c r="CN31" s="66"/>
      <c r="CO31" s="66"/>
      <c r="CP31" s="66"/>
      <c r="CQ31" s="66"/>
      <c r="CR31" s="66"/>
      <c r="CS31" s="66"/>
      <c r="CT31" s="66"/>
      <c r="CU31" s="66"/>
      <c r="CV31" s="66"/>
      <c r="CW31" s="66"/>
      <c r="CX31" s="66"/>
      <c r="CY31" s="66"/>
      <c r="CZ31" s="66"/>
      <c r="DA31" s="66"/>
      <c r="DB31" s="66"/>
      <c r="DC31" s="66"/>
      <c r="DD31" s="66"/>
      <c r="DE31" s="66"/>
      <c r="DF31" s="66"/>
      <c r="DG31" s="66"/>
      <c r="DH31" s="66"/>
      <c r="DI31" s="66"/>
      <c r="DJ31" s="66"/>
      <c r="DK31" s="66"/>
      <c r="DL31" s="66"/>
      <c r="DM31" s="66"/>
      <c r="DN31" s="66"/>
      <c r="DO31" s="66"/>
      <c r="DP31" s="66"/>
      <c r="DQ31" s="66"/>
      <c r="DR31" s="66"/>
      <c r="DS31" s="66"/>
      <c r="DT31" s="66"/>
      <c r="DU31" s="66"/>
      <c r="DV31" s="66"/>
      <c r="DW31" s="66"/>
      <c r="DX31" s="66"/>
      <c r="DY31" s="66"/>
      <c r="DZ31" s="66"/>
      <c r="EA31" s="66"/>
      <c r="EB31" s="66"/>
      <c r="EC31" s="66"/>
      <c r="ED31" s="66"/>
      <c r="EE31" s="66"/>
      <c r="EF31" s="66"/>
      <c r="EG31" s="66"/>
      <c r="EH31" s="66"/>
      <c r="EI31" s="66"/>
      <c r="EJ31" s="66"/>
      <c r="EK31" s="66"/>
      <c r="EL31" s="66"/>
      <c r="EM31" s="66"/>
      <c r="EN31" s="66"/>
      <c r="EO31" s="66"/>
      <c r="EP31" s="66"/>
      <c r="EQ31" s="66"/>
      <c r="ER31" s="66"/>
      <c r="ES31" s="66"/>
      <c r="ET31" s="66"/>
      <c r="EU31" s="66"/>
      <c r="EV31" s="66"/>
      <c r="EW31" s="66"/>
      <c r="EX31" s="66"/>
      <c r="EY31" s="66"/>
      <c r="EZ31" s="66"/>
      <c r="FA31" s="66"/>
      <c r="FB31" s="66"/>
      <c r="FC31" s="66"/>
      <c r="FD31" s="66"/>
      <c r="FE31" s="66"/>
      <c r="FF31" s="66"/>
      <c r="FG31" s="66"/>
      <c r="FH31" s="66"/>
      <c r="FI31" s="66"/>
      <c r="FJ31" s="66"/>
      <c r="FK31" s="66"/>
      <c r="FL31" s="66"/>
      <c r="FM31" s="66"/>
      <c r="FN31" s="66"/>
      <c r="FO31" s="66"/>
      <c r="FP31" s="66"/>
      <c r="FQ31" s="66"/>
      <c r="FR31" s="66"/>
      <c r="FS31" s="66"/>
      <c r="FT31" s="66"/>
      <c r="FU31" s="66"/>
      <c r="FV31" s="66"/>
      <c r="FW31" s="66"/>
      <c r="FX31" s="66"/>
      <c r="FY31" s="66"/>
      <c r="FZ31" s="66"/>
      <c r="GA31" s="66"/>
      <c r="GB31" s="66"/>
      <c r="GC31" s="66"/>
      <c r="GD31" s="66"/>
      <c r="GE31" s="66"/>
      <c r="GF31" s="66"/>
      <c r="GG31" s="66"/>
      <c r="GH31" s="66"/>
      <c r="GI31" s="66"/>
      <c r="GJ31" s="66"/>
      <c r="GK31" s="66"/>
      <c r="GL31" s="66"/>
      <c r="GM31" s="66"/>
      <c r="GN31" s="66"/>
      <c r="GO31" s="66"/>
      <c r="GP31" s="66"/>
      <c r="GQ31" s="66"/>
      <c r="GR31" s="66"/>
      <c r="GS31" s="66"/>
      <c r="GT31" s="66"/>
      <c r="GU31" s="66"/>
      <c r="GV31" s="66"/>
      <c r="GW31" s="66"/>
      <c r="GX31" s="66"/>
      <c r="GY31" s="66"/>
      <c r="GZ31" s="66"/>
      <c r="HA31" s="66"/>
      <c r="HB31" s="66"/>
      <c r="HC31" s="66"/>
      <c r="HD31" s="66"/>
      <c r="HE31" s="66"/>
      <c r="HF31" s="66"/>
      <c r="HG31" s="66"/>
      <c r="HH31" s="66"/>
      <c r="HI31" s="66"/>
      <c r="HJ31" s="66"/>
      <c r="HK31" s="66"/>
      <c r="HL31" s="66"/>
      <c r="HM31" s="66"/>
      <c r="HN31" s="66"/>
      <c r="HO31" s="66"/>
      <c r="HP31" s="66"/>
      <c r="HQ31" s="66"/>
      <c r="HR31" s="66"/>
      <c r="HS31" s="66"/>
      <c r="HT31" s="66"/>
      <c r="HU31" s="66"/>
      <c r="HV31" s="66"/>
      <c r="HW31" s="66"/>
      <c r="HX31" s="66"/>
      <c r="HY31" s="66"/>
      <c r="HZ31" s="66"/>
      <c r="IA31" s="66"/>
      <c r="IB31" s="66"/>
      <c r="IC31" s="66"/>
      <c r="ID31" s="66"/>
      <c r="IE31" s="66"/>
      <c r="IF31" s="66"/>
      <c r="IG31" s="66"/>
      <c r="IH31" s="66"/>
      <c r="II31" s="66"/>
      <c r="IJ31" s="66"/>
      <c r="IK31" s="66"/>
      <c r="IL31" s="66"/>
      <c r="IM31" s="66"/>
      <c r="IN31" s="66"/>
      <c r="IO31" s="66"/>
      <c r="IP31" s="66"/>
      <c r="IQ31" s="66"/>
      <c r="IR31" s="66"/>
      <c r="IS31" s="66"/>
      <c r="IT31" s="66"/>
      <c r="IU31" s="66"/>
      <c r="IV31" s="66"/>
      <c r="IW31" s="66"/>
      <c r="IX31" s="66"/>
      <c r="IY31" s="66"/>
      <c r="IZ31" s="66"/>
      <c r="JA31" s="66"/>
      <c r="JB31" s="66"/>
      <c r="JC31" s="66"/>
      <c r="JD31" s="66"/>
      <c r="JE31" s="66"/>
      <c r="JF31" s="66"/>
      <c r="JG31" s="66"/>
      <c r="JH31" s="66"/>
      <c r="JI31" s="66"/>
      <c r="JJ31" s="66"/>
      <c r="JK31" s="66"/>
      <c r="JL31" s="66"/>
      <c r="JM31" s="66"/>
      <c r="JN31" s="66"/>
      <c r="JO31" s="66"/>
      <c r="JP31" s="66"/>
      <c r="JQ31" s="66"/>
      <c r="JR31" s="66"/>
      <c r="JS31" s="66"/>
      <c r="JT31" s="66"/>
      <c r="JU31" s="66"/>
      <c r="JV31" s="66"/>
      <c r="JW31" s="66"/>
      <c r="JX31" s="66"/>
      <c r="JY31" s="66"/>
      <c r="JZ31" s="66"/>
      <c r="KA31" s="66"/>
      <c r="KB31" s="66"/>
      <c r="KC31" s="66"/>
      <c r="KD31" s="66"/>
      <c r="KE31" s="66"/>
      <c r="KF31" s="66"/>
      <c r="KG31" s="66"/>
      <c r="KH31" s="66"/>
      <c r="KI31" s="66"/>
      <c r="KJ31" s="66"/>
      <c r="KK31" s="66"/>
      <c r="KL31" s="66"/>
      <c r="KM31" s="66"/>
      <c r="KN31" s="66"/>
      <c r="KO31" s="66"/>
      <c r="KP31" s="66"/>
      <c r="KQ31" s="66"/>
      <c r="KR31" s="66"/>
      <c r="KS31" s="66"/>
      <c r="KT31" s="66"/>
      <c r="KU31" s="66"/>
      <c r="KV31" s="66"/>
      <c r="KW31" s="66"/>
      <c r="KX31" s="66"/>
      <c r="KY31" s="66"/>
      <c r="KZ31" s="66"/>
      <c r="LA31" s="66"/>
      <c r="LB31" s="66"/>
      <c r="LC31" s="66"/>
      <c r="LD31" s="66"/>
      <c r="LE31" s="66"/>
      <c r="LF31" s="66"/>
      <c r="LG31" s="66"/>
      <c r="LH31" s="66"/>
      <c r="LI31" s="66"/>
      <c r="LJ31" s="66"/>
      <c r="LK31" s="66"/>
      <c r="LL31" s="66"/>
      <c r="LM31" s="66"/>
      <c r="LN31" s="66"/>
      <c r="LO31" s="66"/>
      <c r="LP31" s="66"/>
      <c r="LQ31" s="66"/>
      <c r="LR31" s="66"/>
      <c r="LS31" s="66"/>
      <c r="LT31" s="66"/>
      <c r="LU31" s="66"/>
      <c r="LV31" s="66"/>
      <c r="LW31" s="66"/>
      <c r="LX31" s="66"/>
      <c r="LY31" s="66"/>
      <c r="LZ31" s="66"/>
      <c r="MA31" s="66"/>
      <c r="MB31" s="66"/>
      <c r="MC31" s="66"/>
      <c r="MD31" s="66"/>
      <c r="ME31" s="66"/>
      <c r="MF31" s="66"/>
      <c r="MG31" s="66"/>
      <c r="MH31" s="66"/>
      <c r="MI31" s="66"/>
      <c r="MJ31" s="66"/>
      <c r="MK31" s="66"/>
      <c r="ML31" s="66"/>
      <c r="MM31" s="66"/>
      <c r="MN31" s="66"/>
      <c r="MO31" s="66"/>
      <c r="MP31" s="66"/>
      <c r="MQ31" s="66"/>
      <c r="MR31" s="66"/>
      <c r="MS31" s="66"/>
      <c r="MT31" s="66"/>
      <c r="MU31" s="66"/>
      <c r="MV31" s="66"/>
      <c r="MW31" s="66"/>
      <c r="MX31" s="66"/>
      <c r="MY31" s="66"/>
      <c r="MZ31" s="66"/>
      <c r="NA31" s="66"/>
      <c r="NB31" s="66"/>
      <c r="NC31" s="66"/>
      <c r="ND31" s="66"/>
      <c r="NE31" s="66"/>
      <c r="NF31" s="66"/>
      <c r="NG31" s="66"/>
      <c r="NH31" s="66"/>
      <c r="NI31" s="66"/>
      <c r="NJ31" s="66"/>
      <c r="NK31" s="66"/>
      <c r="NL31" s="66"/>
      <c r="NM31" s="66"/>
      <c r="NN31" s="66"/>
      <c r="NO31" s="66"/>
      <c r="NP31" s="66"/>
      <c r="NQ31" s="66"/>
      <c r="NR31" s="66"/>
      <c r="NS31" s="66"/>
      <c r="NT31" s="66"/>
      <c r="NU31" s="66"/>
      <c r="NV31" s="66"/>
      <c r="NW31" s="66"/>
      <c r="NX31" s="66"/>
      <c r="NY31" s="66"/>
      <c r="NZ31" s="66"/>
      <c r="OA31" s="66"/>
      <c r="OB31" s="66"/>
      <c r="OC31" s="66"/>
      <c r="OD31" s="66"/>
      <c r="OE31" s="66"/>
      <c r="OF31" s="66"/>
      <c r="OG31" s="66"/>
      <c r="OH31" s="66"/>
      <c r="OI31" s="66"/>
      <c r="OJ31" s="66"/>
      <c r="OK31" s="66"/>
      <c r="OL31" s="66"/>
      <c r="OM31" s="66"/>
      <c r="ON31" s="66"/>
      <c r="OO31" s="66"/>
      <c r="OP31" s="66"/>
      <c r="OQ31" s="66"/>
      <c r="OR31" s="66"/>
      <c r="OS31" s="66"/>
      <c r="OT31" s="66"/>
      <c r="OU31" s="66"/>
      <c r="OV31" s="66"/>
      <c r="OW31" s="66"/>
      <c r="OX31" s="66"/>
      <c r="OY31" s="66"/>
      <c r="OZ31" s="66"/>
      <c r="PA31" s="66"/>
      <c r="PB31" s="66"/>
      <c r="PC31" s="66"/>
      <c r="PD31" s="66"/>
      <c r="PE31" s="66"/>
      <c r="PF31" s="66"/>
      <c r="PG31" s="66"/>
      <c r="PH31" s="66"/>
      <c r="PI31" s="66"/>
      <c r="PJ31" s="66"/>
      <c r="PK31" s="66"/>
      <c r="PL31" s="66"/>
      <c r="PM31" s="66"/>
      <c r="PN31" s="66"/>
      <c r="PO31" s="66"/>
      <c r="PP31" s="66"/>
      <c r="PQ31" s="66"/>
      <c r="PR31" s="66"/>
      <c r="PS31" s="66"/>
      <c r="PT31" s="66"/>
      <c r="PU31" s="66"/>
      <c r="PV31" s="66"/>
      <c r="PW31" s="66"/>
      <c r="PX31" s="66"/>
      <c r="PY31" s="66"/>
      <c r="PZ31" s="66"/>
      <c r="QA31" s="66"/>
      <c r="QB31" s="66"/>
      <c r="QC31" s="66"/>
      <c r="QD31" s="66"/>
      <c r="QE31" s="66"/>
      <c r="QF31" s="66"/>
      <c r="QG31" s="66"/>
      <c r="QH31" s="66"/>
      <c r="QI31" s="66"/>
      <c r="QJ31" s="66"/>
      <c r="QK31" s="66"/>
      <c r="QL31" s="66"/>
      <c r="QM31" s="66"/>
      <c r="QN31" s="66"/>
      <c r="QO31" s="66"/>
      <c r="QP31" s="66"/>
      <c r="QQ31" s="66"/>
      <c r="QR31" s="66"/>
      <c r="QS31" s="66"/>
      <c r="QT31" s="66"/>
      <c r="QU31" s="66"/>
      <c r="QV31" s="66"/>
      <c r="QW31" s="66"/>
      <c r="QX31" s="66"/>
      <c r="QY31" s="66"/>
      <c r="QZ31" s="66"/>
      <c r="RA31" s="66"/>
      <c r="RB31" s="66"/>
      <c r="RC31" s="66"/>
      <c r="RD31" s="66"/>
      <c r="RE31" s="66"/>
      <c r="RF31" s="66"/>
      <c r="RG31" s="66"/>
      <c r="RH31" s="66"/>
      <c r="RI31" s="66"/>
      <c r="RJ31" s="66"/>
      <c r="RK31" s="66"/>
      <c r="RL31" s="66"/>
      <c r="RM31" s="66"/>
      <c r="RN31" s="66"/>
      <c r="RO31" s="66"/>
      <c r="RP31" s="66"/>
      <c r="RQ31" s="66"/>
      <c r="RR31" s="66"/>
      <c r="RS31" s="66"/>
      <c r="RT31" s="66"/>
      <c r="RU31" s="66"/>
      <c r="RV31" s="66"/>
      <c r="RW31" s="66"/>
      <c r="RX31" s="66"/>
      <c r="RY31" s="66"/>
      <c r="RZ31" s="66"/>
      <c r="SA31" s="66"/>
      <c r="SB31" s="66"/>
      <c r="SC31" s="66"/>
      <c r="SD31" s="66"/>
      <c r="SE31" s="66"/>
      <c r="SF31" s="66"/>
      <c r="SG31" s="66"/>
      <c r="SH31" s="66"/>
      <c r="SI31" s="66"/>
      <c r="SJ31" s="66"/>
      <c r="SK31" s="66"/>
      <c r="SL31" s="66"/>
      <c r="SM31" s="66"/>
      <c r="SN31" s="66"/>
      <c r="SO31" s="66"/>
      <c r="SP31" s="66"/>
      <c r="SQ31" s="66"/>
      <c r="SR31" s="66"/>
      <c r="SS31" s="66"/>
      <c r="ST31" s="66"/>
      <c r="SU31" s="66"/>
      <c r="SV31" s="66"/>
      <c r="SW31" s="66"/>
      <c r="SX31" s="66"/>
      <c r="SY31" s="66"/>
      <c r="SZ31" s="66"/>
      <c r="TA31" s="66"/>
      <c r="TB31" s="66"/>
      <c r="TC31" s="66"/>
      <c r="TD31" s="66"/>
      <c r="TE31" s="66"/>
      <c r="TF31" s="66"/>
      <c r="TG31" s="66"/>
      <c r="TH31" s="66"/>
      <c r="TI31" s="66"/>
      <c r="TJ31" s="66"/>
      <c r="TK31" s="66"/>
      <c r="TL31" s="66"/>
      <c r="TM31" s="66"/>
      <c r="TN31" s="66"/>
      <c r="TO31" s="66"/>
      <c r="TP31" s="66"/>
      <c r="TQ31" s="66"/>
      <c r="TR31" s="66"/>
      <c r="TS31" s="66"/>
      <c r="TT31" s="66"/>
      <c r="TU31" s="66"/>
      <c r="TV31" s="66"/>
      <c r="TW31" s="66"/>
      <c r="TX31" s="66"/>
      <c r="TY31" s="66"/>
      <c r="TZ31" s="66"/>
      <c r="UA31" s="66"/>
      <c r="UB31" s="66"/>
      <c r="UC31" s="66"/>
      <c r="UD31" s="66"/>
      <c r="UE31" s="66"/>
      <c r="UF31" s="66"/>
      <c r="UG31" s="66"/>
      <c r="UH31" s="66"/>
      <c r="UI31" s="66"/>
      <c r="UJ31" s="66"/>
      <c r="UK31" s="66"/>
      <c r="UL31" s="66"/>
      <c r="UM31" s="66"/>
      <c r="UN31" s="66"/>
      <c r="UO31" s="66"/>
      <c r="UP31" s="66"/>
      <c r="UQ31" s="66"/>
      <c r="UR31" s="66"/>
      <c r="US31" s="66"/>
      <c r="UT31" s="66"/>
      <c r="UU31" s="66"/>
      <c r="UV31" s="66"/>
      <c r="UW31" s="66"/>
      <c r="UX31" s="66"/>
      <c r="UY31" s="66"/>
      <c r="UZ31" s="66"/>
      <c r="VA31" s="66"/>
      <c r="VB31" s="66"/>
      <c r="VC31" s="66"/>
      <c r="VD31" s="66"/>
      <c r="VE31" s="66"/>
      <c r="VF31" s="66"/>
      <c r="VG31" s="66"/>
      <c r="VH31" s="66"/>
      <c r="VI31" s="66"/>
      <c r="VJ31" s="66"/>
      <c r="VK31" s="66"/>
      <c r="VL31" s="66"/>
      <c r="VM31" s="66"/>
      <c r="VN31" s="66"/>
      <c r="VO31" s="66"/>
      <c r="VP31" s="66"/>
      <c r="VQ31" s="66"/>
      <c r="VR31" s="66"/>
      <c r="VS31" s="66"/>
      <c r="VT31" s="66"/>
      <c r="VU31" s="66"/>
      <c r="VV31" s="66"/>
      <c r="VW31" s="66"/>
      <c r="VX31" s="66"/>
      <c r="VY31" s="66"/>
      <c r="VZ31" s="66"/>
      <c r="WA31" s="66"/>
      <c r="WB31" s="66"/>
      <c r="WC31" s="66"/>
      <c r="WD31" s="66"/>
      <c r="WE31" s="66"/>
      <c r="WF31" s="66"/>
      <c r="WG31" s="66"/>
      <c r="WH31" s="66"/>
      <c r="WI31" s="66"/>
      <c r="WJ31" s="66"/>
      <c r="WK31" s="66"/>
      <c r="WL31" s="66"/>
      <c r="WM31" s="66"/>
      <c r="WN31" s="66"/>
      <c r="WO31" s="66"/>
      <c r="WP31" s="66"/>
      <c r="WQ31" s="66"/>
      <c r="WR31" s="66"/>
      <c r="WS31" s="66"/>
      <c r="WT31" s="66"/>
      <c r="WU31" s="66"/>
      <c r="WV31" s="66"/>
      <c r="WW31" s="66"/>
      <c r="WX31" s="66"/>
      <c r="WY31" s="66"/>
      <c r="WZ31" s="66"/>
      <c r="XA31" s="66"/>
      <c r="XB31" s="66"/>
      <c r="XC31" s="66"/>
      <c r="XD31" s="66"/>
      <c r="XE31" s="66"/>
      <c r="XF31" s="66"/>
      <c r="XG31" s="66"/>
      <c r="XH31" s="66"/>
      <c r="XI31" s="66"/>
      <c r="XJ31" s="66"/>
      <c r="XK31" s="66"/>
      <c r="XL31" s="66"/>
      <c r="XM31" s="66"/>
      <c r="XN31" s="66"/>
      <c r="XO31" s="66"/>
      <c r="XP31" s="66"/>
      <c r="XQ31" s="66"/>
      <c r="XR31" s="66"/>
      <c r="XS31" s="66"/>
      <c r="XT31" s="66"/>
      <c r="XU31" s="66"/>
      <c r="XV31" s="66"/>
      <c r="XW31" s="66"/>
      <c r="XX31" s="66"/>
      <c r="XY31" s="66"/>
      <c r="XZ31" s="66"/>
      <c r="YA31" s="66"/>
      <c r="YB31" s="66"/>
      <c r="YC31" s="66"/>
      <c r="YD31" s="66"/>
      <c r="YE31" s="66"/>
      <c r="YF31" s="66"/>
      <c r="YG31" s="66"/>
      <c r="YH31" s="66"/>
      <c r="YI31" s="66"/>
      <c r="YJ31" s="66"/>
      <c r="YK31" s="66"/>
      <c r="YL31" s="66"/>
      <c r="YM31" s="66"/>
      <c r="YN31" s="66"/>
      <c r="YO31" s="66"/>
      <c r="YP31" s="66"/>
      <c r="YQ31" s="66"/>
      <c r="YR31" s="66"/>
      <c r="YS31" s="66"/>
      <c r="YT31" s="66"/>
      <c r="YU31" s="66"/>
      <c r="YV31" s="66"/>
      <c r="YW31" s="66"/>
      <c r="YX31" s="66"/>
      <c r="YY31" s="66"/>
      <c r="YZ31" s="66"/>
      <c r="ZA31" s="66"/>
      <c r="ZB31" s="66"/>
      <c r="ZC31" s="66"/>
      <c r="ZD31" s="66"/>
      <c r="ZE31" s="66"/>
      <c r="ZF31" s="66"/>
      <c r="ZG31" s="66"/>
      <c r="ZH31" s="66"/>
      <c r="ZI31" s="66"/>
      <c r="ZJ31" s="66"/>
      <c r="ZK31" s="66"/>
      <c r="ZL31" s="66"/>
      <c r="ZM31" s="66"/>
      <c r="ZN31" s="66"/>
      <c r="ZO31" s="66"/>
      <c r="ZP31" s="66"/>
      <c r="ZQ31" s="66"/>
      <c r="ZR31" s="66"/>
      <c r="ZS31" s="66"/>
      <c r="ZT31" s="66"/>
      <c r="ZU31" s="66"/>
      <c r="ZV31" s="66"/>
      <c r="ZW31" s="66"/>
      <c r="ZX31" s="66"/>
    </row>
    <row r="32" spans="1:700" s="20" customFormat="1" ht="15.75" x14ac:dyDescent="0.25">
      <c r="A32" s="70"/>
      <c r="B32" s="71"/>
      <c r="C32" s="71"/>
      <c r="D32" s="109"/>
      <c r="E32" s="111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  <c r="CH32" s="66"/>
      <c r="CI32" s="66"/>
      <c r="CJ32" s="66"/>
      <c r="CK32" s="66"/>
      <c r="CL32" s="66"/>
      <c r="CM32" s="66"/>
      <c r="CN32" s="66"/>
      <c r="CO32" s="66"/>
      <c r="CP32" s="66"/>
      <c r="CQ32" s="66"/>
      <c r="CR32" s="66"/>
      <c r="CS32" s="66"/>
      <c r="CT32" s="66"/>
      <c r="CU32" s="66"/>
      <c r="CV32" s="66"/>
      <c r="CW32" s="66"/>
      <c r="CX32" s="66"/>
      <c r="CY32" s="66"/>
      <c r="CZ32" s="66"/>
      <c r="DA32" s="66"/>
      <c r="DB32" s="66"/>
      <c r="DC32" s="66"/>
      <c r="DD32" s="66"/>
      <c r="DE32" s="66"/>
      <c r="DF32" s="66"/>
      <c r="DG32" s="66"/>
      <c r="DH32" s="66"/>
      <c r="DI32" s="66"/>
      <c r="DJ32" s="66"/>
      <c r="DK32" s="66"/>
      <c r="DL32" s="66"/>
      <c r="DM32" s="66"/>
      <c r="DN32" s="66"/>
      <c r="DO32" s="66"/>
      <c r="DP32" s="66"/>
      <c r="DQ32" s="66"/>
      <c r="DR32" s="66"/>
      <c r="DS32" s="66"/>
      <c r="DT32" s="66"/>
      <c r="DU32" s="66"/>
      <c r="DV32" s="66"/>
      <c r="DW32" s="66"/>
      <c r="DX32" s="66"/>
      <c r="DY32" s="66"/>
      <c r="DZ32" s="66"/>
      <c r="EA32" s="66"/>
      <c r="EB32" s="66"/>
      <c r="EC32" s="66"/>
      <c r="ED32" s="66"/>
      <c r="EE32" s="66"/>
      <c r="EF32" s="66"/>
      <c r="EG32" s="66"/>
      <c r="EH32" s="66"/>
      <c r="EI32" s="66"/>
      <c r="EJ32" s="6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66"/>
      <c r="EV32" s="66"/>
      <c r="EW32" s="66"/>
      <c r="EX32" s="66"/>
      <c r="EY32" s="66"/>
      <c r="EZ32" s="66"/>
      <c r="FA32" s="66"/>
      <c r="FB32" s="66"/>
      <c r="FC32" s="66"/>
      <c r="FD32" s="66"/>
      <c r="FE32" s="66"/>
      <c r="FF32" s="66"/>
      <c r="FG32" s="66"/>
      <c r="FH32" s="66"/>
      <c r="FI32" s="66"/>
      <c r="FJ32" s="66"/>
      <c r="FK32" s="66"/>
      <c r="FL32" s="66"/>
      <c r="FM32" s="66"/>
      <c r="FN32" s="66"/>
      <c r="FO32" s="66"/>
      <c r="FP32" s="66"/>
      <c r="FQ32" s="66"/>
      <c r="FR32" s="66"/>
      <c r="FS32" s="66"/>
      <c r="FT32" s="66"/>
      <c r="FU32" s="66"/>
      <c r="FV32" s="66"/>
      <c r="FW32" s="66"/>
      <c r="FX32" s="66"/>
      <c r="FY32" s="66"/>
      <c r="FZ32" s="66"/>
      <c r="GA32" s="66"/>
      <c r="GB32" s="66"/>
      <c r="GC32" s="66"/>
      <c r="GD32" s="66"/>
      <c r="GE32" s="66"/>
      <c r="GF32" s="66"/>
      <c r="GG32" s="66"/>
      <c r="GH32" s="66"/>
      <c r="GI32" s="66"/>
      <c r="GJ32" s="66"/>
      <c r="GK32" s="66"/>
      <c r="GL32" s="66"/>
      <c r="GM32" s="66"/>
      <c r="GN32" s="66"/>
      <c r="GO32" s="66"/>
      <c r="GP32" s="66"/>
      <c r="GQ32" s="66"/>
      <c r="GR32" s="66"/>
      <c r="GS32" s="66"/>
      <c r="GT32" s="66"/>
      <c r="GU32" s="66"/>
      <c r="GV32" s="66"/>
      <c r="GW32" s="66"/>
      <c r="GX32" s="66"/>
      <c r="GY32" s="66"/>
      <c r="GZ32" s="66"/>
      <c r="HA32" s="66"/>
      <c r="HB32" s="66"/>
      <c r="HC32" s="66"/>
      <c r="HD32" s="66"/>
      <c r="HE32" s="66"/>
      <c r="HF32" s="66"/>
      <c r="HG32" s="66"/>
      <c r="HH32" s="66"/>
      <c r="HI32" s="66"/>
      <c r="HJ32" s="66"/>
      <c r="HK32" s="66"/>
      <c r="HL32" s="66"/>
      <c r="HM32" s="66"/>
      <c r="HN32" s="66"/>
      <c r="HO32" s="66"/>
      <c r="HP32" s="66"/>
      <c r="HQ32" s="66"/>
      <c r="HR32" s="66"/>
      <c r="HS32" s="66"/>
      <c r="HT32" s="66"/>
      <c r="HU32" s="66"/>
      <c r="HV32" s="66"/>
      <c r="HW32" s="66"/>
      <c r="HX32" s="66"/>
      <c r="HY32" s="66"/>
      <c r="HZ32" s="66"/>
      <c r="IA32" s="66"/>
      <c r="IB32" s="66"/>
      <c r="IC32" s="66"/>
      <c r="ID32" s="66"/>
      <c r="IE32" s="66"/>
      <c r="IF32" s="66"/>
      <c r="IG32" s="66"/>
      <c r="IH32" s="66"/>
      <c r="II32" s="66"/>
      <c r="IJ32" s="66"/>
      <c r="IK32" s="66"/>
      <c r="IL32" s="66"/>
      <c r="IM32" s="66"/>
      <c r="IN32" s="66"/>
      <c r="IO32" s="66"/>
      <c r="IP32" s="66"/>
      <c r="IQ32" s="66"/>
      <c r="IR32" s="66"/>
      <c r="IS32" s="66"/>
      <c r="IT32" s="66"/>
      <c r="IU32" s="66"/>
      <c r="IV32" s="66"/>
      <c r="IW32" s="66"/>
      <c r="IX32" s="66"/>
      <c r="IY32" s="66"/>
      <c r="IZ32" s="66"/>
      <c r="JA32" s="66"/>
      <c r="JB32" s="66"/>
      <c r="JC32" s="66"/>
      <c r="JD32" s="66"/>
      <c r="JE32" s="66"/>
      <c r="JF32" s="66"/>
      <c r="JG32" s="66"/>
      <c r="JH32" s="66"/>
      <c r="JI32" s="66"/>
      <c r="JJ32" s="66"/>
      <c r="JK32" s="66"/>
      <c r="JL32" s="66"/>
      <c r="JM32" s="66"/>
      <c r="JN32" s="66"/>
      <c r="JO32" s="66"/>
      <c r="JP32" s="66"/>
      <c r="JQ32" s="66"/>
      <c r="JR32" s="66"/>
      <c r="JS32" s="66"/>
      <c r="JT32" s="66"/>
      <c r="JU32" s="66"/>
      <c r="JV32" s="66"/>
      <c r="JW32" s="66"/>
      <c r="JX32" s="66"/>
      <c r="JY32" s="66"/>
      <c r="JZ32" s="66"/>
      <c r="KA32" s="66"/>
      <c r="KB32" s="66"/>
      <c r="KC32" s="66"/>
      <c r="KD32" s="66"/>
      <c r="KE32" s="66"/>
      <c r="KF32" s="66"/>
      <c r="KG32" s="66"/>
      <c r="KH32" s="66"/>
      <c r="KI32" s="66"/>
      <c r="KJ32" s="66"/>
      <c r="KK32" s="66"/>
      <c r="KL32" s="66"/>
      <c r="KM32" s="66"/>
      <c r="KN32" s="66"/>
      <c r="KO32" s="66"/>
      <c r="KP32" s="66"/>
      <c r="KQ32" s="66"/>
      <c r="KR32" s="66"/>
      <c r="KS32" s="66"/>
      <c r="KT32" s="66"/>
      <c r="KU32" s="66"/>
      <c r="KV32" s="66"/>
      <c r="KW32" s="66"/>
      <c r="KX32" s="66"/>
      <c r="KY32" s="66"/>
      <c r="KZ32" s="66"/>
      <c r="LA32" s="66"/>
      <c r="LB32" s="66"/>
      <c r="LC32" s="66"/>
      <c r="LD32" s="66"/>
      <c r="LE32" s="66"/>
      <c r="LF32" s="66"/>
      <c r="LG32" s="66"/>
      <c r="LH32" s="66"/>
      <c r="LI32" s="66"/>
      <c r="LJ32" s="66"/>
      <c r="LK32" s="66"/>
      <c r="LL32" s="66"/>
      <c r="LM32" s="66"/>
      <c r="LN32" s="66"/>
      <c r="LO32" s="66"/>
      <c r="LP32" s="66"/>
      <c r="LQ32" s="66"/>
      <c r="LR32" s="66"/>
      <c r="LS32" s="66"/>
      <c r="LT32" s="66"/>
      <c r="LU32" s="66"/>
      <c r="LV32" s="66"/>
      <c r="LW32" s="66"/>
      <c r="LX32" s="66"/>
      <c r="LY32" s="66"/>
      <c r="LZ32" s="66"/>
      <c r="MA32" s="66"/>
      <c r="MB32" s="66"/>
      <c r="MC32" s="66"/>
      <c r="MD32" s="66"/>
      <c r="ME32" s="66"/>
      <c r="MF32" s="66"/>
      <c r="MG32" s="66"/>
      <c r="MH32" s="66"/>
      <c r="MI32" s="66"/>
      <c r="MJ32" s="66"/>
      <c r="MK32" s="66"/>
      <c r="ML32" s="66"/>
      <c r="MM32" s="66"/>
      <c r="MN32" s="66"/>
      <c r="MO32" s="66"/>
      <c r="MP32" s="66"/>
      <c r="MQ32" s="66"/>
      <c r="MR32" s="66"/>
      <c r="MS32" s="66"/>
      <c r="MT32" s="66"/>
      <c r="MU32" s="66"/>
      <c r="MV32" s="66"/>
      <c r="MW32" s="66"/>
      <c r="MX32" s="66"/>
      <c r="MY32" s="66"/>
      <c r="MZ32" s="66"/>
      <c r="NA32" s="66"/>
      <c r="NB32" s="66"/>
      <c r="NC32" s="66"/>
      <c r="ND32" s="66"/>
      <c r="NE32" s="66"/>
      <c r="NF32" s="66"/>
      <c r="NG32" s="66"/>
      <c r="NH32" s="66"/>
      <c r="NI32" s="66"/>
      <c r="NJ32" s="66"/>
      <c r="NK32" s="66"/>
      <c r="NL32" s="66"/>
      <c r="NM32" s="66"/>
      <c r="NN32" s="66"/>
      <c r="NO32" s="66"/>
      <c r="NP32" s="66"/>
      <c r="NQ32" s="66"/>
      <c r="NR32" s="66"/>
      <c r="NS32" s="66"/>
      <c r="NT32" s="66"/>
      <c r="NU32" s="66"/>
      <c r="NV32" s="66"/>
      <c r="NW32" s="66"/>
      <c r="NX32" s="66"/>
      <c r="NY32" s="66"/>
      <c r="NZ32" s="66"/>
      <c r="OA32" s="66"/>
      <c r="OB32" s="66"/>
      <c r="OC32" s="66"/>
      <c r="OD32" s="66"/>
      <c r="OE32" s="66"/>
      <c r="OF32" s="66"/>
      <c r="OG32" s="66"/>
      <c r="OH32" s="66"/>
      <c r="OI32" s="66"/>
      <c r="OJ32" s="66"/>
      <c r="OK32" s="66"/>
      <c r="OL32" s="66"/>
      <c r="OM32" s="66"/>
      <c r="ON32" s="66"/>
      <c r="OO32" s="66"/>
      <c r="OP32" s="66"/>
      <c r="OQ32" s="66"/>
      <c r="OR32" s="66"/>
      <c r="OS32" s="66"/>
      <c r="OT32" s="66"/>
      <c r="OU32" s="66"/>
      <c r="OV32" s="66"/>
      <c r="OW32" s="66"/>
      <c r="OX32" s="66"/>
      <c r="OY32" s="66"/>
      <c r="OZ32" s="66"/>
      <c r="PA32" s="66"/>
      <c r="PB32" s="66"/>
      <c r="PC32" s="66"/>
      <c r="PD32" s="66"/>
      <c r="PE32" s="66"/>
      <c r="PF32" s="66"/>
      <c r="PG32" s="66"/>
      <c r="PH32" s="66"/>
      <c r="PI32" s="66"/>
      <c r="PJ32" s="66"/>
      <c r="PK32" s="66"/>
      <c r="PL32" s="66"/>
      <c r="PM32" s="66"/>
      <c r="PN32" s="66"/>
      <c r="PO32" s="66"/>
      <c r="PP32" s="66"/>
      <c r="PQ32" s="66"/>
      <c r="PR32" s="66"/>
      <c r="PS32" s="66"/>
      <c r="PT32" s="66"/>
      <c r="PU32" s="66"/>
      <c r="PV32" s="66"/>
      <c r="PW32" s="66"/>
      <c r="PX32" s="66"/>
      <c r="PY32" s="66"/>
      <c r="PZ32" s="66"/>
      <c r="QA32" s="66"/>
      <c r="QB32" s="66"/>
      <c r="QC32" s="66"/>
      <c r="QD32" s="66"/>
      <c r="QE32" s="66"/>
      <c r="QF32" s="66"/>
      <c r="QG32" s="66"/>
      <c r="QH32" s="66"/>
      <c r="QI32" s="66"/>
      <c r="QJ32" s="66"/>
      <c r="QK32" s="66"/>
      <c r="QL32" s="66"/>
      <c r="QM32" s="66"/>
      <c r="QN32" s="66"/>
      <c r="QO32" s="66"/>
      <c r="QP32" s="66"/>
      <c r="QQ32" s="66"/>
      <c r="QR32" s="66"/>
      <c r="QS32" s="66"/>
      <c r="QT32" s="66"/>
      <c r="QU32" s="66"/>
      <c r="QV32" s="66"/>
      <c r="QW32" s="66"/>
      <c r="QX32" s="66"/>
      <c r="QY32" s="66"/>
      <c r="QZ32" s="66"/>
      <c r="RA32" s="66"/>
      <c r="RB32" s="66"/>
      <c r="RC32" s="66"/>
      <c r="RD32" s="66"/>
      <c r="RE32" s="66"/>
      <c r="RF32" s="66"/>
      <c r="RG32" s="66"/>
      <c r="RH32" s="66"/>
      <c r="RI32" s="66"/>
      <c r="RJ32" s="66"/>
      <c r="RK32" s="66"/>
      <c r="RL32" s="66"/>
      <c r="RM32" s="66"/>
      <c r="RN32" s="66"/>
      <c r="RO32" s="66"/>
      <c r="RP32" s="66"/>
      <c r="RQ32" s="66"/>
      <c r="RR32" s="66"/>
      <c r="RS32" s="66"/>
      <c r="RT32" s="66"/>
      <c r="RU32" s="66"/>
      <c r="RV32" s="66"/>
      <c r="RW32" s="66"/>
      <c r="RX32" s="66"/>
      <c r="RY32" s="66"/>
      <c r="RZ32" s="66"/>
      <c r="SA32" s="66"/>
      <c r="SB32" s="66"/>
      <c r="SC32" s="66"/>
      <c r="SD32" s="66"/>
      <c r="SE32" s="66"/>
      <c r="SF32" s="66"/>
      <c r="SG32" s="66"/>
      <c r="SH32" s="66"/>
      <c r="SI32" s="66"/>
      <c r="SJ32" s="66"/>
      <c r="SK32" s="66"/>
      <c r="SL32" s="66"/>
      <c r="SM32" s="66"/>
      <c r="SN32" s="66"/>
      <c r="SO32" s="66"/>
      <c r="SP32" s="66"/>
      <c r="SQ32" s="66"/>
      <c r="SR32" s="66"/>
      <c r="SS32" s="66"/>
      <c r="ST32" s="66"/>
      <c r="SU32" s="66"/>
      <c r="SV32" s="66"/>
      <c r="SW32" s="66"/>
      <c r="SX32" s="66"/>
      <c r="SY32" s="66"/>
      <c r="SZ32" s="66"/>
      <c r="TA32" s="66"/>
      <c r="TB32" s="66"/>
      <c r="TC32" s="66"/>
      <c r="TD32" s="66"/>
      <c r="TE32" s="66"/>
      <c r="TF32" s="66"/>
      <c r="TG32" s="66"/>
      <c r="TH32" s="66"/>
      <c r="TI32" s="66"/>
      <c r="TJ32" s="66"/>
      <c r="TK32" s="66"/>
      <c r="TL32" s="66"/>
      <c r="TM32" s="66"/>
      <c r="TN32" s="66"/>
      <c r="TO32" s="66"/>
      <c r="TP32" s="66"/>
      <c r="TQ32" s="66"/>
      <c r="TR32" s="66"/>
      <c r="TS32" s="66"/>
      <c r="TT32" s="66"/>
      <c r="TU32" s="66"/>
      <c r="TV32" s="66"/>
      <c r="TW32" s="66"/>
      <c r="TX32" s="66"/>
      <c r="TY32" s="66"/>
      <c r="TZ32" s="66"/>
      <c r="UA32" s="66"/>
      <c r="UB32" s="66"/>
      <c r="UC32" s="66"/>
      <c r="UD32" s="66"/>
      <c r="UE32" s="66"/>
      <c r="UF32" s="66"/>
      <c r="UG32" s="66"/>
      <c r="UH32" s="66"/>
      <c r="UI32" s="66"/>
      <c r="UJ32" s="66"/>
      <c r="UK32" s="66"/>
      <c r="UL32" s="66"/>
      <c r="UM32" s="66"/>
      <c r="UN32" s="66"/>
      <c r="UO32" s="66"/>
      <c r="UP32" s="66"/>
      <c r="UQ32" s="66"/>
      <c r="UR32" s="66"/>
      <c r="US32" s="66"/>
      <c r="UT32" s="66"/>
      <c r="UU32" s="66"/>
      <c r="UV32" s="66"/>
      <c r="UW32" s="66"/>
      <c r="UX32" s="66"/>
      <c r="UY32" s="66"/>
      <c r="UZ32" s="66"/>
      <c r="VA32" s="66"/>
      <c r="VB32" s="66"/>
      <c r="VC32" s="66"/>
      <c r="VD32" s="66"/>
      <c r="VE32" s="66"/>
      <c r="VF32" s="66"/>
      <c r="VG32" s="66"/>
      <c r="VH32" s="66"/>
      <c r="VI32" s="66"/>
      <c r="VJ32" s="66"/>
      <c r="VK32" s="66"/>
      <c r="VL32" s="66"/>
      <c r="VM32" s="66"/>
      <c r="VN32" s="66"/>
      <c r="VO32" s="66"/>
      <c r="VP32" s="66"/>
      <c r="VQ32" s="66"/>
      <c r="VR32" s="66"/>
      <c r="VS32" s="66"/>
      <c r="VT32" s="66"/>
      <c r="VU32" s="66"/>
      <c r="VV32" s="66"/>
      <c r="VW32" s="66"/>
      <c r="VX32" s="66"/>
      <c r="VY32" s="66"/>
      <c r="VZ32" s="66"/>
      <c r="WA32" s="66"/>
      <c r="WB32" s="66"/>
      <c r="WC32" s="66"/>
      <c r="WD32" s="66"/>
      <c r="WE32" s="66"/>
      <c r="WF32" s="66"/>
      <c r="WG32" s="66"/>
      <c r="WH32" s="66"/>
      <c r="WI32" s="66"/>
      <c r="WJ32" s="66"/>
      <c r="WK32" s="66"/>
      <c r="WL32" s="66"/>
      <c r="WM32" s="66"/>
      <c r="WN32" s="66"/>
      <c r="WO32" s="66"/>
      <c r="WP32" s="66"/>
      <c r="WQ32" s="66"/>
      <c r="WR32" s="66"/>
      <c r="WS32" s="66"/>
      <c r="WT32" s="66"/>
      <c r="WU32" s="66"/>
      <c r="WV32" s="66"/>
      <c r="WW32" s="66"/>
      <c r="WX32" s="66"/>
      <c r="WY32" s="66"/>
      <c r="WZ32" s="66"/>
      <c r="XA32" s="66"/>
      <c r="XB32" s="66"/>
      <c r="XC32" s="66"/>
      <c r="XD32" s="66"/>
      <c r="XE32" s="66"/>
      <c r="XF32" s="66"/>
      <c r="XG32" s="66"/>
      <c r="XH32" s="66"/>
      <c r="XI32" s="66"/>
      <c r="XJ32" s="66"/>
      <c r="XK32" s="66"/>
      <c r="XL32" s="66"/>
      <c r="XM32" s="66"/>
      <c r="XN32" s="66"/>
      <c r="XO32" s="66"/>
      <c r="XP32" s="66"/>
      <c r="XQ32" s="66"/>
      <c r="XR32" s="66"/>
      <c r="XS32" s="66"/>
      <c r="XT32" s="66"/>
      <c r="XU32" s="66"/>
      <c r="XV32" s="66"/>
      <c r="XW32" s="66"/>
      <c r="XX32" s="66"/>
      <c r="XY32" s="66"/>
      <c r="XZ32" s="66"/>
      <c r="YA32" s="66"/>
      <c r="YB32" s="66"/>
      <c r="YC32" s="66"/>
      <c r="YD32" s="66"/>
      <c r="YE32" s="66"/>
      <c r="YF32" s="66"/>
      <c r="YG32" s="66"/>
      <c r="YH32" s="66"/>
      <c r="YI32" s="66"/>
      <c r="YJ32" s="66"/>
      <c r="YK32" s="66"/>
      <c r="YL32" s="66"/>
      <c r="YM32" s="66"/>
      <c r="YN32" s="66"/>
      <c r="YO32" s="66"/>
      <c r="YP32" s="66"/>
      <c r="YQ32" s="66"/>
      <c r="YR32" s="66"/>
      <c r="YS32" s="66"/>
      <c r="YT32" s="66"/>
      <c r="YU32" s="66"/>
      <c r="YV32" s="66"/>
      <c r="YW32" s="66"/>
      <c r="YX32" s="66"/>
      <c r="YY32" s="66"/>
      <c r="YZ32" s="66"/>
      <c r="ZA32" s="66"/>
      <c r="ZB32" s="66"/>
      <c r="ZC32" s="66"/>
      <c r="ZD32" s="66"/>
      <c r="ZE32" s="66"/>
      <c r="ZF32" s="66"/>
      <c r="ZG32" s="66"/>
      <c r="ZH32" s="66"/>
      <c r="ZI32" s="66"/>
      <c r="ZJ32" s="66"/>
      <c r="ZK32" s="66"/>
      <c r="ZL32" s="66"/>
      <c r="ZM32" s="66"/>
      <c r="ZN32" s="66"/>
      <c r="ZO32" s="66"/>
      <c r="ZP32" s="66"/>
      <c r="ZQ32" s="66"/>
      <c r="ZR32" s="66"/>
      <c r="ZS32" s="66"/>
      <c r="ZT32" s="66"/>
      <c r="ZU32" s="66"/>
      <c r="ZV32" s="66"/>
      <c r="ZW32" s="66"/>
      <c r="ZX32" s="66"/>
    </row>
    <row r="33" spans="1:700" s="20" customFormat="1" ht="15.75" x14ac:dyDescent="0.25">
      <c r="A33" s="72"/>
      <c r="B33" s="73"/>
      <c r="C33" s="73"/>
      <c r="D33" s="108"/>
      <c r="E33" s="129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  <c r="CH33" s="66"/>
      <c r="CI33" s="66"/>
      <c r="CJ33" s="66"/>
      <c r="CK33" s="66"/>
      <c r="CL33" s="66"/>
      <c r="CM33" s="66"/>
      <c r="CN33" s="66"/>
      <c r="CO33" s="66"/>
      <c r="CP33" s="66"/>
      <c r="CQ33" s="66"/>
      <c r="CR33" s="66"/>
      <c r="CS33" s="66"/>
      <c r="CT33" s="66"/>
      <c r="CU33" s="66"/>
      <c r="CV33" s="66"/>
      <c r="CW33" s="66"/>
      <c r="CX33" s="66"/>
      <c r="CY33" s="66"/>
      <c r="CZ33" s="66"/>
      <c r="DA33" s="66"/>
      <c r="DB33" s="66"/>
      <c r="DC33" s="66"/>
      <c r="DD33" s="66"/>
      <c r="DE33" s="66"/>
      <c r="DF33" s="66"/>
      <c r="DG33" s="66"/>
      <c r="DH33" s="66"/>
      <c r="DI33" s="66"/>
      <c r="DJ33" s="66"/>
      <c r="DK33" s="66"/>
      <c r="DL33" s="66"/>
      <c r="DM33" s="66"/>
      <c r="DN33" s="66"/>
      <c r="DO33" s="66"/>
      <c r="DP33" s="66"/>
      <c r="DQ33" s="66"/>
      <c r="DR33" s="66"/>
      <c r="DS33" s="66"/>
      <c r="DT33" s="66"/>
      <c r="DU33" s="66"/>
      <c r="DV33" s="66"/>
      <c r="DW33" s="66"/>
      <c r="DX33" s="66"/>
      <c r="DY33" s="66"/>
      <c r="DZ33" s="66"/>
      <c r="EA33" s="66"/>
      <c r="EB33" s="66"/>
      <c r="EC33" s="66"/>
      <c r="ED33" s="66"/>
      <c r="EE33" s="66"/>
      <c r="EF33" s="66"/>
      <c r="EG33" s="66"/>
      <c r="EH33" s="66"/>
      <c r="EI33" s="66"/>
      <c r="EJ33" s="66"/>
      <c r="EK33" s="66"/>
      <c r="EL33" s="66"/>
      <c r="EM33" s="66"/>
      <c r="EN33" s="66"/>
      <c r="EO33" s="66"/>
      <c r="EP33" s="66"/>
      <c r="EQ33" s="66"/>
      <c r="ER33" s="66"/>
      <c r="ES33" s="66"/>
      <c r="ET33" s="66"/>
      <c r="EU33" s="66"/>
      <c r="EV33" s="66"/>
      <c r="EW33" s="66"/>
      <c r="EX33" s="66"/>
      <c r="EY33" s="66"/>
      <c r="EZ33" s="66"/>
      <c r="FA33" s="66"/>
      <c r="FB33" s="66"/>
      <c r="FC33" s="66"/>
      <c r="FD33" s="66"/>
      <c r="FE33" s="66"/>
      <c r="FF33" s="66"/>
      <c r="FG33" s="66"/>
      <c r="FH33" s="66"/>
      <c r="FI33" s="66"/>
      <c r="FJ33" s="66"/>
      <c r="FK33" s="66"/>
      <c r="FL33" s="66"/>
      <c r="FM33" s="66"/>
      <c r="FN33" s="66"/>
      <c r="FO33" s="66"/>
      <c r="FP33" s="66"/>
      <c r="FQ33" s="66"/>
      <c r="FR33" s="66"/>
      <c r="FS33" s="66"/>
      <c r="FT33" s="66"/>
      <c r="FU33" s="66"/>
      <c r="FV33" s="66"/>
      <c r="FW33" s="66"/>
      <c r="FX33" s="66"/>
      <c r="FY33" s="66"/>
      <c r="FZ33" s="66"/>
      <c r="GA33" s="66"/>
      <c r="GB33" s="66"/>
      <c r="GC33" s="66"/>
      <c r="GD33" s="66"/>
      <c r="GE33" s="66"/>
      <c r="GF33" s="66"/>
      <c r="GG33" s="66"/>
      <c r="GH33" s="66"/>
      <c r="GI33" s="66"/>
      <c r="GJ33" s="66"/>
      <c r="GK33" s="66"/>
      <c r="GL33" s="66"/>
      <c r="GM33" s="66"/>
      <c r="GN33" s="66"/>
      <c r="GO33" s="66"/>
      <c r="GP33" s="66"/>
      <c r="GQ33" s="66"/>
      <c r="GR33" s="66"/>
      <c r="GS33" s="66"/>
      <c r="GT33" s="66"/>
      <c r="GU33" s="66"/>
      <c r="GV33" s="66"/>
      <c r="GW33" s="66"/>
      <c r="GX33" s="66"/>
      <c r="GY33" s="66"/>
      <c r="GZ33" s="66"/>
      <c r="HA33" s="66"/>
      <c r="HB33" s="66"/>
      <c r="HC33" s="66"/>
      <c r="HD33" s="66"/>
      <c r="HE33" s="66"/>
      <c r="HF33" s="66"/>
      <c r="HG33" s="66"/>
      <c r="HH33" s="66"/>
      <c r="HI33" s="66"/>
      <c r="HJ33" s="66"/>
      <c r="HK33" s="66"/>
      <c r="HL33" s="66"/>
      <c r="HM33" s="66"/>
      <c r="HN33" s="66"/>
      <c r="HO33" s="66"/>
      <c r="HP33" s="66"/>
      <c r="HQ33" s="66"/>
      <c r="HR33" s="66"/>
      <c r="HS33" s="66"/>
      <c r="HT33" s="66"/>
      <c r="HU33" s="66"/>
      <c r="HV33" s="66"/>
      <c r="HW33" s="66"/>
      <c r="HX33" s="66"/>
      <c r="HY33" s="66"/>
      <c r="HZ33" s="66"/>
      <c r="IA33" s="66"/>
      <c r="IB33" s="66"/>
      <c r="IC33" s="66"/>
      <c r="ID33" s="66"/>
      <c r="IE33" s="66"/>
      <c r="IF33" s="66"/>
      <c r="IG33" s="66"/>
      <c r="IH33" s="66"/>
      <c r="II33" s="66"/>
      <c r="IJ33" s="66"/>
      <c r="IK33" s="66"/>
      <c r="IL33" s="66"/>
      <c r="IM33" s="66"/>
      <c r="IN33" s="66"/>
      <c r="IO33" s="66"/>
      <c r="IP33" s="66"/>
      <c r="IQ33" s="66"/>
      <c r="IR33" s="66"/>
      <c r="IS33" s="66"/>
      <c r="IT33" s="66"/>
      <c r="IU33" s="66"/>
      <c r="IV33" s="66"/>
      <c r="IW33" s="66"/>
      <c r="IX33" s="66"/>
      <c r="IY33" s="66"/>
      <c r="IZ33" s="66"/>
      <c r="JA33" s="66"/>
      <c r="JB33" s="66"/>
      <c r="JC33" s="66"/>
      <c r="JD33" s="66"/>
      <c r="JE33" s="66"/>
      <c r="JF33" s="66"/>
      <c r="JG33" s="66"/>
      <c r="JH33" s="66"/>
      <c r="JI33" s="66"/>
      <c r="JJ33" s="66"/>
      <c r="JK33" s="66"/>
      <c r="JL33" s="66"/>
      <c r="JM33" s="66"/>
      <c r="JN33" s="66"/>
      <c r="JO33" s="66"/>
      <c r="JP33" s="66"/>
      <c r="JQ33" s="66"/>
      <c r="JR33" s="66"/>
      <c r="JS33" s="66"/>
      <c r="JT33" s="66"/>
      <c r="JU33" s="66"/>
      <c r="JV33" s="66"/>
      <c r="JW33" s="66"/>
      <c r="JX33" s="66"/>
      <c r="JY33" s="66"/>
      <c r="JZ33" s="66"/>
      <c r="KA33" s="66"/>
      <c r="KB33" s="66"/>
      <c r="KC33" s="66"/>
      <c r="KD33" s="66"/>
      <c r="KE33" s="66"/>
      <c r="KF33" s="66"/>
      <c r="KG33" s="66"/>
      <c r="KH33" s="66"/>
      <c r="KI33" s="66"/>
      <c r="KJ33" s="66"/>
      <c r="KK33" s="66"/>
      <c r="KL33" s="66"/>
      <c r="KM33" s="66"/>
      <c r="KN33" s="66"/>
      <c r="KO33" s="66"/>
      <c r="KP33" s="66"/>
      <c r="KQ33" s="66"/>
      <c r="KR33" s="66"/>
      <c r="KS33" s="66"/>
      <c r="KT33" s="66"/>
      <c r="KU33" s="66"/>
      <c r="KV33" s="66"/>
      <c r="KW33" s="66"/>
      <c r="KX33" s="66"/>
      <c r="KY33" s="66"/>
      <c r="KZ33" s="66"/>
      <c r="LA33" s="66"/>
      <c r="LB33" s="66"/>
      <c r="LC33" s="66"/>
      <c r="LD33" s="66"/>
      <c r="LE33" s="66"/>
      <c r="LF33" s="66"/>
      <c r="LG33" s="66"/>
      <c r="LH33" s="66"/>
      <c r="LI33" s="66"/>
      <c r="LJ33" s="66"/>
      <c r="LK33" s="66"/>
      <c r="LL33" s="66"/>
      <c r="LM33" s="66"/>
      <c r="LN33" s="66"/>
      <c r="LO33" s="66"/>
      <c r="LP33" s="66"/>
      <c r="LQ33" s="66"/>
      <c r="LR33" s="66"/>
      <c r="LS33" s="66"/>
      <c r="LT33" s="66"/>
      <c r="LU33" s="66"/>
      <c r="LV33" s="66"/>
      <c r="LW33" s="66"/>
      <c r="LX33" s="66"/>
      <c r="LY33" s="66"/>
      <c r="LZ33" s="66"/>
      <c r="MA33" s="66"/>
      <c r="MB33" s="66"/>
      <c r="MC33" s="66"/>
      <c r="MD33" s="66"/>
      <c r="ME33" s="66"/>
      <c r="MF33" s="66"/>
      <c r="MG33" s="66"/>
      <c r="MH33" s="66"/>
      <c r="MI33" s="66"/>
      <c r="MJ33" s="66"/>
      <c r="MK33" s="66"/>
      <c r="ML33" s="66"/>
      <c r="MM33" s="66"/>
      <c r="MN33" s="66"/>
      <c r="MO33" s="66"/>
      <c r="MP33" s="66"/>
      <c r="MQ33" s="66"/>
      <c r="MR33" s="66"/>
      <c r="MS33" s="66"/>
      <c r="MT33" s="66"/>
      <c r="MU33" s="66"/>
      <c r="MV33" s="66"/>
      <c r="MW33" s="66"/>
      <c r="MX33" s="66"/>
      <c r="MY33" s="66"/>
      <c r="MZ33" s="66"/>
      <c r="NA33" s="66"/>
      <c r="NB33" s="66"/>
      <c r="NC33" s="66"/>
      <c r="ND33" s="66"/>
      <c r="NE33" s="66"/>
      <c r="NF33" s="66"/>
      <c r="NG33" s="66"/>
      <c r="NH33" s="66"/>
      <c r="NI33" s="66"/>
      <c r="NJ33" s="66"/>
      <c r="NK33" s="66"/>
      <c r="NL33" s="66"/>
      <c r="NM33" s="66"/>
      <c r="NN33" s="66"/>
      <c r="NO33" s="66"/>
      <c r="NP33" s="66"/>
      <c r="NQ33" s="66"/>
      <c r="NR33" s="66"/>
      <c r="NS33" s="66"/>
      <c r="NT33" s="66"/>
      <c r="NU33" s="66"/>
      <c r="NV33" s="66"/>
      <c r="NW33" s="66"/>
      <c r="NX33" s="66"/>
      <c r="NY33" s="66"/>
      <c r="NZ33" s="66"/>
      <c r="OA33" s="66"/>
      <c r="OB33" s="66"/>
      <c r="OC33" s="66"/>
      <c r="OD33" s="66"/>
      <c r="OE33" s="66"/>
      <c r="OF33" s="66"/>
      <c r="OG33" s="66"/>
      <c r="OH33" s="66"/>
      <c r="OI33" s="66"/>
      <c r="OJ33" s="66"/>
      <c r="OK33" s="66"/>
      <c r="OL33" s="66"/>
      <c r="OM33" s="66"/>
      <c r="ON33" s="66"/>
      <c r="OO33" s="66"/>
      <c r="OP33" s="66"/>
      <c r="OQ33" s="66"/>
      <c r="OR33" s="66"/>
      <c r="OS33" s="66"/>
      <c r="OT33" s="66"/>
      <c r="OU33" s="66"/>
      <c r="OV33" s="66"/>
      <c r="OW33" s="66"/>
      <c r="OX33" s="66"/>
      <c r="OY33" s="66"/>
      <c r="OZ33" s="66"/>
      <c r="PA33" s="66"/>
      <c r="PB33" s="66"/>
      <c r="PC33" s="66"/>
      <c r="PD33" s="66"/>
      <c r="PE33" s="66"/>
      <c r="PF33" s="66"/>
      <c r="PG33" s="66"/>
      <c r="PH33" s="66"/>
      <c r="PI33" s="66"/>
      <c r="PJ33" s="66"/>
      <c r="PK33" s="66"/>
      <c r="PL33" s="66"/>
      <c r="PM33" s="66"/>
      <c r="PN33" s="66"/>
      <c r="PO33" s="66"/>
      <c r="PP33" s="66"/>
      <c r="PQ33" s="66"/>
      <c r="PR33" s="66"/>
      <c r="PS33" s="66"/>
      <c r="PT33" s="66"/>
      <c r="PU33" s="66"/>
      <c r="PV33" s="66"/>
      <c r="PW33" s="66"/>
      <c r="PX33" s="66"/>
      <c r="PY33" s="66"/>
      <c r="PZ33" s="66"/>
      <c r="QA33" s="66"/>
      <c r="QB33" s="66"/>
      <c r="QC33" s="66"/>
      <c r="QD33" s="66"/>
      <c r="QE33" s="66"/>
      <c r="QF33" s="66"/>
      <c r="QG33" s="66"/>
      <c r="QH33" s="66"/>
      <c r="QI33" s="66"/>
      <c r="QJ33" s="66"/>
      <c r="QK33" s="66"/>
      <c r="QL33" s="66"/>
      <c r="QM33" s="66"/>
      <c r="QN33" s="66"/>
      <c r="QO33" s="66"/>
      <c r="QP33" s="66"/>
      <c r="QQ33" s="66"/>
      <c r="QR33" s="66"/>
      <c r="QS33" s="66"/>
      <c r="QT33" s="66"/>
      <c r="QU33" s="66"/>
      <c r="QV33" s="66"/>
      <c r="QW33" s="66"/>
      <c r="QX33" s="66"/>
      <c r="QY33" s="66"/>
      <c r="QZ33" s="66"/>
      <c r="RA33" s="66"/>
      <c r="RB33" s="66"/>
      <c r="RC33" s="66"/>
      <c r="RD33" s="66"/>
      <c r="RE33" s="66"/>
      <c r="RF33" s="66"/>
      <c r="RG33" s="66"/>
      <c r="RH33" s="66"/>
      <c r="RI33" s="66"/>
      <c r="RJ33" s="66"/>
      <c r="RK33" s="66"/>
      <c r="RL33" s="66"/>
      <c r="RM33" s="66"/>
      <c r="RN33" s="66"/>
      <c r="RO33" s="66"/>
      <c r="RP33" s="66"/>
      <c r="RQ33" s="66"/>
      <c r="RR33" s="66"/>
      <c r="RS33" s="66"/>
      <c r="RT33" s="66"/>
      <c r="RU33" s="66"/>
      <c r="RV33" s="66"/>
      <c r="RW33" s="66"/>
      <c r="RX33" s="66"/>
      <c r="RY33" s="66"/>
      <c r="RZ33" s="66"/>
      <c r="SA33" s="66"/>
      <c r="SB33" s="66"/>
      <c r="SC33" s="66"/>
      <c r="SD33" s="66"/>
      <c r="SE33" s="66"/>
      <c r="SF33" s="66"/>
      <c r="SG33" s="66"/>
      <c r="SH33" s="66"/>
      <c r="SI33" s="66"/>
      <c r="SJ33" s="66"/>
      <c r="SK33" s="66"/>
      <c r="SL33" s="66"/>
      <c r="SM33" s="66"/>
      <c r="SN33" s="66"/>
      <c r="SO33" s="66"/>
      <c r="SP33" s="66"/>
      <c r="SQ33" s="66"/>
      <c r="SR33" s="66"/>
      <c r="SS33" s="66"/>
      <c r="ST33" s="66"/>
      <c r="SU33" s="66"/>
      <c r="SV33" s="66"/>
      <c r="SW33" s="66"/>
      <c r="SX33" s="66"/>
      <c r="SY33" s="66"/>
      <c r="SZ33" s="66"/>
      <c r="TA33" s="66"/>
      <c r="TB33" s="66"/>
      <c r="TC33" s="66"/>
      <c r="TD33" s="66"/>
      <c r="TE33" s="66"/>
      <c r="TF33" s="66"/>
      <c r="TG33" s="66"/>
      <c r="TH33" s="66"/>
      <c r="TI33" s="66"/>
      <c r="TJ33" s="66"/>
      <c r="TK33" s="66"/>
      <c r="TL33" s="66"/>
      <c r="TM33" s="66"/>
      <c r="TN33" s="66"/>
      <c r="TO33" s="66"/>
      <c r="TP33" s="66"/>
      <c r="TQ33" s="66"/>
      <c r="TR33" s="66"/>
      <c r="TS33" s="66"/>
      <c r="TT33" s="66"/>
      <c r="TU33" s="66"/>
      <c r="TV33" s="66"/>
      <c r="TW33" s="66"/>
      <c r="TX33" s="66"/>
      <c r="TY33" s="66"/>
      <c r="TZ33" s="66"/>
      <c r="UA33" s="66"/>
      <c r="UB33" s="66"/>
      <c r="UC33" s="66"/>
      <c r="UD33" s="66"/>
      <c r="UE33" s="66"/>
      <c r="UF33" s="66"/>
      <c r="UG33" s="66"/>
      <c r="UH33" s="66"/>
      <c r="UI33" s="66"/>
      <c r="UJ33" s="66"/>
      <c r="UK33" s="66"/>
      <c r="UL33" s="66"/>
      <c r="UM33" s="66"/>
      <c r="UN33" s="66"/>
      <c r="UO33" s="66"/>
      <c r="UP33" s="66"/>
      <c r="UQ33" s="66"/>
      <c r="UR33" s="66"/>
      <c r="US33" s="66"/>
      <c r="UT33" s="66"/>
      <c r="UU33" s="66"/>
      <c r="UV33" s="66"/>
      <c r="UW33" s="66"/>
      <c r="UX33" s="66"/>
      <c r="UY33" s="66"/>
      <c r="UZ33" s="66"/>
      <c r="VA33" s="66"/>
      <c r="VB33" s="66"/>
      <c r="VC33" s="66"/>
      <c r="VD33" s="66"/>
      <c r="VE33" s="66"/>
      <c r="VF33" s="66"/>
      <c r="VG33" s="66"/>
      <c r="VH33" s="66"/>
      <c r="VI33" s="66"/>
      <c r="VJ33" s="66"/>
      <c r="VK33" s="66"/>
      <c r="VL33" s="66"/>
      <c r="VM33" s="66"/>
      <c r="VN33" s="66"/>
      <c r="VO33" s="66"/>
      <c r="VP33" s="66"/>
      <c r="VQ33" s="66"/>
      <c r="VR33" s="66"/>
      <c r="VS33" s="66"/>
      <c r="VT33" s="66"/>
      <c r="VU33" s="66"/>
      <c r="VV33" s="66"/>
      <c r="VW33" s="66"/>
      <c r="VX33" s="66"/>
      <c r="VY33" s="66"/>
      <c r="VZ33" s="66"/>
      <c r="WA33" s="66"/>
      <c r="WB33" s="66"/>
      <c r="WC33" s="66"/>
      <c r="WD33" s="66"/>
      <c r="WE33" s="66"/>
      <c r="WF33" s="66"/>
      <c r="WG33" s="66"/>
      <c r="WH33" s="66"/>
      <c r="WI33" s="66"/>
      <c r="WJ33" s="66"/>
      <c r="WK33" s="66"/>
      <c r="WL33" s="66"/>
      <c r="WM33" s="66"/>
      <c r="WN33" s="66"/>
      <c r="WO33" s="66"/>
      <c r="WP33" s="66"/>
      <c r="WQ33" s="66"/>
      <c r="WR33" s="66"/>
      <c r="WS33" s="66"/>
      <c r="WT33" s="66"/>
      <c r="WU33" s="66"/>
      <c r="WV33" s="66"/>
      <c r="WW33" s="66"/>
      <c r="WX33" s="66"/>
      <c r="WY33" s="66"/>
      <c r="WZ33" s="66"/>
      <c r="XA33" s="66"/>
      <c r="XB33" s="66"/>
      <c r="XC33" s="66"/>
      <c r="XD33" s="66"/>
      <c r="XE33" s="66"/>
      <c r="XF33" s="66"/>
      <c r="XG33" s="66"/>
      <c r="XH33" s="66"/>
      <c r="XI33" s="66"/>
      <c r="XJ33" s="66"/>
      <c r="XK33" s="66"/>
      <c r="XL33" s="66"/>
      <c r="XM33" s="66"/>
      <c r="XN33" s="66"/>
      <c r="XO33" s="66"/>
      <c r="XP33" s="66"/>
      <c r="XQ33" s="66"/>
      <c r="XR33" s="66"/>
      <c r="XS33" s="66"/>
      <c r="XT33" s="66"/>
      <c r="XU33" s="66"/>
      <c r="XV33" s="66"/>
      <c r="XW33" s="66"/>
      <c r="XX33" s="66"/>
      <c r="XY33" s="66"/>
      <c r="XZ33" s="66"/>
      <c r="YA33" s="66"/>
      <c r="YB33" s="66"/>
      <c r="YC33" s="66"/>
      <c r="YD33" s="66"/>
      <c r="YE33" s="66"/>
      <c r="YF33" s="66"/>
      <c r="YG33" s="66"/>
      <c r="YH33" s="66"/>
      <c r="YI33" s="66"/>
      <c r="YJ33" s="66"/>
      <c r="YK33" s="66"/>
      <c r="YL33" s="66"/>
      <c r="YM33" s="66"/>
      <c r="YN33" s="66"/>
      <c r="YO33" s="66"/>
      <c r="YP33" s="66"/>
      <c r="YQ33" s="66"/>
      <c r="YR33" s="66"/>
      <c r="YS33" s="66"/>
      <c r="YT33" s="66"/>
      <c r="YU33" s="66"/>
      <c r="YV33" s="66"/>
      <c r="YW33" s="66"/>
      <c r="YX33" s="66"/>
      <c r="YY33" s="66"/>
      <c r="YZ33" s="66"/>
      <c r="ZA33" s="66"/>
      <c r="ZB33" s="66"/>
      <c r="ZC33" s="66"/>
      <c r="ZD33" s="66"/>
      <c r="ZE33" s="66"/>
      <c r="ZF33" s="66"/>
      <c r="ZG33" s="66"/>
      <c r="ZH33" s="66"/>
      <c r="ZI33" s="66"/>
      <c r="ZJ33" s="66"/>
      <c r="ZK33" s="66"/>
      <c r="ZL33" s="66"/>
      <c r="ZM33" s="66"/>
      <c r="ZN33" s="66"/>
      <c r="ZO33" s="66"/>
      <c r="ZP33" s="66"/>
      <c r="ZQ33" s="66"/>
      <c r="ZR33" s="66"/>
      <c r="ZS33" s="66"/>
      <c r="ZT33" s="66"/>
      <c r="ZU33" s="66"/>
      <c r="ZV33" s="66"/>
      <c r="ZW33" s="66"/>
      <c r="ZX33" s="66"/>
    </row>
    <row r="34" spans="1:700" s="20" customFormat="1" ht="15.75" x14ac:dyDescent="0.25">
      <c r="A34" s="72"/>
      <c r="B34" s="73"/>
      <c r="C34" s="73"/>
      <c r="D34" s="108"/>
      <c r="E34" s="129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  <c r="CH34" s="66"/>
      <c r="CI34" s="66"/>
      <c r="CJ34" s="66"/>
      <c r="CK34" s="66"/>
      <c r="CL34" s="66"/>
      <c r="CM34" s="66"/>
      <c r="CN34" s="66"/>
      <c r="CO34" s="66"/>
      <c r="CP34" s="66"/>
      <c r="CQ34" s="66"/>
      <c r="CR34" s="66"/>
      <c r="CS34" s="66"/>
      <c r="CT34" s="66"/>
      <c r="CU34" s="66"/>
      <c r="CV34" s="66"/>
      <c r="CW34" s="66"/>
      <c r="CX34" s="66"/>
      <c r="CY34" s="66"/>
      <c r="CZ34" s="66"/>
      <c r="DA34" s="66"/>
      <c r="DB34" s="66"/>
      <c r="DC34" s="66"/>
      <c r="DD34" s="66"/>
      <c r="DE34" s="66"/>
      <c r="DF34" s="66"/>
      <c r="DG34" s="66"/>
      <c r="DH34" s="66"/>
      <c r="DI34" s="66"/>
      <c r="DJ34" s="66"/>
      <c r="DK34" s="66"/>
      <c r="DL34" s="66"/>
      <c r="DM34" s="66"/>
      <c r="DN34" s="66"/>
      <c r="DO34" s="66"/>
      <c r="DP34" s="66"/>
      <c r="DQ34" s="66"/>
      <c r="DR34" s="66"/>
      <c r="DS34" s="66"/>
      <c r="DT34" s="66"/>
      <c r="DU34" s="66"/>
      <c r="DV34" s="66"/>
      <c r="DW34" s="66"/>
      <c r="DX34" s="66"/>
      <c r="DY34" s="66"/>
      <c r="DZ34" s="66"/>
      <c r="EA34" s="66"/>
      <c r="EB34" s="66"/>
      <c r="EC34" s="66"/>
      <c r="ED34" s="66"/>
      <c r="EE34" s="66"/>
      <c r="EF34" s="66"/>
      <c r="EG34" s="66"/>
      <c r="EH34" s="66"/>
      <c r="EI34" s="66"/>
      <c r="EJ34" s="66"/>
      <c r="EK34" s="66"/>
      <c r="EL34" s="66"/>
      <c r="EM34" s="66"/>
      <c r="EN34" s="66"/>
      <c r="EO34" s="66"/>
      <c r="EP34" s="66"/>
      <c r="EQ34" s="66"/>
      <c r="ER34" s="66"/>
      <c r="ES34" s="66"/>
      <c r="ET34" s="66"/>
      <c r="EU34" s="66"/>
      <c r="EV34" s="66"/>
      <c r="EW34" s="66"/>
      <c r="EX34" s="66"/>
      <c r="EY34" s="66"/>
      <c r="EZ34" s="66"/>
      <c r="FA34" s="66"/>
      <c r="FB34" s="66"/>
      <c r="FC34" s="66"/>
      <c r="FD34" s="66"/>
      <c r="FE34" s="66"/>
      <c r="FF34" s="66"/>
      <c r="FG34" s="66"/>
      <c r="FH34" s="66"/>
      <c r="FI34" s="66"/>
      <c r="FJ34" s="66"/>
      <c r="FK34" s="66"/>
      <c r="FL34" s="66"/>
      <c r="FM34" s="66"/>
      <c r="FN34" s="66"/>
      <c r="FO34" s="66"/>
      <c r="FP34" s="66"/>
      <c r="FQ34" s="66"/>
      <c r="FR34" s="66"/>
      <c r="FS34" s="66"/>
      <c r="FT34" s="66"/>
      <c r="FU34" s="66"/>
      <c r="FV34" s="66"/>
      <c r="FW34" s="66"/>
      <c r="FX34" s="66"/>
      <c r="FY34" s="66"/>
      <c r="FZ34" s="66"/>
      <c r="GA34" s="66"/>
      <c r="GB34" s="66"/>
      <c r="GC34" s="66"/>
      <c r="GD34" s="66"/>
      <c r="GE34" s="66"/>
      <c r="GF34" s="66"/>
      <c r="GG34" s="66"/>
      <c r="GH34" s="66"/>
      <c r="GI34" s="66"/>
      <c r="GJ34" s="66"/>
      <c r="GK34" s="66"/>
      <c r="GL34" s="66"/>
      <c r="GM34" s="66"/>
      <c r="GN34" s="66"/>
      <c r="GO34" s="66"/>
      <c r="GP34" s="66"/>
      <c r="GQ34" s="66"/>
      <c r="GR34" s="66"/>
      <c r="GS34" s="66"/>
      <c r="GT34" s="66"/>
      <c r="GU34" s="66"/>
      <c r="GV34" s="66"/>
      <c r="GW34" s="66"/>
      <c r="GX34" s="66"/>
      <c r="GY34" s="66"/>
      <c r="GZ34" s="66"/>
      <c r="HA34" s="66"/>
      <c r="HB34" s="66"/>
      <c r="HC34" s="66"/>
      <c r="HD34" s="66"/>
      <c r="HE34" s="66"/>
      <c r="HF34" s="66"/>
      <c r="HG34" s="66"/>
      <c r="HH34" s="66"/>
      <c r="HI34" s="66"/>
      <c r="HJ34" s="66"/>
      <c r="HK34" s="66"/>
      <c r="HL34" s="66"/>
      <c r="HM34" s="66"/>
      <c r="HN34" s="66"/>
      <c r="HO34" s="66"/>
      <c r="HP34" s="66"/>
      <c r="HQ34" s="66"/>
      <c r="HR34" s="66"/>
      <c r="HS34" s="66"/>
      <c r="HT34" s="66"/>
      <c r="HU34" s="66"/>
      <c r="HV34" s="66"/>
      <c r="HW34" s="66"/>
      <c r="HX34" s="66"/>
      <c r="HY34" s="66"/>
      <c r="HZ34" s="66"/>
      <c r="IA34" s="66"/>
      <c r="IB34" s="66"/>
      <c r="IC34" s="66"/>
      <c r="ID34" s="66"/>
      <c r="IE34" s="66"/>
      <c r="IF34" s="66"/>
      <c r="IG34" s="66"/>
      <c r="IH34" s="66"/>
      <c r="II34" s="66"/>
      <c r="IJ34" s="66"/>
      <c r="IK34" s="66"/>
      <c r="IL34" s="66"/>
      <c r="IM34" s="66"/>
      <c r="IN34" s="66"/>
      <c r="IO34" s="66"/>
      <c r="IP34" s="66"/>
      <c r="IQ34" s="66"/>
      <c r="IR34" s="66"/>
      <c r="IS34" s="66"/>
      <c r="IT34" s="66"/>
      <c r="IU34" s="66"/>
      <c r="IV34" s="66"/>
      <c r="IW34" s="66"/>
      <c r="IX34" s="66"/>
      <c r="IY34" s="66"/>
      <c r="IZ34" s="66"/>
      <c r="JA34" s="66"/>
      <c r="JB34" s="66"/>
      <c r="JC34" s="66"/>
      <c r="JD34" s="66"/>
      <c r="JE34" s="66"/>
      <c r="JF34" s="66"/>
      <c r="JG34" s="66"/>
      <c r="JH34" s="66"/>
      <c r="JI34" s="66"/>
      <c r="JJ34" s="66"/>
      <c r="JK34" s="66"/>
      <c r="JL34" s="66"/>
      <c r="JM34" s="66"/>
      <c r="JN34" s="66"/>
      <c r="JO34" s="66"/>
      <c r="JP34" s="66"/>
      <c r="JQ34" s="66"/>
      <c r="JR34" s="66"/>
      <c r="JS34" s="66"/>
      <c r="JT34" s="66"/>
      <c r="JU34" s="66"/>
      <c r="JV34" s="66"/>
      <c r="JW34" s="66"/>
      <c r="JX34" s="66"/>
      <c r="JY34" s="66"/>
      <c r="JZ34" s="66"/>
      <c r="KA34" s="66"/>
      <c r="KB34" s="66"/>
      <c r="KC34" s="66"/>
      <c r="KD34" s="66"/>
      <c r="KE34" s="66"/>
      <c r="KF34" s="66"/>
      <c r="KG34" s="66"/>
      <c r="KH34" s="66"/>
      <c r="KI34" s="66"/>
      <c r="KJ34" s="66"/>
      <c r="KK34" s="66"/>
      <c r="KL34" s="66"/>
      <c r="KM34" s="66"/>
      <c r="KN34" s="66"/>
      <c r="KO34" s="66"/>
      <c r="KP34" s="66"/>
      <c r="KQ34" s="66"/>
      <c r="KR34" s="66"/>
      <c r="KS34" s="66"/>
      <c r="KT34" s="66"/>
      <c r="KU34" s="66"/>
      <c r="KV34" s="66"/>
      <c r="KW34" s="66"/>
      <c r="KX34" s="66"/>
      <c r="KY34" s="66"/>
      <c r="KZ34" s="66"/>
      <c r="LA34" s="66"/>
      <c r="LB34" s="66"/>
      <c r="LC34" s="66"/>
      <c r="LD34" s="66"/>
      <c r="LE34" s="66"/>
      <c r="LF34" s="66"/>
      <c r="LG34" s="66"/>
      <c r="LH34" s="66"/>
      <c r="LI34" s="66"/>
      <c r="LJ34" s="66"/>
      <c r="LK34" s="66"/>
      <c r="LL34" s="66"/>
      <c r="LM34" s="66"/>
      <c r="LN34" s="66"/>
      <c r="LO34" s="66"/>
      <c r="LP34" s="66"/>
      <c r="LQ34" s="66"/>
      <c r="LR34" s="66"/>
      <c r="LS34" s="66"/>
      <c r="LT34" s="66"/>
      <c r="LU34" s="66"/>
      <c r="LV34" s="66"/>
      <c r="LW34" s="66"/>
      <c r="LX34" s="66"/>
      <c r="LY34" s="66"/>
      <c r="LZ34" s="66"/>
      <c r="MA34" s="66"/>
      <c r="MB34" s="66"/>
      <c r="MC34" s="66"/>
      <c r="MD34" s="66"/>
      <c r="ME34" s="66"/>
      <c r="MF34" s="66"/>
      <c r="MG34" s="66"/>
      <c r="MH34" s="66"/>
      <c r="MI34" s="66"/>
      <c r="MJ34" s="66"/>
      <c r="MK34" s="66"/>
      <c r="ML34" s="66"/>
      <c r="MM34" s="66"/>
      <c r="MN34" s="66"/>
      <c r="MO34" s="66"/>
      <c r="MP34" s="66"/>
      <c r="MQ34" s="66"/>
      <c r="MR34" s="66"/>
      <c r="MS34" s="66"/>
      <c r="MT34" s="66"/>
      <c r="MU34" s="66"/>
      <c r="MV34" s="66"/>
      <c r="MW34" s="66"/>
      <c r="MX34" s="66"/>
      <c r="MY34" s="66"/>
      <c r="MZ34" s="66"/>
      <c r="NA34" s="66"/>
      <c r="NB34" s="66"/>
      <c r="NC34" s="66"/>
      <c r="ND34" s="66"/>
      <c r="NE34" s="66"/>
      <c r="NF34" s="66"/>
      <c r="NG34" s="66"/>
      <c r="NH34" s="66"/>
      <c r="NI34" s="66"/>
      <c r="NJ34" s="66"/>
      <c r="NK34" s="66"/>
      <c r="NL34" s="66"/>
      <c r="NM34" s="66"/>
      <c r="NN34" s="66"/>
      <c r="NO34" s="66"/>
      <c r="NP34" s="66"/>
      <c r="NQ34" s="66"/>
      <c r="NR34" s="66"/>
      <c r="NS34" s="66"/>
      <c r="NT34" s="66"/>
      <c r="NU34" s="66"/>
      <c r="NV34" s="66"/>
      <c r="NW34" s="66"/>
      <c r="NX34" s="66"/>
      <c r="NY34" s="66"/>
      <c r="NZ34" s="66"/>
      <c r="OA34" s="66"/>
      <c r="OB34" s="66"/>
      <c r="OC34" s="66"/>
      <c r="OD34" s="66"/>
      <c r="OE34" s="66"/>
      <c r="OF34" s="66"/>
      <c r="OG34" s="66"/>
      <c r="OH34" s="66"/>
      <c r="OI34" s="66"/>
      <c r="OJ34" s="66"/>
      <c r="OK34" s="66"/>
      <c r="OL34" s="66"/>
      <c r="OM34" s="66"/>
      <c r="ON34" s="66"/>
      <c r="OO34" s="66"/>
      <c r="OP34" s="66"/>
      <c r="OQ34" s="66"/>
      <c r="OR34" s="66"/>
      <c r="OS34" s="66"/>
      <c r="OT34" s="66"/>
      <c r="OU34" s="66"/>
      <c r="OV34" s="66"/>
      <c r="OW34" s="66"/>
      <c r="OX34" s="66"/>
      <c r="OY34" s="66"/>
      <c r="OZ34" s="66"/>
      <c r="PA34" s="66"/>
      <c r="PB34" s="66"/>
      <c r="PC34" s="66"/>
      <c r="PD34" s="66"/>
      <c r="PE34" s="66"/>
      <c r="PF34" s="66"/>
      <c r="PG34" s="66"/>
      <c r="PH34" s="66"/>
      <c r="PI34" s="66"/>
      <c r="PJ34" s="66"/>
      <c r="PK34" s="66"/>
      <c r="PL34" s="66"/>
      <c r="PM34" s="66"/>
      <c r="PN34" s="66"/>
      <c r="PO34" s="66"/>
      <c r="PP34" s="66"/>
      <c r="PQ34" s="66"/>
      <c r="PR34" s="66"/>
      <c r="PS34" s="66"/>
      <c r="PT34" s="66"/>
      <c r="PU34" s="66"/>
      <c r="PV34" s="66"/>
      <c r="PW34" s="66"/>
      <c r="PX34" s="66"/>
      <c r="PY34" s="66"/>
      <c r="PZ34" s="66"/>
      <c r="QA34" s="66"/>
      <c r="QB34" s="66"/>
      <c r="QC34" s="66"/>
      <c r="QD34" s="66"/>
      <c r="QE34" s="66"/>
      <c r="QF34" s="66"/>
      <c r="QG34" s="66"/>
      <c r="QH34" s="66"/>
      <c r="QI34" s="66"/>
      <c r="QJ34" s="66"/>
      <c r="QK34" s="66"/>
      <c r="QL34" s="66"/>
      <c r="QM34" s="66"/>
      <c r="QN34" s="66"/>
      <c r="QO34" s="66"/>
      <c r="QP34" s="66"/>
      <c r="QQ34" s="66"/>
      <c r="QR34" s="66"/>
      <c r="QS34" s="66"/>
      <c r="QT34" s="66"/>
      <c r="QU34" s="66"/>
      <c r="QV34" s="66"/>
      <c r="QW34" s="66"/>
      <c r="QX34" s="66"/>
      <c r="QY34" s="66"/>
      <c r="QZ34" s="66"/>
      <c r="RA34" s="66"/>
      <c r="RB34" s="66"/>
      <c r="RC34" s="66"/>
      <c r="RD34" s="66"/>
      <c r="RE34" s="66"/>
      <c r="RF34" s="66"/>
      <c r="RG34" s="66"/>
      <c r="RH34" s="66"/>
      <c r="RI34" s="66"/>
      <c r="RJ34" s="66"/>
      <c r="RK34" s="66"/>
      <c r="RL34" s="66"/>
      <c r="RM34" s="66"/>
      <c r="RN34" s="66"/>
      <c r="RO34" s="66"/>
      <c r="RP34" s="66"/>
      <c r="RQ34" s="66"/>
      <c r="RR34" s="66"/>
      <c r="RS34" s="66"/>
      <c r="RT34" s="66"/>
      <c r="RU34" s="66"/>
      <c r="RV34" s="66"/>
      <c r="RW34" s="66"/>
      <c r="RX34" s="66"/>
      <c r="RY34" s="66"/>
      <c r="RZ34" s="66"/>
      <c r="SA34" s="66"/>
      <c r="SB34" s="66"/>
      <c r="SC34" s="66"/>
      <c r="SD34" s="66"/>
      <c r="SE34" s="66"/>
      <c r="SF34" s="66"/>
      <c r="SG34" s="66"/>
      <c r="SH34" s="66"/>
      <c r="SI34" s="66"/>
      <c r="SJ34" s="66"/>
      <c r="SK34" s="66"/>
      <c r="SL34" s="66"/>
      <c r="SM34" s="66"/>
      <c r="SN34" s="66"/>
      <c r="SO34" s="66"/>
      <c r="SP34" s="66"/>
      <c r="SQ34" s="66"/>
      <c r="SR34" s="66"/>
      <c r="SS34" s="66"/>
      <c r="ST34" s="66"/>
      <c r="SU34" s="66"/>
      <c r="SV34" s="66"/>
      <c r="SW34" s="66"/>
      <c r="SX34" s="66"/>
      <c r="SY34" s="66"/>
      <c r="SZ34" s="66"/>
      <c r="TA34" s="66"/>
      <c r="TB34" s="66"/>
      <c r="TC34" s="66"/>
      <c r="TD34" s="66"/>
      <c r="TE34" s="66"/>
      <c r="TF34" s="66"/>
      <c r="TG34" s="66"/>
      <c r="TH34" s="66"/>
      <c r="TI34" s="66"/>
      <c r="TJ34" s="66"/>
      <c r="TK34" s="66"/>
      <c r="TL34" s="66"/>
      <c r="TM34" s="66"/>
      <c r="TN34" s="66"/>
      <c r="TO34" s="66"/>
      <c r="TP34" s="66"/>
      <c r="TQ34" s="66"/>
      <c r="TR34" s="66"/>
      <c r="TS34" s="66"/>
      <c r="TT34" s="66"/>
      <c r="TU34" s="66"/>
      <c r="TV34" s="66"/>
      <c r="TW34" s="66"/>
      <c r="TX34" s="66"/>
      <c r="TY34" s="66"/>
      <c r="TZ34" s="66"/>
      <c r="UA34" s="66"/>
      <c r="UB34" s="66"/>
      <c r="UC34" s="66"/>
      <c r="UD34" s="66"/>
      <c r="UE34" s="66"/>
      <c r="UF34" s="66"/>
      <c r="UG34" s="66"/>
      <c r="UH34" s="66"/>
      <c r="UI34" s="66"/>
      <c r="UJ34" s="66"/>
      <c r="UK34" s="66"/>
      <c r="UL34" s="66"/>
      <c r="UM34" s="66"/>
      <c r="UN34" s="66"/>
      <c r="UO34" s="66"/>
      <c r="UP34" s="66"/>
      <c r="UQ34" s="66"/>
      <c r="UR34" s="66"/>
      <c r="US34" s="66"/>
      <c r="UT34" s="66"/>
      <c r="UU34" s="66"/>
      <c r="UV34" s="66"/>
      <c r="UW34" s="66"/>
      <c r="UX34" s="66"/>
      <c r="UY34" s="66"/>
      <c r="UZ34" s="66"/>
      <c r="VA34" s="66"/>
      <c r="VB34" s="66"/>
      <c r="VC34" s="66"/>
      <c r="VD34" s="66"/>
      <c r="VE34" s="66"/>
      <c r="VF34" s="66"/>
      <c r="VG34" s="66"/>
      <c r="VH34" s="66"/>
      <c r="VI34" s="66"/>
      <c r="VJ34" s="66"/>
      <c r="VK34" s="66"/>
      <c r="VL34" s="66"/>
      <c r="VM34" s="66"/>
      <c r="VN34" s="66"/>
      <c r="VO34" s="66"/>
      <c r="VP34" s="66"/>
      <c r="VQ34" s="66"/>
      <c r="VR34" s="66"/>
      <c r="VS34" s="66"/>
      <c r="VT34" s="66"/>
      <c r="VU34" s="66"/>
      <c r="VV34" s="66"/>
      <c r="VW34" s="66"/>
      <c r="VX34" s="66"/>
      <c r="VY34" s="66"/>
      <c r="VZ34" s="66"/>
      <c r="WA34" s="66"/>
      <c r="WB34" s="66"/>
      <c r="WC34" s="66"/>
      <c r="WD34" s="66"/>
      <c r="WE34" s="66"/>
      <c r="WF34" s="66"/>
      <c r="WG34" s="66"/>
      <c r="WH34" s="66"/>
      <c r="WI34" s="66"/>
      <c r="WJ34" s="66"/>
      <c r="WK34" s="66"/>
      <c r="WL34" s="66"/>
      <c r="WM34" s="66"/>
      <c r="WN34" s="66"/>
      <c r="WO34" s="66"/>
      <c r="WP34" s="66"/>
      <c r="WQ34" s="66"/>
      <c r="WR34" s="66"/>
      <c r="WS34" s="66"/>
      <c r="WT34" s="66"/>
      <c r="WU34" s="66"/>
      <c r="WV34" s="66"/>
      <c r="WW34" s="66"/>
      <c r="WX34" s="66"/>
      <c r="WY34" s="66"/>
      <c r="WZ34" s="66"/>
      <c r="XA34" s="66"/>
      <c r="XB34" s="66"/>
      <c r="XC34" s="66"/>
      <c r="XD34" s="66"/>
      <c r="XE34" s="66"/>
      <c r="XF34" s="66"/>
      <c r="XG34" s="66"/>
      <c r="XH34" s="66"/>
      <c r="XI34" s="66"/>
      <c r="XJ34" s="66"/>
      <c r="XK34" s="66"/>
      <c r="XL34" s="66"/>
      <c r="XM34" s="66"/>
      <c r="XN34" s="66"/>
      <c r="XO34" s="66"/>
      <c r="XP34" s="66"/>
      <c r="XQ34" s="66"/>
      <c r="XR34" s="66"/>
      <c r="XS34" s="66"/>
      <c r="XT34" s="66"/>
      <c r="XU34" s="66"/>
      <c r="XV34" s="66"/>
      <c r="XW34" s="66"/>
      <c r="XX34" s="66"/>
      <c r="XY34" s="66"/>
      <c r="XZ34" s="66"/>
      <c r="YA34" s="66"/>
      <c r="YB34" s="66"/>
      <c r="YC34" s="66"/>
      <c r="YD34" s="66"/>
      <c r="YE34" s="66"/>
      <c r="YF34" s="66"/>
      <c r="YG34" s="66"/>
      <c r="YH34" s="66"/>
      <c r="YI34" s="66"/>
      <c r="YJ34" s="66"/>
      <c r="YK34" s="66"/>
      <c r="YL34" s="66"/>
      <c r="YM34" s="66"/>
      <c r="YN34" s="66"/>
      <c r="YO34" s="66"/>
      <c r="YP34" s="66"/>
      <c r="YQ34" s="66"/>
      <c r="YR34" s="66"/>
      <c r="YS34" s="66"/>
      <c r="YT34" s="66"/>
      <c r="YU34" s="66"/>
      <c r="YV34" s="66"/>
      <c r="YW34" s="66"/>
      <c r="YX34" s="66"/>
      <c r="YY34" s="66"/>
      <c r="YZ34" s="66"/>
      <c r="ZA34" s="66"/>
      <c r="ZB34" s="66"/>
      <c r="ZC34" s="66"/>
      <c r="ZD34" s="66"/>
      <c r="ZE34" s="66"/>
      <c r="ZF34" s="66"/>
      <c r="ZG34" s="66"/>
      <c r="ZH34" s="66"/>
      <c r="ZI34" s="66"/>
      <c r="ZJ34" s="66"/>
      <c r="ZK34" s="66"/>
      <c r="ZL34" s="66"/>
      <c r="ZM34" s="66"/>
      <c r="ZN34" s="66"/>
      <c r="ZO34" s="66"/>
      <c r="ZP34" s="66"/>
      <c r="ZQ34" s="66"/>
      <c r="ZR34" s="66"/>
      <c r="ZS34" s="66"/>
      <c r="ZT34" s="66"/>
      <c r="ZU34" s="66"/>
      <c r="ZV34" s="66"/>
      <c r="ZW34" s="66"/>
      <c r="ZX34" s="66"/>
    </row>
    <row r="35" spans="1:700" s="20" customFormat="1" ht="15.75" x14ac:dyDescent="0.25">
      <c r="A35" s="67"/>
      <c r="B35" s="68"/>
      <c r="C35" s="68"/>
      <c r="D35" s="69"/>
      <c r="E35" s="110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  <c r="CH35" s="66"/>
      <c r="CI35" s="66"/>
      <c r="CJ35" s="66"/>
      <c r="CK35" s="66"/>
      <c r="CL35" s="66"/>
      <c r="CM35" s="66"/>
      <c r="CN35" s="66"/>
      <c r="CO35" s="66"/>
      <c r="CP35" s="66"/>
      <c r="CQ35" s="66"/>
      <c r="CR35" s="66"/>
      <c r="CS35" s="66"/>
      <c r="CT35" s="66"/>
      <c r="CU35" s="66"/>
      <c r="CV35" s="66"/>
      <c r="CW35" s="66"/>
      <c r="CX35" s="66"/>
      <c r="CY35" s="66"/>
      <c r="CZ35" s="66"/>
      <c r="DA35" s="66"/>
      <c r="DB35" s="66"/>
      <c r="DC35" s="66"/>
      <c r="DD35" s="66"/>
      <c r="DE35" s="66"/>
      <c r="DF35" s="66"/>
      <c r="DG35" s="66"/>
      <c r="DH35" s="66"/>
      <c r="DI35" s="66"/>
      <c r="DJ35" s="66"/>
      <c r="DK35" s="66"/>
      <c r="DL35" s="66"/>
      <c r="DM35" s="66"/>
      <c r="DN35" s="66"/>
      <c r="DO35" s="66"/>
      <c r="DP35" s="66"/>
      <c r="DQ35" s="66"/>
      <c r="DR35" s="66"/>
      <c r="DS35" s="66"/>
      <c r="DT35" s="66"/>
      <c r="DU35" s="66"/>
      <c r="DV35" s="66"/>
      <c r="DW35" s="66"/>
      <c r="DX35" s="66"/>
      <c r="DY35" s="66"/>
      <c r="DZ35" s="66"/>
      <c r="EA35" s="66"/>
      <c r="EB35" s="66"/>
      <c r="EC35" s="66"/>
      <c r="ED35" s="66"/>
      <c r="EE35" s="66"/>
      <c r="EF35" s="66"/>
      <c r="EG35" s="66"/>
      <c r="EH35" s="66"/>
      <c r="EI35" s="66"/>
      <c r="EJ35" s="66"/>
      <c r="EK35" s="66"/>
      <c r="EL35" s="66"/>
      <c r="EM35" s="66"/>
      <c r="EN35" s="66"/>
      <c r="EO35" s="66"/>
      <c r="EP35" s="66"/>
      <c r="EQ35" s="66"/>
      <c r="ER35" s="66"/>
      <c r="ES35" s="66"/>
      <c r="ET35" s="66"/>
      <c r="EU35" s="66"/>
      <c r="EV35" s="66"/>
      <c r="EW35" s="66"/>
      <c r="EX35" s="66"/>
      <c r="EY35" s="66"/>
      <c r="EZ35" s="66"/>
      <c r="FA35" s="66"/>
      <c r="FB35" s="66"/>
      <c r="FC35" s="66"/>
      <c r="FD35" s="66"/>
      <c r="FE35" s="66"/>
      <c r="FF35" s="66"/>
      <c r="FG35" s="66"/>
      <c r="FH35" s="66"/>
      <c r="FI35" s="66"/>
      <c r="FJ35" s="66"/>
      <c r="FK35" s="66"/>
      <c r="FL35" s="66"/>
      <c r="FM35" s="66"/>
      <c r="FN35" s="66"/>
      <c r="FO35" s="66"/>
      <c r="FP35" s="66"/>
      <c r="FQ35" s="66"/>
      <c r="FR35" s="66"/>
      <c r="FS35" s="66"/>
      <c r="FT35" s="66"/>
      <c r="FU35" s="66"/>
      <c r="FV35" s="66"/>
      <c r="FW35" s="66"/>
      <c r="FX35" s="66"/>
      <c r="FY35" s="66"/>
      <c r="FZ35" s="66"/>
      <c r="GA35" s="66"/>
      <c r="GB35" s="66"/>
      <c r="GC35" s="66"/>
      <c r="GD35" s="66"/>
      <c r="GE35" s="66"/>
      <c r="GF35" s="66"/>
      <c r="GG35" s="66"/>
      <c r="GH35" s="66"/>
      <c r="GI35" s="66"/>
      <c r="GJ35" s="66"/>
      <c r="GK35" s="66"/>
      <c r="GL35" s="66"/>
      <c r="GM35" s="66"/>
      <c r="GN35" s="66"/>
      <c r="GO35" s="66"/>
      <c r="GP35" s="66"/>
      <c r="GQ35" s="66"/>
      <c r="GR35" s="66"/>
      <c r="GS35" s="66"/>
      <c r="GT35" s="66"/>
      <c r="GU35" s="66"/>
      <c r="GV35" s="66"/>
      <c r="GW35" s="66"/>
      <c r="GX35" s="66"/>
      <c r="GY35" s="66"/>
      <c r="GZ35" s="66"/>
      <c r="HA35" s="66"/>
      <c r="HB35" s="66"/>
      <c r="HC35" s="66"/>
      <c r="HD35" s="66"/>
      <c r="HE35" s="66"/>
      <c r="HF35" s="66"/>
      <c r="HG35" s="66"/>
      <c r="HH35" s="66"/>
      <c r="HI35" s="66"/>
      <c r="HJ35" s="66"/>
      <c r="HK35" s="66"/>
      <c r="HL35" s="66"/>
      <c r="HM35" s="66"/>
      <c r="HN35" s="66"/>
      <c r="HO35" s="66"/>
      <c r="HP35" s="66"/>
      <c r="HQ35" s="66"/>
      <c r="HR35" s="66"/>
      <c r="HS35" s="66"/>
      <c r="HT35" s="66"/>
      <c r="HU35" s="66"/>
      <c r="HV35" s="66"/>
      <c r="HW35" s="66"/>
      <c r="HX35" s="66"/>
      <c r="HY35" s="66"/>
      <c r="HZ35" s="66"/>
      <c r="IA35" s="66"/>
      <c r="IB35" s="66"/>
      <c r="IC35" s="66"/>
      <c r="ID35" s="66"/>
      <c r="IE35" s="66"/>
      <c r="IF35" s="66"/>
      <c r="IG35" s="66"/>
      <c r="IH35" s="66"/>
      <c r="II35" s="66"/>
      <c r="IJ35" s="66"/>
      <c r="IK35" s="66"/>
      <c r="IL35" s="66"/>
      <c r="IM35" s="66"/>
      <c r="IN35" s="66"/>
      <c r="IO35" s="66"/>
      <c r="IP35" s="66"/>
      <c r="IQ35" s="66"/>
      <c r="IR35" s="66"/>
      <c r="IS35" s="66"/>
      <c r="IT35" s="66"/>
      <c r="IU35" s="66"/>
      <c r="IV35" s="66"/>
      <c r="IW35" s="66"/>
      <c r="IX35" s="66"/>
      <c r="IY35" s="66"/>
      <c r="IZ35" s="66"/>
      <c r="JA35" s="66"/>
      <c r="JB35" s="66"/>
      <c r="JC35" s="66"/>
      <c r="JD35" s="66"/>
      <c r="JE35" s="66"/>
      <c r="JF35" s="66"/>
      <c r="JG35" s="66"/>
      <c r="JH35" s="66"/>
      <c r="JI35" s="66"/>
      <c r="JJ35" s="66"/>
      <c r="JK35" s="66"/>
      <c r="JL35" s="66"/>
      <c r="JM35" s="66"/>
      <c r="JN35" s="66"/>
      <c r="JO35" s="66"/>
      <c r="JP35" s="66"/>
      <c r="JQ35" s="66"/>
      <c r="JR35" s="66"/>
      <c r="JS35" s="66"/>
      <c r="JT35" s="66"/>
      <c r="JU35" s="66"/>
      <c r="JV35" s="66"/>
      <c r="JW35" s="66"/>
      <c r="JX35" s="66"/>
      <c r="JY35" s="66"/>
      <c r="JZ35" s="66"/>
      <c r="KA35" s="66"/>
      <c r="KB35" s="66"/>
      <c r="KC35" s="66"/>
      <c r="KD35" s="66"/>
      <c r="KE35" s="66"/>
      <c r="KF35" s="66"/>
      <c r="KG35" s="66"/>
      <c r="KH35" s="66"/>
      <c r="KI35" s="66"/>
      <c r="KJ35" s="66"/>
      <c r="KK35" s="66"/>
      <c r="KL35" s="66"/>
      <c r="KM35" s="66"/>
      <c r="KN35" s="66"/>
      <c r="KO35" s="66"/>
      <c r="KP35" s="66"/>
      <c r="KQ35" s="66"/>
      <c r="KR35" s="66"/>
      <c r="KS35" s="66"/>
      <c r="KT35" s="66"/>
      <c r="KU35" s="66"/>
      <c r="KV35" s="66"/>
      <c r="KW35" s="66"/>
      <c r="KX35" s="66"/>
      <c r="KY35" s="66"/>
      <c r="KZ35" s="66"/>
      <c r="LA35" s="66"/>
      <c r="LB35" s="66"/>
      <c r="LC35" s="66"/>
      <c r="LD35" s="66"/>
      <c r="LE35" s="66"/>
      <c r="LF35" s="66"/>
      <c r="LG35" s="66"/>
      <c r="LH35" s="66"/>
      <c r="LI35" s="66"/>
      <c r="LJ35" s="66"/>
      <c r="LK35" s="66"/>
      <c r="LL35" s="66"/>
      <c r="LM35" s="66"/>
      <c r="LN35" s="66"/>
      <c r="LO35" s="66"/>
      <c r="LP35" s="66"/>
      <c r="LQ35" s="66"/>
      <c r="LR35" s="66"/>
      <c r="LS35" s="66"/>
      <c r="LT35" s="66"/>
      <c r="LU35" s="66"/>
      <c r="LV35" s="66"/>
      <c r="LW35" s="66"/>
      <c r="LX35" s="66"/>
      <c r="LY35" s="66"/>
      <c r="LZ35" s="66"/>
      <c r="MA35" s="66"/>
      <c r="MB35" s="66"/>
      <c r="MC35" s="66"/>
      <c r="MD35" s="66"/>
      <c r="ME35" s="66"/>
      <c r="MF35" s="66"/>
      <c r="MG35" s="66"/>
      <c r="MH35" s="66"/>
      <c r="MI35" s="66"/>
      <c r="MJ35" s="66"/>
      <c r="MK35" s="66"/>
      <c r="ML35" s="66"/>
      <c r="MM35" s="66"/>
      <c r="MN35" s="66"/>
      <c r="MO35" s="66"/>
      <c r="MP35" s="66"/>
      <c r="MQ35" s="66"/>
      <c r="MR35" s="66"/>
      <c r="MS35" s="66"/>
      <c r="MT35" s="66"/>
      <c r="MU35" s="66"/>
      <c r="MV35" s="66"/>
      <c r="MW35" s="66"/>
      <c r="MX35" s="66"/>
      <c r="MY35" s="66"/>
      <c r="MZ35" s="66"/>
      <c r="NA35" s="66"/>
      <c r="NB35" s="66"/>
      <c r="NC35" s="66"/>
      <c r="ND35" s="66"/>
      <c r="NE35" s="66"/>
      <c r="NF35" s="66"/>
      <c r="NG35" s="66"/>
      <c r="NH35" s="66"/>
      <c r="NI35" s="66"/>
      <c r="NJ35" s="66"/>
      <c r="NK35" s="66"/>
      <c r="NL35" s="66"/>
      <c r="NM35" s="66"/>
      <c r="NN35" s="66"/>
      <c r="NO35" s="66"/>
      <c r="NP35" s="66"/>
      <c r="NQ35" s="66"/>
      <c r="NR35" s="66"/>
      <c r="NS35" s="66"/>
      <c r="NT35" s="66"/>
      <c r="NU35" s="66"/>
      <c r="NV35" s="66"/>
      <c r="NW35" s="66"/>
      <c r="NX35" s="66"/>
      <c r="NY35" s="66"/>
      <c r="NZ35" s="66"/>
      <c r="OA35" s="66"/>
      <c r="OB35" s="66"/>
      <c r="OC35" s="66"/>
      <c r="OD35" s="66"/>
      <c r="OE35" s="66"/>
      <c r="OF35" s="66"/>
      <c r="OG35" s="66"/>
      <c r="OH35" s="66"/>
      <c r="OI35" s="66"/>
      <c r="OJ35" s="66"/>
      <c r="OK35" s="66"/>
      <c r="OL35" s="66"/>
      <c r="OM35" s="66"/>
      <c r="ON35" s="66"/>
      <c r="OO35" s="66"/>
      <c r="OP35" s="66"/>
      <c r="OQ35" s="66"/>
      <c r="OR35" s="66"/>
      <c r="OS35" s="66"/>
      <c r="OT35" s="66"/>
      <c r="OU35" s="66"/>
      <c r="OV35" s="66"/>
      <c r="OW35" s="66"/>
      <c r="OX35" s="66"/>
      <c r="OY35" s="66"/>
      <c r="OZ35" s="66"/>
      <c r="PA35" s="66"/>
      <c r="PB35" s="66"/>
      <c r="PC35" s="66"/>
      <c r="PD35" s="66"/>
      <c r="PE35" s="66"/>
      <c r="PF35" s="66"/>
      <c r="PG35" s="66"/>
      <c r="PH35" s="66"/>
      <c r="PI35" s="66"/>
      <c r="PJ35" s="66"/>
      <c r="PK35" s="66"/>
      <c r="PL35" s="66"/>
      <c r="PM35" s="66"/>
      <c r="PN35" s="66"/>
      <c r="PO35" s="66"/>
      <c r="PP35" s="66"/>
      <c r="PQ35" s="66"/>
      <c r="PR35" s="66"/>
      <c r="PS35" s="66"/>
      <c r="PT35" s="66"/>
      <c r="PU35" s="66"/>
      <c r="PV35" s="66"/>
      <c r="PW35" s="66"/>
      <c r="PX35" s="66"/>
      <c r="PY35" s="66"/>
      <c r="PZ35" s="66"/>
      <c r="QA35" s="66"/>
      <c r="QB35" s="66"/>
      <c r="QC35" s="66"/>
      <c r="QD35" s="66"/>
      <c r="QE35" s="66"/>
      <c r="QF35" s="66"/>
      <c r="QG35" s="66"/>
      <c r="QH35" s="66"/>
      <c r="QI35" s="66"/>
      <c r="QJ35" s="66"/>
      <c r="QK35" s="66"/>
      <c r="QL35" s="66"/>
      <c r="QM35" s="66"/>
      <c r="QN35" s="66"/>
      <c r="QO35" s="66"/>
      <c r="QP35" s="66"/>
      <c r="QQ35" s="66"/>
      <c r="QR35" s="66"/>
      <c r="QS35" s="66"/>
      <c r="QT35" s="66"/>
      <c r="QU35" s="66"/>
      <c r="QV35" s="66"/>
      <c r="QW35" s="66"/>
      <c r="QX35" s="66"/>
      <c r="QY35" s="66"/>
      <c r="QZ35" s="66"/>
      <c r="RA35" s="66"/>
      <c r="RB35" s="66"/>
      <c r="RC35" s="66"/>
      <c r="RD35" s="66"/>
      <c r="RE35" s="66"/>
      <c r="RF35" s="66"/>
      <c r="RG35" s="66"/>
      <c r="RH35" s="66"/>
      <c r="RI35" s="66"/>
      <c r="RJ35" s="66"/>
      <c r="RK35" s="66"/>
      <c r="RL35" s="66"/>
      <c r="RM35" s="66"/>
      <c r="RN35" s="66"/>
      <c r="RO35" s="66"/>
      <c r="RP35" s="66"/>
      <c r="RQ35" s="66"/>
      <c r="RR35" s="66"/>
      <c r="RS35" s="66"/>
      <c r="RT35" s="66"/>
      <c r="RU35" s="66"/>
      <c r="RV35" s="66"/>
      <c r="RW35" s="66"/>
      <c r="RX35" s="66"/>
      <c r="RY35" s="66"/>
      <c r="RZ35" s="66"/>
      <c r="SA35" s="66"/>
      <c r="SB35" s="66"/>
      <c r="SC35" s="66"/>
      <c r="SD35" s="66"/>
      <c r="SE35" s="66"/>
      <c r="SF35" s="66"/>
      <c r="SG35" s="66"/>
      <c r="SH35" s="66"/>
      <c r="SI35" s="66"/>
      <c r="SJ35" s="66"/>
      <c r="SK35" s="66"/>
      <c r="SL35" s="66"/>
      <c r="SM35" s="66"/>
      <c r="SN35" s="66"/>
      <c r="SO35" s="66"/>
      <c r="SP35" s="66"/>
      <c r="SQ35" s="66"/>
      <c r="SR35" s="66"/>
      <c r="SS35" s="66"/>
      <c r="ST35" s="66"/>
      <c r="SU35" s="66"/>
      <c r="SV35" s="66"/>
      <c r="SW35" s="66"/>
      <c r="SX35" s="66"/>
      <c r="SY35" s="66"/>
      <c r="SZ35" s="66"/>
      <c r="TA35" s="66"/>
      <c r="TB35" s="66"/>
      <c r="TC35" s="66"/>
      <c r="TD35" s="66"/>
      <c r="TE35" s="66"/>
      <c r="TF35" s="66"/>
      <c r="TG35" s="66"/>
      <c r="TH35" s="66"/>
      <c r="TI35" s="66"/>
      <c r="TJ35" s="66"/>
      <c r="TK35" s="66"/>
      <c r="TL35" s="66"/>
      <c r="TM35" s="66"/>
      <c r="TN35" s="66"/>
      <c r="TO35" s="66"/>
      <c r="TP35" s="66"/>
      <c r="TQ35" s="66"/>
      <c r="TR35" s="66"/>
      <c r="TS35" s="66"/>
      <c r="TT35" s="66"/>
      <c r="TU35" s="66"/>
      <c r="TV35" s="66"/>
      <c r="TW35" s="66"/>
      <c r="TX35" s="66"/>
      <c r="TY35" s="66"/>
      <c r="TZ35" s="66"/>
      <c r="UA35" s="66"/>
      <c r="UB35" s="66"/>
      <c r="UC35" s="66"/>
      <c r="UD35" s="66"/>
      <c r="UE35" s="66"/>
      <c r="UF35" s="66"/>
      <c r="UG35" s="66"/>
      <c r="UH35" s="66"/>
      <c r="UI35" s="66"/>
      <c r="UJ35" s="66"/>
      <c r="UK35" s="66"/>
      <c r="UL35" s="66"/>
      <c r="UM35" s="66"/>
      <c r="UN35" s="66"/>
      <c r="UO35" s="66"/>
      <c r="UP35" s="66"/>
      <c r="UQ35" s="66"/>
      <c r="UR35" s="66"/>
      <c r="US35" s="66"/>
      <c r="UT35" s="66"/>
      <c r="UU35" s="66"/>
      <c r="UV35" s="66"/>
      <c r="UW35" s="66"/>
      <c r="UX35" s="66"/>
      <c r="UY35" s="66"/>
      <c r="UZ35" s="66"/>
      <c r="VA35" s="66"/>
      <c r="VB35" s="66"/>
      <c r="VC35" s="66"/>
      <c r="VD35" s="66"/>
      <c r="VE35" s="66"/>
      <c r="VF35" s="66"/>
      <c r="VG35" s="66"/>
      <c r="VH35" s="66"/>
      <c r="VI35" s="66"/>
      <c r="VJ35" s="66"/>
      <c r="VK35" s="66"/>
      <c r="VL35" s="66"/>
      <c r="VM35" s="66"/>
      <c r="VN35" s="66"/>
      <c r="VO35" s="66"/>
      <c r="VP35" s="66"/>
      <c r="VQ35" s="66"/>
      <c r="VR35" s="66"/>
      <c r="VS35" s="66"/>
      <c r="VT35" s="66"/>
      <c r="VU35" s="66"/>
      <c r="VV35" s="66"/>
      <c r="VW35" s="66"/>
      <c r="VX35" s="66"/>
      <c r="VY35" s="66"/>
      <c r="VZ35" s="66"/>
      <c r="WA35" s="66"/>
      <c r="WB35" s="66"/>
      <c r="WC35" s="66"/>
      <c r="WD35" s="66"/>
      <c r="WE35" s="66"/>
      <c r="WF35" s="66"/>
      <c r="WG35" s="66"/>
      <c r="WH35" s="66"/>
      <c r="WI35" s="66"/>
      <c r="WJ35" s="66"/>
      <c r="WK35" s="66"/>
      <c r="WL35" s="66"/>
      <c r="WM35" s="66"/>
      <c r="WN35" s="66"/>
      <c r="WO35" s="66"/>
      <c r="WP35" s="66"/>
      <c r="WQ35" s="66"/>
      <c r="WR35" s="66"/>
      <c r="WS35" s="66"/>
      <c r="WT35" s="66"/>
      <c r="WU35" s="66"/>
      <c r="WV35" s="66"/>
      <c r="WW35" s="66"/>
      <c r="WX35" s="66"/>
      <c r="WY35" s="66"/>
      <c r="WZ35" s="66"/>
      <c r="XA35" s="66"/>
      <c r="XB35" s="66"/>
      <c r="XC35" s="66"/>
      <c r="XD35" s="66"/>
      <c r="XE35" s="66"/>
      <c r="XF35" s="66"/>
      <c r="XG35" s="66"/>
      <c r="XH35" s="66"/>
      <c r="XI35" s="66"/>
      <c r="XJ35" s="66"/>
      <c r="XK35" s="66"/>
      <c r="XL35" s="66"/>
      <c r="XM35" s="66"/>
      <c r="XN35" s="66"/>
      <c r="XO35" s="66"/>
      <c r="XP35" s="66"/>
      <c r="XQ35" s="66"/>
      <c r="XR35" s="66"/>
      <c r="XS35" s="66"/>
      <c r="XT35" s="66"/>
      <c r="XU35" s="66"/>
      <c r="XV35" s="66"/>
      <c r="XW35" s="66"/>
      <c r="XX35" s="66"/>
      <c r="XY35" s="66"/>
      <c r="XZ35" s="66"/>
      <c r="YA35" s="66"/>
      <c r="YB35" s="66"/>
      <c r="YC35" s="66"/>
      <c r="YD35" s="66"/>
      <c r="YE35" s="66"/>
      <c r="YF35" s="66"/>
      <c r="YG35" s="66"/>
      <c r="YH35" s="66"/>
      <c r="YI35" s="66"/>
      <c r="YJ35" s="66"/>
      <c r="YK35" s="66"/>
      <c r="YL35" s="66"/>
      <c r="YM35" s="66"/>
      <c r="YN35" s="66"/>
      <c r="YO35" s="66"/>
      <c r="YP35" s="66"/>
      <c r="YQ35" s="66"/>
      <c r="YR35" s="66"/>
      <c r="YS35" s="66"/>
      <c r="YT35" s="66"/>
      <c r="YU35" s="66"/>
      <c r="YV35" s="66"/>
      <c r="YW35" s="66"/>
      <c r="YX35" s="66"/>
      <c r="YY35" s="66"/>
      <c r="YZ35" s="66"/>
      <c r="ZA35" s="66"/>
      <c r="ZB35" s="66"/>
      <c r="ZC35" s="66"/>
      <c r="ZD35" s="66"/>
      <c r="ZE35" s="66"/>
      <c r="ZF35" s="66"/>
      <c r="ZG35" s="66"/>
      <c r="ZH35" s="66"/>
      <c r="ZI35" s="66"/>
      <c r="ZJ35" s="66"/>
      <c r="ZK35" s="66"/>
      <c r="ZL35" s="66"/>
      <c r="ZM35" s="66"/>
      <c r="ZN35" s="66"/>
      <c r="ZO35" s="66"/>
      <c r="ZP35" s="66"/>
      <c r="ZQ35" s="66"/>
      <c r="ZR35" s="66"/>
      <c r="ZS35" s="66"/>
      <c r="ZT35" s="66"/>
      <c r="ZU35" s="66"/>
      <c r="ZV35" s="66"/>
      <c r="ZW35" s="66"/>
      <c r="ZX35" s="66"/>
    </row>
    <row r="36" spans="1:700" s="20" customFormat="1" ht="15.75" x14ac:dyDescent="0.25">
      <c r="A36" s="70"/>
      <c r="B36" s="71"/>
      <c r="C36" s="71"/>
      <c r="D36" s="109"/>
      <c r="E36" s="111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  <c r="CH36" s="66"/>
      <c r="CI36" s="66"/>
      <c r="CJ36" s="66"/>
      <c r="CK36" s="66"/>
      <c r="CL36" s="66"/>
      <c r="CM36" s="66"/>
      <c r="CN36" s="66"/>
      <c r="CO36" s="66"/>
      <c r="CP36" s="66"/>
      <c r="CQ36" s="66"/>
      <c r="CR36" s="66"/>
      <c r="CS36" s="66"/>
      <c r="CT36" s="66"/>
      <c r="CU36" s="66"/>
      <c r="CV36" s="66"/>
      <c r="CW36" s="66"/>
      <c r="CX36" s="66"/>
      <c r="CY36" s="66"/>
      <c r="CZ36" s="66"/>
      <c r="DA36" s="66"/>
      <c r="DB36" s="66"/>
      <c r="DC36" s="66"/>
      <c r="DD36" s="66"/>
      <c r="DE36" s="66"/>
      <c r="DF36" s="66"/>
      <c r="DG36" s="66"/>
      <c r="DH36" s="66"/>
      <c r="DI36" s="66"/>
      <c r="DJ36" s="66"/>
      <c r="DK36" s="66"/>
      <c r="DL36" s="66"/>
      <c r="DM36" s="66"/>
      <c r="DN36" s="66"/>
      <c r="DO36" s="66"/>
      <c r="DP36" s="66"/>
      <c r="DQ36" s="66"/>
      <c r="DR36" s="66"/>
      <c r="DS36" s="66"/>
      <c r="DT36" s="66"/>
      <c r="DU36" s="66"/>
      <c r="DV36" s="66"/>
      <c r="DW36" s="66"/>
      <c r="DX36" s="66"/>
      <c r="DY36" s="66"/>
      <c r="DZ36" s="66"/>
      <c r="EA36" s="66"/>
      <c r="EB36" s="66"/>
      <c r="EC36" s="66"/>
      <c r="ED36" s="66"/>
      <c r="EE36" s="66"/>
      <c r="EF36" s="66"/>
      <c r="EG36" s="66"/>
      <c r="EH36" s="66"/>
      <c r="EI36" s="66"/>
      <c r="EJ36" s="66"/>
      <c r="EK36" s="66"/>
      <c r="EL36" s="66"/>
      <c r="EM36" s="66"/>
      <c r="EN36" s="66"/>
      <c r="EO36" s="66"/>
      <c r="EP36" s="66"/>
      <c r="EQ36" s="66"/>
      <c r="ER36" s="66"/>
      <c r="ES36" s="66"/>
      <c r="ET36" s="66"/>
      <c r="EU36" s="66"/>
      <c r="EV36" s="66"/>
      <c r="EW36" s="66"/>
      <c r="EX36" s="66"/>
      <c r="EY36" s="66"/>
      <c r="EZ36" s="66"/>
      <c r="FA36" s="66"/>
      <c r="FB36" s="66"/>
      <c r="FC36" s="66"/>
      <c r="FD36" s="66"/>
      <c r="FE36" s="66"/>
      <c r="FF36" s="66"/>
      <c r="FG36" s="66"/>
      <c r="FH36" s="66"/>
      <c r="FI36" s="66"/>
      <c r="FJ36" s="66"/>
      <c r="FK36" s="66"/>
      <c r="FL36" s="66"/>
      <c r="FM36" s="66"/>
      <c r="FN36" s="66"/>
      <c r="FO36" s="66"/>
      <c r="FP36" s="66"/>
      <c r="FQ36" s="66"/>
      <c r="FR36" s="66"/>
      <c r="FS36" s="66"/>
      <c r="FT36" s="66"/>
      <c r="FU36" s="66"/>
      <c r="FV36" s="66"/>
      <c r="FW36" s="66"/>
      <c r="FX36" s="66"/>
      <c r="FY36" s="66"/>
      <c r="FZ36" s="66"/>
      <c r="GA36" s="66"/>
      <c r="GB36" s="66"/>
      <c r="GC36" s="66"/>
      <c r="GD36" s="66"/>
      <c r="GE36" s="66"/>
      <c r="GF36" s="66"/>
      <c r="GG36" s="66"/>
      <c r="GH36" s="66"/>
      <c r="GI36" s="66"/>
      <c r="GJ36" s="66"/>
      <c r="GK36" s="66"/>
      <c r="GL36" s="66"/>
      <c r="GM36" s="66"/>
      <c r="GN36" s="66"/>
      <c r="GO36" s="66"/>
      <c r="GP36" s="66"/>
      <c r="GQ36" s="66"/>
      <c r="GR36" s="66"/>
      <c r="GS36" s="66"/>
      <c r="GT36" s="66"/>
      <c r="GU36" s="66"/>
      <c r="GV36" s="66"/>
      <c r="GW36" s="66"/>
      <c r="GX36" s="66"/>
      <c r="GY36" s="66"/>
      <c r="GZ36" s="66"/>
      <c r="HA36" s="66"/>
      <c r="HB36" s="66"/>
      <c r="HC36" s="66"/>
      <c r="HD36" s="66"/>
      <c r="HE36" s="66"/>
      <c r="HF36" s="66"/>
      <c r="HG36" s="66"/>
      <c r="HH36" s="66"/>
      <c r="HI36" s="66"/>
      <c r="HJ36" s="66"/>
      <c r="HK36" s="66"/>
      <c r="HL36" s="66"/>
      <c r="HM36" s="66"/>
      <c r="HN36" s="66"/>
      <c r="HO36" s="66"/>
      <c r="HP36" s="66"/>
      <c r="HQ36" s="66"/>
      <c r="HR36" s="66"/>
      <c r="HS36" s="66"/>
      <c r="HT36" s="66"/>
      <c r="HU36" s="66"/>
      <c r="HV36" s="66"/>
      <c r="HW36" s="66"/>
      <c r="HX36" s="66"/>
      <c r="HY36" s="66"/>
      <c r="HZ36" s="66"/>
      <c r="IA36" s="66"/>
      <c r="IB36" s="66"/>
      <c r="IC36" s="66"/>
      <c r="ID36" s="66"/>
      <c r="IE36" s="66"/>
      <c r="IF36" s="66"/>
      <c r="IG36" s="66"/>
      <c r="IH36" s="66"/>
      <c r="II36" s="66"/>
      <c r="IJ36" s="66"/>
      <c r="IK36" s="66"/>
      <c r="IL36" s="66"/>
      <c r="IM36" s="66"/>
      <c r="IN36" s="66"/>
      <c r="IO36" s="66"/>
      <c r="IP36" s="66"/>
      <c r="IQ36" s="66"/>
      <c r="IR36" s="66"/>
      <c r="IS36" s="66"/>
      <c r="IT36" s="66"/>
      <c r="IU36" s="66"/>
      <c r="IV36" s="66"/>
      <c r="IW36" s="66"/>
      <c r="IX36" s="66"/>
      <c r="IY36" s="66"/>
      <c r="IZ36" s="66"/>
      <c r="JA36" s="66"/>
      <c r="JB36" s="66"/>
      <c r="JC36" s="66"/>
      <c r="JD36" s="66"/>
      <c r="JE36" s="66"/>
      <c r="JF36" s="66"/>
      <c r="JG36" s="66"/>
      <c r="JH36" s="66"/>
      <c r="JI36" s="66"/>
      <c r="JJ36" s="66"/>
      <c r="JK36" s="66"/>
      <c r="JL36" s="66"/>
      <c r="JM36" s="66"/>
      <c r="JN36" s="66"/>
      <c r="JO36" s="66"/>
      <c r="JP36" s="66"/>
      <c r="JQ36" s="66"/>
      <c r="JR36" s="66"/>
      <c r="JS36" s="66"/>
      <c r="JT36" s="66"/>
      <c r="JU36" s="66"/>
      <c r="JV36" s="66"/>
      <c r="JW36" s="66"/>
      <c r="JX36" s="66"/>
      <c r="JY36" s="66"/>
      <c r="JZ36" s="66"/>
      <c r="KA36" s="66"/>
      <c r="KB36" s="66"/>
      <c r="KC36" s="66"/>
      <c r="KD36" s="66"/>
      <c r="KE36" s="66"/>
      <c r="KF36" s="66"/>
      <c r="KG36" s="66"/>
      <c r="KH36" s="66"/>
      <c r="KI36" s="66"/>
      <c r="KJ36" s="66"/>
      <c r="KK36" s="66"/>
      <c r="KL36" s="66"/>
      <c r="KM36" s="66"/>
      <c r="KN36" s="66"/>
      <c r="KO36" s="66"/>
      <c r="KP36" s="66"/>
      <c r="KQ36" s="66"/>
      <c r="KR36" s="66"/>
      <c r="KS36" s="66"/>
      <c r="KT36" s="66"/>
      <c r="KU36" s="66"/>
      <c r="KV36" s="66"/>
      <c r="KW36" s="66"/>
      <c r="KX36" s="66"/>
      <c r="KY36" s="66"/>
      <c r="KZ36" s="66"/>
      <c r="LA36" s="66"/>
      <c r="LB36" s="66"/>
      <c r="LC36" s="66"/>
      <c r="LD36" s="66"/>
      <c r="LE36" s="66"/>
      <c r="LF36" s="66"/>
      <c r="LG36" s="66"/>
      <c r="LH36" s="66"/>
      <c r="LI36" s="66"/>
      <c r="LJ36" s="66"/>
      <c r="LK36" s="66"/>
      <c r="LL36" s="66"/>
      <c r="LM36" s="66"/>
      <c r="LN36" s="66"/>
      <c r="LO36" s="66"/>
      <c r="LP36" s="66"/>
      <c r="LQ36" s="66"/>
      <c r="LR36" s="66"/>
      <c r="LS36" s="66"/>
      <c r="LT36" s="66"/>
      <c r="LU36" s="66"/>
      <c r="LV36" s="66"/>
      <c r="LW36" s="66"/>
      <c r="LX36" s="66"/>
      <c r="LY36" s="66"/>
      <c r="LZ36" s="66"/>
      <c r="MA36" s="66"/>
      <c r="MB36" s="66"/>
      <c r="MC36" s="66"/>
      <c r="MD36" s="66"/>
      <c r="ME36" s="66"/>
      <c r="MF36" s="66"/>
      <c r="MG36" s="66"/>
      <c r="MH36" s="66"/>
      <c r="MI36" s="66"/>
      <c r="MJ36" s="66"/>
      <c r="MK36" s="66"/>
      <c r="ML36" s="66"/>
      <c r="MM36" s="66"/>
      <c r="MN36" s="66"/>
      <c r="MO36" s="66"/>
      <c r="MP36" s="66"/>
      <c r="MQ36" s="66"/>
      <c r="MR36" s="66"/>
      <c r="MS36" s="66"/>
      <c r="MT36" s="66"/>
      <c r="MU36" s="66"/>
      <c r="MV36" s="66"/>
      <c r="MW36" s="66"/>
      <c r="MX36" s="66"/>
      <c r="MY36" s="66"/>
      <c r="MZ36" s="66"/>
      <c r="NA36" s="66"/>
      <c r="NB36" s="66"/>
      <c r="NC36" s="66"/>
      <c r="ND36" s="66"/>
      <c r="NE36" s="66"/>
      <c r="NF36" s="66"/>
      <c r="NG36" s="66"/>
      <c r="NH36" s="66"/>
      <c r="NI36" s="66"/>
      <c r="NJ36" s="66"/>
      <c r="NK36" s="66"/>
      <c r="NL36" s="66"/>
      <c r="NM36" s="66"/>
      <c r="NN36" s="66"/>
      <c r="NO36" s="66"/>
      <c r="NP36" s="66"/>
      <c r="NQ36" s="66"/>
      <c r="NR36" s="66"/>
      <c r="NS36" s="66"/>
      <c r="NT36" s="66"/>
      <c r="NU36" s="66"/>
      <c r="NV36" s="66"/>
      <c r="NW36" s="66"/>
      <c r="NX36" s="66"/>
      <c r="NY36" s="66"/>
      <c r="NZ36" s="66"/>
      <c r="OA36" s="66"/>
      <c r="OB36" s="66"/>
      <c r="OC36" s="66"/>
      <c r="OD36" s="66"/>
      <c r="OE36" s="66"/>
      <c r="OF36" s="66"/>
      <c r="OG36" s="66"/>
      <c r="OH36" s="66"/>
      <c r="OI36" s="66"/>
      <c r="OJ36" s="66"/>
      <c r="OK36" s="66"/>
      <c r="OL36" s="66"/>
      <c r="OM36" s="66"/>
      <c r="ON36" s="66"/>
      <c r="OO36" s="66"/>
      <c r="OP36" s="66"/>
      <c r="OQ36" s="66"/>
      <c r="OR36" s="66"/>
      <c r="OS36" s="66"/>
      <c r="OT36" s="66"/>
      <c r="OU36" s="66"/>
      <c r="OV36" s="66"/>
      <c r="OW36" s="66"/>
      <c r="OX36" s="66"/>
      <c r="OY36" s="66"/>
      <c r="OZ36" s="66"/>
      <c r="PA36" s="66"/>
      <c r="PB36" s="66"/>
      <c r="PC36" s="66"/>
      <c r="PD36" s="66"/>
      <c r="PE36" s="66"/>
      <c r="PF36" s="66"/>
      <c r="PG36" s="66"/>
      <c r="PH36" s="66"/>
      <c r="PI36" s="66"/>
      <c r="PJ36" s="66"/>
      <c r="PK36" s="66"/>
      <c r="PL36" s="66"/>
      <c r="PM36" s="66"/>
      <c r="PN36" s="66"/>
      <c r="PO36" s="66"/>
      <c r="PP36" s="66"/>
      <c r="PQ36" s="66"/>
      <c r="PR36" s="66"/>
      <c r="PS36" s="66"/>
      <c r="PT36" s="66"/>
      <c r="PU36" s="66"/>
      <c r="PV36" s="66"/>
      <c r="PW36" s="66"/>
      <c r="PX36" s="66"/>
      <c r="PY36" s="66"/>
      <c r="PZ36" s="66"/>
      <c r="QA36" s="66"/>
      <c r="QB36" s="66"/>
      <c r="QC36" s="66"/>
      <c r="QD36" s="66"/>
      <c r="QE36" s="66"/>
      <c r="QF36" s="66"/>
      <c r="QG36" s="66"/>
      <c r="QH36" s="66"/>
      <c r="QI36" s="66"/>
      <c r="QJ36" s="66"/>
      <c r="QK36" s="66"/>
      <c r="QL36" s="66"/>
      <c r="QM36" s="66"/>
      <c r="QN36" s="66"/>
      <c r="QO36" s="66"/>
      <c r="QP36" s="66"/>
      <c r="QQ36" s="66"/>
      <c r="QR36" s="66"/>
      <c r="QS36" s="66"/>
      <c r="QT36" s="66"/>
      <c r="QU36" s="66"/>
      <c r="QV36" s="66"/>
      <c r="QW36" s="66"/>
      <c r="QX36" s="66"/>
      <c r="QY36" s="66"/>
      <c r="QZ36" s="66"/>
      <c r="RA36" s="66"/>
      <c r="RB36" s="66"/>
      <c r="RC36" s="66"/>
      <c r="RD36" s="66"/>
      <c r="RE36" s="66"/>
      <c r="RF36" s="66"/>
      <c r="RG36" s="66"/>
      <c r="RH36" s="66"/>
      <c r="RI36" s="66"/>
      <c r="RJ36" s="66"/>
      <c r="RK36" s="66"/>
      <c r="RL36" s="66"/>
      <c r="RM36" s="66"/>
      <c r="RN36" s="66"/>
      <c r="RO36" s="66"/>
      <c r="RP36" s="66"/>
      <c r="RQ36" s="66"/>
      <c r="RR36" s="66"/>
      <c r="RS36" s="66"/>
      <c r="RT36" s="66"/>
      <c r="RU36" s="66"/>
      <c r="RV36" s="66"/>
      <c r="RW36" s="66"/>
      <c r="RX36" s="66"/>
      <c r="RY36" s="66"/>
      <c r="RZ36" s="66"/>
      <c r="SA36" s="66"/>
      <c r="SB36" s="66"/>
      <c r="SC36" s="66"/>
      <c r="SD36" s="66"/>
      <c r="SE36" s="66"/>
      <c r="SF36" s="66"/>
      <c r="SG36" s="66"/>
      <c r="SH36" s="66"/>
      <c r="SI36" s="66"/>
      <c r="SJ36" s="66"/>
      <c r="SK36" s="66"/>
      <c r="SL36" s="66"/>
      <c r="SM36" s="66"/>
      <c r="SN36" s="66"/>
      <c r="SO36" s="66"/>
      <c r="SP36" s="66"/>
      <c r="SQ36" s="66"/>
      <c r="SR36" s="66"/>
      <c r="SS36" s="66"/>
      <c r="ST36" s="66"/>
      <c r="SU36" s="66"/>
      <c r="SV36" s="66"/>
      <c r="SW36" s="66"/>
      <c r="SX36" s="66"/>
      <c r="SY36" s="66"/>
      <c r="SZ36" s="66"/>
      <c r="TA36" s="66"/>
      <c r="TB36" s="66"/>
      <c r="TC36" s="66"/>
      <c r="TD36" s="66"/>
      <c r="TE36" s="66"/>
      <c r="TF36" s="66"/>
      <c r="TG36" s="66"/>
      <c r="TH36" s="66"/>
      <c r="TI36" s="66"/>
      <c r="TJ36" s="66"/>
      <c r="TK36" s="66"/>
      <c r="TL36" s="66"/>
      <c r="TM36" s="66"/>
      <c r="TN36" s="66"/>
      <c r="TO36" s="66"/>
      <c r="TP36" s="66"/>
      <c r="TQ36" s="66"/>
      <c r="TR36" s="66"/>
      <c r="TS36" s="66"/>
      <c r="TT36" s="66"/>
      <c r="TU36" s="66"/>
      <c r="TV36" s="66"/>
      <c r="TW36" s="66"/>
      <c r="TX36" s="66"/>
      <c r="TY36" s="66"/>
      <c r="TZ36" s="66"/>
      <c r="UA36" s="66"/>
      <c r="UB36" s="66"/>
      <c r="UC36" s="66"/>
      <c r="UD36" s="66"/>
      <c r="UE36" s="66"/>
      <c r="UF36" s="66"/>
      <c r="UG36" s="66"/>
      <c r="UH36" s="66"/>
      <c r="UI36" s="66"/>
      <c r="UJ36" s="66"/>
      <c r="UK36" s="66"/>
      <c r="UL36" s="66"/>
      <c r="UM36" s="66"/>
      <c r="UN36" s="66"/>
      <c r="UO36" s="66"/>
      <c r="UP36" s="66"/>
      <c r="UQ36" s="66"/>
      <c r="UR36" s="66"/>
      <c r="US36" s="66"/>
      <c r="UT36" s="66"/>
      <c r="UU36" s="66"/>
      <c r="UV36" s="66"/>
      <c r="UW36" s="66"/>
      <c r="UX36" s="66"/>
      <c r="UY36" s="66"/>
      <c r="UZ36" s="66"/>
      <c r="VA36" s="66"/>
      <c r="VB36" s="66"/>
      <c r="VC36" s="66"/>
      <c r="VD36" s="66"/>
      <c r="VE36" s="66"/>
      <c r="VF36" s="66"/>
      <c r="VG36" s="66"/>
      <c r="VH36" s="66"/>
      <c r="VI36" s="66"/>
      <c r="VJ36" s="66"/>
      <c r="VK36" s="66"/>
      <c r="VL36" s="66"/>
      <c r="VM36" s="66"/>
      <c r="VN36" s="66"/>
      <c r="VO36" s="66"/>
      <c r="VP36" s="66"/>
      <c r="VQ36" s="66"/>
      <c r="VR36" s="66"/>
      <c r="VS36" s="66"/>
      <c r="VT36" s="66"/>
      <c r="VU36" s="66"/>
      <c r="VV36" s="66"/>
      <c r="VW36" s="66"/>
      <c r="VX36" s="66"/>
      <c r="VY36" s="66"/>
      <c r="VZ36" s="66"/>
      <c r="WA36" s="66"/>
      <c r="WB36" s="66"/>
      <c r="WC36" s="66"/>
      <c r="WD36" s="66"/>
      <c r="WE36" s="66"/>
      <c r="WF36" s="66"/>
      <c r="WG36" s="66"/>
      <c r="WH36" s="66"/>
      <c r="WI36" s="66"/>
      <c r="WJ36" s="66"/>
      <c r="WK36" s="66"/>
      <c r="WL36" s="66"/>
      <c r="WM36" s="66"/>
      <c r="WN36" s="66"/>
      <c r="WO36" s="66"/>
      <c r="WP36" s="66"/>
      <c r="WQ36" s="66"/>
      <c r="WR36" s="66"/>
      <c r="WS36" s="66"/>
      <c r="WT36" s="66"/>
      <c r="WU36" s="66"/>
      <c r="WV36" s="66"/>
      <c r="WW36" s="66"/>
      <c r="WX36" s="66"/>
      <c r="WY36" s="66"/>
      <c r="WZ36" s="66"/>
      <c r="XA36" s="66"/>
      <c r="XB36" s="66"/>
      <c r="XC36" s="66"/>
      <c r="XD36" s="66"/>
      <c r="XE36" s="66"/>
      <c r="XF36" s="66"/>
      <c r="XG36" s="66"/>
      <c r="XH36" s="66"/>
      <c r="XI36" s="66"/>
      <c r="XJ36" s="66"/>
      <c r="XK36" s="66"/>
      <c r="XL36" s="66"/>
      <c r="XM36" s="66"/>
      <c r="XN36" s="66"/>
      <c r="XO36" s="66"/>
      <c r="XP36" s="66"/>
      <c r="XQ36" s="66"/>
      <c r="XR36" s="66"/>
      <c r="XS36" s="66"/>
      <c r="XT36" s="66"/>
      <c r="XU36" s="66"/>
      <c r="XV36" s="66"/>
      <c r="XW36" s="66"/>
      <c r="XX36" s="66"/>
      <c r="XY36" s="66"/>
      <c r="XZ36" s="66"/>
      <c r="YA36" s="66"/>
      <c r="YB36" s="66"/>
      <c r="YC36" s="66"/>
      <c r="YD36" s="66"/>
      <c r="YE36" s="66"/>
      <c r="YF36" s="66"/>
      <c r="YG36" s="66"/>
      <c r="YH36" s="66"/>
      <c r="YI36" s="66"/>
      <c r="YJ36" s="66"/>
      <c r="YK36" s="66"/>
      <c r="YL36" s="66"/>
      <c r="YM36" s="66"/>
      <c r="YN36" s="66"/>
      <c r="YO36" s="66"/>
      <c r="YP36" s="66"/>
      <c r="YQ36" s="66"/>
      <c r="YR36" s="66"/>
      <c r="YS36" s="66"/>
      <c r="YT36" s="66"/>
      <c r="YU36" s="66"/>
      <c r="YV36" s="66"/>
      <c r="YW36" s="66"/>
      <c r="YX36" s="66"/>
      <c r="YY36" s="66"/>
      <c r="YZ36" s="66"/>
      <c r="ZA36" s="66"/>
      <c r="ZB36" s="66"/>
      <c r="ZC36" s="66"/>
      <c r="ZD36" s="66"/>
      <c r="ZE36" s="66"/>
      <c r="ZF36" s="66"/>
      <c r="ZG36" s="66"/>
      <c r="ZH36" s="66"/>
      <c r="ZI36" s="66"/>
      <c r="ZJ36" s="66"/>
      <c r="ZK36" s="66"/>
      <c r="ZL36" s="66"/>
      <c r="ZM36" s="66"/>
      <c r="ZN36" s="66"/>
      <c r="ZO36" s="66"/>
      <c r="ZP36" s="66"/>
      <c r="ZQ36" s="66"/>
      <c r="ZR36" s="66"/>
      <c r="ZS36" s="66"/>
      <c r="ZT36" s="66"/>
      <c r="ZU36" s="66"/>
      <c r="ZV36" s="66"/>
      <c r="ZW36" s="66"/>
      <c r="ZX36" s="66"/>
    </row>
    <row r="37" spans="1:700" s="20" customFormat="1" ht="15.75" x14ac:dyDescent="0.25">
      <c r="A37" s="125"/>
      <c r="B37" s="126"/>
      <c r="C37" s="126"/>
      <c r="D37" s="127"/>
      <c r="E37" s="128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  <c r="CH37" s="66"/>
      <c r="CI37" s="66"/>
      <c r="CJ37" s="66"/>
      <c r="CK37" s="66"/>
      <c r="CL37" s="66"/>
      <c r="CM37" s="66"/>
      <c r="CN37" s="66"/>
      <c r="CO37" s="66"/>
      <c r="CP37" s="66"/>
      <c r="CQ37" s="66"/>
      <c r="CR37" s="66"/>
      <c r="CS37" s="66"/>
      <c r="CT37" s="66"/>
      <c r="CU37" s="66"/>
      <c r="CV37" s="66"/>
      <c r="CW37" s="66"/>
      <c r="CX37" s="66"/>
      <c r="CY37" s="66"/>
      <c r="CZ37" s="66"/>
      <c r="DA37" s="66"/>
      <c r="DB37" s="66"/>
      <c r="DC37" s="66"/>
      <c r="DD37" s="66"/>
      <c r="DE37" s="66"/>
      <c r="DF37" s="66"/>
      <c r="DG37" s="66"/>
      <c r="DH37" s="66"/>
      <c r="DI37" s="66"/>
      <c r="DJ37" s="66"/>
      <c r="DK37" s="66"/>
      <c r="DL37" s="66"/>
      <c r="DM37" s="66"/>
      <c r="DN37" s="66"/>
      <c r="DO37" s="66"/>
      <c r="DP37" s="66"/>
      <c r="DQ37" s="66"/>
      <c r="DR37" s="66"/>
      <c r="DS37" s="66"/>
      <c r="DT37" s="66"/>
      <c r="DU37" s="66"/>
      <c r="DV37" s="66"/>
      <c r="DW37" s="66"/>
      <c r="DX37" s="66"/>
      <c r="DY37" s="66"/>
      <c r="DZ37" s="66"/>
      <c r="EA37" s="66"/>
      <c r="EB37" s="66"/>
      <c r="EC37" s="66"/>
      <c r="ED37" s="66"/>
      <c r="EE37" s="66"/>
      <c r="EF37" s="66"/>
      <c r="EG37" s="66"/>
      <c r="EH37" s="66"/>
      <c r="EI37" s="66"/>
      <c r="EJ37" s="66"/>
      <c r="EK37" s="66"/>
      <c r="EL37" s="66"/>
      <c r="EM37" s="66"/>
      <c r="EN37" s="66"/>
      <c r="EO37" s="66"/>
      <c r="EP37" s="66"/>
      <c r="EQ37" s="66"/>
      <c r="ER37" s="66"/>
      <c r="ES37" s="66"/>
      <c r="ET37" s="66"/>
      <c r="EU37" s="66"/>
      <c r="EV37" s="66"/>
      <c r="EW37" s="66"/>
      <c r="EX37" s="66"/>
      <c r="EY37" s="66"/>
      <c r="EZ37" s="66"/>
      <c r="FA37" s="66"/>
      <c r="FB37" s="66"/>
      <c r="FC37" s="66"/>
      <c r="FD37" s="66"/>
      <c r="FE37" s="66"/>
      <c r="FF37" s="66"/>
      <c r="FG37" s="66"/>
      <c r="FH37" s="66"/>
      <c r="FI37" s="66"/>
      <c r="FJ37" s="66"/>
      <c r="FK37" s="66"/>
      <c r="FL37" s="66"/>
      <c r="FM37" s="66"/>
      <c r="FN37" s="66"/>
      <c r="FO37" s="66"/>
      <c r="FP37" s="66"/>
      <c r="FQ37" s="66"/>
      <c r="FR37" s="66"/>
      <c r="FS37" s="66"/>
      <c r="FT37" s="66"/>
      <c r="FU37" s="66"/>
      <c r="FV37" s="66"/>
      <c r="FW37" s="66"/>
      <c r="FX37" s="66"/>
      <c r="FY37" s="66"/>
      <c r="FZ37" s="66"/>
      <c r="GA37" s="66"/>
      <c r="GB37" s="66"/>
      <c r="GC37" s="66"/>
      <c r="GD37" s="66"/>
      <c r="GE37" s="66"/>
      <c r="GF37" s="66"/>
      <c r="GG37" s="66"/>
      <c r="GH37" s="66"/>
      <c r="GI37" s="66"/>
      <c r="GJ37" s="66"/>
      <c r="GK37" s="66"/>
      <c r="GL37" s="66"/>
      <c r="GM37" s="66"/>
      <c r="GN37" s="66"/>
      <c r="GO37" s="66"/>
      <c r="GP37" s="66"/>
      <c r="GQ37" s="66"/>
      <c r="GR37" s="66"/>
      <c r="GS37" s="66"/>
      <c r="GT37" s="66"/>
      <c r="GU37" s="66"/>
      <c r="GV37" s="66"/>
      <c r="GW37" s="66"/>
      <c r="GX37" s="66"/>
      <c r="GY37" s="66"/>
      <c r="GZ37" s="66"/>
      <c r="HA37" s="66"/>
      <c r="HB37" s="66"/>
      <c r="HC37" s="66"/>
      <c r="HD37" s="66"/>
      <c r="HE37" s="66"/>
      <c r="HF37" s="66"/>
      <c r="HG37" s="66"/>
      <c r="HH37" s="66"/>
      <c r="HI37" s="66"/>
      <c r="HJ37" s="66"/>
      <c r="HK37" s="66"/>
      <c r="HL37" s="66"/>
      <c r="HM37" s="66"/>
      <c r="HN37" s="66"/>
      <c r="HO37" s="66"/>
      <c r="HP37" s="66"/>
      <c r="HQ37" s="66"/>
      <c r="HR37" s="66"/>
      <c r="HS37" s="66"/>
      <c r="HT37" s="66"/>
      <c r="HU37" s="66"/>
      <c r="HV37" s="66"/>
      <c r="HW37" s="66"/>
      <c r="HX37" s="66"/>
      <c r="HY37" s="66"/>
      <c r="HZ37" s="66"/>
      <c r="IA37" s="66"/>
      <c r="IB37" s="66"/>
      <c r="IC37" s="66"/>
      <c r="ID37" s="66"/>
      <c r="IE37" s="66"/>
      <c r="IF37" s="66"/>
      <c r="IG37" s="66"/>
      <c r="IH37" s="66"/>
      <c r="II37" s="66"/>
      <c r="IJ37" s="66"/>
      <c r="IK37" s="66"/>
      <c r="IL37" s="66"/>
      <c r="IM37" s="66"/>
      <c r="IN37" s="66"/>
      <c r="IO37" s="66"/>
      <c r="IP37" s="66"/>
      <c r="IQ37" s="66"/>
      <c r="IR37" s="66"/>
      <c r="IS37" s="66"/>
      <c r="IT37" s="66"/>
      <c r="IU37" s="66"/>
      <c r="IV37" s="66"/>
      <c r="IW37" s="66"/>
      <c r="IX37" s="66"/>
      <c r="IY37" s="66"/>
      <c r="IZ37" s="66"/>
      <c r="JA37" s="66"/>
      <c r="JB37" s="66"/>
      <c r="JC37" s="66"/>
      <c r="JD37" s="66"/>
      <c r="JE37" s="66"/>
      <c r="JF37" s="66"/>
      <c r="JG37" s="66"/>
      <c r="JH37" s="66"/>
      <c r="JI37" s="66"/>
      <c r="JJ37" s="66"/>
      <c r="JK37" s="66"/>
      <c r="JL37" s="66"/>
      <c r="JM37" s="66"/>
      <c r="JN37" s="66"/>
      <c r="JO37" s="66"/>
      <c r="JP37" s="66"/>
      <c r="JQ37" s="66"/>
      <c r="JR37" s="66"/>
      <c r="JS37" s="66"/>
      <c r="JT37" s="66"/>
      <c r="JU37" s="66"/>
      <c r="JV37" s="66"/>
      <c r="JW37" s="66"/>
      <c r="JX37" s="66"/>
      <c r="JY37" s="66"/>
      <c r="JZ37" s="66"/>
      <c r="KA37" s="66"/>
      <c r="KB37" s="66"/>
      <c r="KC37" s="66"/>
      <c r="KD37" s="66"/>
      <c r="KE37" s="66"/>
      <c r="KF37" s="66"/>
      <c r="KG37" s="66"/>
      <c r="KH37" s="66"/>
      <c r="KI37" s="66"/>
      <c r="KJ37" s="66"/>
      <c r="KK37" s="66"/>
      <c r="KL37" s="66"/>
      <c r="KM37" s="66"/>
      <c r="KN37" s="66"/>
      <c r="KO37" s="66"/>
      <c r="KP37" s="66"/>
      <c r="KQ37" s="66"/>
      <c r="KR37" s="66"/>
      <c r="KS37" s="66"/>
      <c r="KT37" s="66"/>
      <c r="KU37" s="66"/>
      <c r="KV37" s="66"/>
      <c r="KW37" s="66"/>
      <c r="KX37" s="66"/>
      <c r="KY37" s="66"/>
      <c r="KZ37" s="66"/>
      <c r="LA37" s="66"/>
      <c r="LB37" s="66"/>
      <c r="LC37" s="66"/>
      <c r="LD37" s="66"/>
      <c r="LE37" s="66"/>
      <c r="LF37" s="66"/>
      <c r="LG37" s="66"/>
      <c r="LH37" s="66"/>
      <c r="LI37" s="66"/>
      <c r="LJ37" s="66"/>
      <c r="LK37" s="66"/>
      <c r="LL37" s="66"/>
      <c r="LM37" s="66"/>
      <c r="LN37" s="66"/>
      <c r="LO37" s="66"/>
      <c r="LP37" s="66"/>
      <c r="LQ37" s="66"/>
      <c r="LR37" s="66"/>
      <c r="LS37" s="66"/>
      <c r="LT37" s="66"/>
      <c r="LU37" s="66"/>
      <c r="LV37" s="66"/>
      <c r="LW37" s="66"/>
      <c r="LX37" s="66"/>
      <c r="LY37" s="66"/>
      <c r="LZ37" s="66"/>
      <c r="MA37" s="66"/>
      <c r="MB37" s="66"/>
      <c r="MC37" s="66"/>
      <c r="MD37" s="66"/>
      <c r="ME37" s="66"/>
      <c r="MF37" s="66"/>
      <c r="MG37" s="66"/>
      <c r="MH37" s="66"/>
      <c r="MI37" s="66"/>
      <c r="MJ37" s="66"/>
      <c r="MK37" s="66"/>
      <c r="ML37" s="66"/>
      <c r="MM37" s="66"/>
      <c r="MN37" s="66"/>
      <c r="MO37" s="66"/>
      <c r="MP37" s="66"/>
      <c r="MQ37" s="66"/>
      <c r="MR37" s="66"/>
      <c r="MS37" s="66"/>
      <c r="MT37" s="66"/>
      <c r="MU37" s="66"/>
      <c r="MV37" s="66"/>
      <c r="MW37" s="66"/>
      <c r="MX37" s="66"/>
      <c r="MY37" s="66"/>
      <c r="MZ37" s="66"/>
      <c r="NA37" s="66"/>
      <c r="NB37" s="66"/>
      <c r="NC37" s="66"/>
      <c r="ND37" s="66"/>
      <c r="NE37" s="66"/>
      <c r="NF37" s="66"/>
      <c r="NG37" s="66"/>
      <c r="NH37" s="66"/>
      <c r="NI37" s="66"/>
      <c r="NJ37" s="66"/>
      <c r="NK37" s="66"/>
      <c r="NL37" s="66"/>
      <c r="NM37" s="66"/>
      <c r="NN37" s="66"/>
      <c r="NO37" s="66"/>
      <c r="NP37" s="66"/>
      <c r="NQ37" s="66"/>
      <c r="NR37" s="66"/>
      <c r="NS37" s="66"/>
      <c r="NT37" s="66"/>
      <c r="NU37" s="66"/>
      <c r="NV37" s="66"/>
      <c r="NW37" s="66"/>
      <c r="NX37" s="66"/>
      <c r="NY37" s="66"/>
      <c r="NZ37" s="66"/>
      <c r="OA37" s="66"/>
      <c r="OB37" s="66"/>
      <c r="OC37" s="66"/>
      <c r="OD37" s="66"/>
      <c r="OE37" s="66"/>
      <c r="OF37" s="66"/>
      <c r="OG37" s="66"/>
      <c r="OH37" s="66"/>
      <c r="OI37" s="66"/>
      <c r="OJ37" s="66"/>
      <c r="OK37" s="66"/>
      <c r="OL37" s="66"/>
      <c r="OM37" s="66"/>
      <c r="ON37" s="66"/>
      <c r="OO37" s="66"/>
      <c r="OP37" s="66"/>
      <c r="OQ37" s="66"/>
      <c r="OR37" s="66"/>
      <c r="OS37" s="66"/>
      <c r="OT37" s="66"/>
      <c r="OU37" s="66"/>
      <c r="OV37" s="66"/>
      <c r="OW37" s="66"/>
      <c r="OX37" s="66"/>
      <c r="OY37" s="66"/>
      <c r="OZ37" s="66"/>
      <c r="PA37" s="66"/>
      <c r="PB37" s="66"/>
      <c r="PC37" s="66"/>
      <c r="PD37" s="66"/>
      <c r="PE37" s="66"/>
      <c r="PF37" s="66"/>
      <c r="PG37" s="66"/>
      <c r="PH37" s="66"/>
      <c r="PI37" s="66"/>
      <c r="PJ37" s="66"/>
      <c r="PK37" s="66"/>
      <c r="PL37" s="66"/>
      <c r="PM37" s="66"/>
      <c r="PN37" s="66"/>
      <c r="PO37" s="66"/>
      <c r="PP37" s="66"/>
      <c r="PQ37" s="66"/>
      <c r="PR37" s="66"/>
      <c r="PS37" s="66"/>
      <c r="PT37" s="66"/>
      <c r="PU37" s="66"/>
      <c r="PV37" s="66"/>
      <c r="PW37" s="66"/>
      <c r="PX37" s="66"/>
      <c r="PY37" s="66"/>
      <c r="PZ37" s="66"/>
      <c r="QA37" s="66"/>
      <c r="QB37" s="66"/>
      <c r="QC37" s="66"/>
      <c r="QD37" s="66"/>
      <c r="QE37" s="66"/>
      <c r="QF37" s="66"/>
      <c r="QG37" s="66"/>
      <c r="QH37" s="66"/>
      <c r="QI37" s="66"/>
      <c r="QJ37" s="66"/>
      <c r="QK37" s="66"/>
      <c r="QL37" s="66"/>
      <c r="QM37" s="66"/>
      <c r="QN37" s="66"/>
      <c r="QO37" s="66"/>
      <c r="QP37" s="66"/>
      <c r="QQ37" s="66"/>
      <c r="QR37" s="66"/>
      <c r="QS37" s="66"/>
      <c r="QT37" s="66"/>
      <c r="QU37" s="66"/>
      <c r="QV37" s="66"/>
      <c r="QW37" s="66"/>
      <c r="QX37" s="66"/>
      <c r="QY37" s="66"/>
      <c r="QZ37" s="66"/>
      <c r="RA37" s="66"/>
      <c r="RB37" s="66"/>
      <c r="RC37" s="66"/>
      <c r="RD37" s="66"/>
      <c r="RE37" s="66"/>
      <c r="RF37" s="66"/>
      <c r="RG37" s="66"/>
      <c r="RH37" s="66"/>
      <c r="RI37" s="66"/>
      <c r="RJ37" s="66"/>
      <c r="RK37" s="66"/>
      <c r="RL37" s="66"/>
      <c r="RM37" s="66"/>
      <c r="RN37" s="66"/>
      <c r="RO37" s="66"/>
      <c r="RP37" s="66"/>
      <c r="RQ37" s="66"/>
      <c r="RR37" s="66"/>
      <c r="RS37" s="66"/>
      <c r="RT37" s="66"/>
      <c r="RU37" s="66"/>
      <c r="RV37" s="66"/>
      <c r="RW37" s="66"/>
      <c r="RX37" s="66"/>
      <c r="RY37" s="66"/>
      <c r="RZ37" s="66"/>
      <c r="SA37" s="66"/>
      <c r="SB37" s="66"/>
      <c r="SC37" s="66"/>
      <c r="SD37" s="66"/>
      <c r="SE37" s="66"/>
      <c r="SF37" s="66"/>
      <c r="SG37" s="66"/>
      <c r="SH37" s="66"/>
      <c r="SI37" s="66"/>
      <c r="SJ37" s="66"/>
      <c r="SK37" s="66"/>
      <c r="SL37" s="66"/>
      <c r="SM37" s="66"/>
      <c r="SN37" s="66"/>
      <c r="SO37" s="66"/>
      <c r="SP37" s="66"/>
      <c r="SQ37" s="66"/>
      <c r="SR37" s="66"/>
      <c r="SS37" s="66"/>
      <c r="ST37" s="66"/>
      <c r="SU37" s="66"/>
      <c r="SV37" s="66"/>
      <c r="SW37" s="66"/>
      <c r="SX37" s="66"/>
      <c r="SY37" s="66"/>
      <c r="SZ37" s="66"/>
      <c r="TA37" s="66"/>
      <c r="TB37" s="66"/>
      <c r="TC37" s="66"/>
      <c r="TD37" s="66"/>
      <c r="TE37" s="66"/>
      <c r="TF37" s="66"/>
      <c r="TG37" s="66"/>
      <c r="TH37" s="66"/>
      <c r="TI37" s="66"/>
      <c r="TJ37" s="66"/>
      <c r="TK37" s="66"/>
      <c r="TL37" s="66"/>
      <c r="TM37" s="66"/>
      <c r="TN37" s="66"/>
      <c r="TO37" s="66"/>
      <c r="TP37" s="66"/>
      <c r="TQ37" s="66"/>
      <c r="TR37" s="66"/>
      <c r="TS37" s="66"/>
      <c r="TT37" s="66"/>
      <c r="TU37" s="66"/>
      <c r="TV37" s="66"/>
      <c r="TW37" s="66"/>
      <c r="TX37" s="66"/>
      <c r="TY37" s="66"/>
      <c r="TZ37" s="66"/>
      <c r="UA37" s="66"/>
      <c r="UB37" s="66"/>
      <c r="UC37" s="66"/>
      <c r="UD37" s="66"/>
      <c r="UE37" s="66"/>
      <c r="UF37" s="66"/>
      <c r="UG37" s="66"/>
      <c r="UH37" s="66"/>
      <c r="UI37" s="66"/>
      <c r="UJ37" s="66"/>
      <c r="UK37" s="66"/>
      <c r="UL37" s="66"/>
      <c r="UM37" s="66"/>
      <c r="UN37" s="66"/>
      <c r="UO37" s="66"/>
      <c r="UP37" s="66"/>
      <c r="UQ37" s="66"/>
      <c r="UR37" s="66"/>
      <c r="US37" s="66"/>
      <c r="UT37" s="66"/>
      <c r="UU37" s="66"/>
      <c r="UV37" s="66"/>
      <c r="UW37" s="66"/>
      <c r="UX37" s="66"/>
      <c r="UY37" s="66"/>
      <c r="UZ37" s="66"/>
      <c r="VA37" s="66"/>
      <c r="VB37" s="66"/>
      <c r="VC37" s="66"/>
      <c r="VD37" s="66"/>
      <c r="VE37" s="66"/>
      <c r="VF37" s="66"/>
      <c r="VG37" s="66"/>
      <c r="VH37" s="66"/>
      <c r="VI37" s="66"/>
      <c r="VJ37" s="66"/>
      <c r="VK37" s="66"/>
      <c r="VL37" s="66"/>
      <c r="VM37" s="66"/>
      <c r="VN37" s="66"/>
      <c r="VO37" s="66"/>
      <c r="VP37" s="66"/>
      <c r="VQ37" s="66"/>
      <c r="VR37" s="66"/>
      <c r="VS37" s="66"/>
      <c r="VT37" s="66"/>
      <c r="VU37" s="66"/>
      <c r="VV37" s="66"/>
      <c r="VW37" s="66"/>
      <c r="VX37" s="66"/>
      <c r="VY37" s="66"/>
      <c r="VZ37" s="66"/>
      <c r="WA37" s="66"/>
      <c r="WB37" s="66"/>
      <c r="WC37" s="66"/>
      <c r="WD37" s="66"/>
      <c r="WE37" s="66"/>
      <c r="WF37" s="66"/>
      <c r="WG37" s="66"/>
      <c r="WH37" s="66"/>
      <c r="WI37" s="66"/>
      <c r="WJ37" s="66"/>
      <c r="WK37" s="66"/>
      <c r="WL37" s="66"/>
      <c r="WM37" s="66"/>
      <c r="WN37" s="66"/>
      <c r="WO37" s="66"/>
      <c r="WP37" s="66"/>
      <c r="WQ37" s="66"/>
      <c r="WR37" s="66"/>
      <c r="WS37" s="66"/>
      <c r="WT37" s="66"/>
      <c r="WU37" s="66"/>
      <c r="WV37" s="66"/>
      <c r="WW37" s="66"/>
      <c r="WX37" s="66"/>
      <c r="WY37" s="66"/>
      <c r="WZ37" s="66"/>
      <c r="XA37" s="66"/>
      <c r="XB37" s="66"/>
      <c r="XC37" s="66"/>
      <c r="XD37" s="66"/>
      <c r="XE37" s="66"/>
      <c r="XF37" s="66"/>
      <c r="XG37" s="66"/>
      <c r="XH37" s="66"/>
      <c r="XI37" s="66"/>
      <c r="XJ37" s="66"/>
      <c r="XK37" s="66"/>
      <c r="XL37" s="66"/>
      <c r="XM37" s="66"/>
      <c r="XN37" s="66"/>
      <c r="XO37" s="66"/>
      <c r="XP37" s="66"/>
      <c r="XQ37" s="66"/>
      <c r="XR37" s="66"/>
      <c r="XS37" s="66"/>
      <c r="XT37" s="66"/>
      <c r="XU37" s="66"/>
      <c r="XV37" s="66"/>
      <c r="XW37" s="66"/>
      <c r="XX37" s="66"/>
      <c r="XY37" s="66"/>
      <c r="XZ37" s="66"/>
      <c r="YA37" s="66"/>
      <c r="YB37" s="66"/>
      <c r="YC37" s="66"/>
      <c r="YD37" s="66"/>
      <c r="YE37" s="66"/>
      <c r="YF37" s="66"/>
      <c r="YG37" s="66"/>
      <c r="YH37" s="66"/>
      <c r="YI37" s="66"/>
      <c r="YJ37" s="66"/>
      <c r="YK37" s="66"/>
      <c r="YL37" s="66"/>
      <c r="YM37" s="66"/>
      <c r="YN37" s="66"/>
      <c r="YO37" s="66"/>
      <c r="YP37" s="66"/>
      <c r="YQ37" s="66"/>
      <c r="YR37" s="66"/>
      <c r="YS37" s="66"/>
      <c r="YT37" s="66"/>
      <c r="YU37" s="66"/>
      <c r="YV37" s="66"/>
      <c r="YW37" s="66"/>
      <c r="YX37" s="66"/>
      <c r="YY37" s="66"/>
      <c r="YZ37" s="66"/>
      <c r="ZA37" s="66"/>
      <c r="ZB37" s="66"/>
      <c r="ZC37" s="66"/>
      <c r="ZD37" s="66"/>
      <c r="ZE37" s="66"/>
      <c r="ZF37" s="66"/>
      <c r="ZG37" s="66"/>
      <c r="ZH37" s="66"/>
      <c r="ZI37" s="66"/>
      <c r="ZJ37" s="66"/>
      <c r="ZK37" s="66"/>
      <c r="ZL37" s="66"/>
      <c r="ZM37" s="66"/>
      <c r="ZN37" s="66"/>
      <c r="ZO37" s="66"/>
      <c r="ZP37" s="66"/>
      <c r="ZQ37" s="66"/>
      <c r="ZR37" s="66"/>
      <c r="ZS37" s="66"/>
      <c r="ZT37" s="66"/>
      <c r="ZU37" s="66"/>
      <c r="ZV37" s="66"/>
      <c r="ZW37" s="66"/>
      <c r="ZX37" s="66"/>
    </row>
    <row r="38" spans="1:700" s="20" customFormat="1" ht="15.75" x14ac:dyDescent="0.25">
      <c r="A38" s="72"/>
      <c r="B38" s="73"/>
      <c r="C38" s="73"/>
      <c r="D38" s="108"/>
      <c r="E38" s="129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AH38" s="66"/>
      <c r="AI38" s="66"/>
      <c r="AJ38" s="66"/>
      <c r="AK38" s="66"/>
      <c r="AL38" s="66"/>
      <c r="AM38" s="66"/>
      <c r="AN38" s="66"/>
      <c r="AO38" s="66"/>
      <c r="AP38" s="66"/>
      <c r="AQ38" s="66"/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66"/>
      <c r="BE38" s="66"/>
      <c r="BF38" s="66"/>
      <c r="BG38" s="66"/>
      <c r="BH38" s="66"/>
      <c r="BI38" s="66"/>
      <c r="BJ38" s="66"/>
      <c r="BK38" s="66"/>
      <c r="BL38" s="66"/>
      <c r="BM38" s="66"/>
      <c r="BN38" s="66"/>
      <c r="BO38" s="66"/>
      <c r="BP38" s="66"/>
      <c r="BQ38" s="66"/>
      <c r="BR38" s="66"/>
      <c r="BS38" s="66"/>
      <c r="BT38" s="66"/>
      <c r="BU38" s="66"/>
      <c r="BV38" s="66"/>
      <c r="BW38" s="66"/>
      <c r="BX38" s="66"/>
      <c r="BY38" s="66"/>
      <c r="BZ38" s="66"/>
      <c r="CA38" s="66"/>
      <c r="CB38" s="66"/>
      <c r="CC38" s="66"/>
      <c r="CD38" s="66"/>
      <c r="CE38" s="66"/>
      <c r="CF38" s="66"/>
      <c r="CG38" s="66"/>
      <c r="CH38" s="66"/>
      <c r="CI38" s="66"/>
      <c r="CJ38" s="66"/>
      <c r="CK38" s="66"/>
      <c r="CL38" s="66"/>
      <c r="CM38" s="66"/>
      <c r="CN38" s="66"/>
      <c r="CO38" s="66"/>
      <c r="CP38" s="66"/>
      <c r="CQ38" s="66"/>
      <c r="CR38" s="66"/>
      <c r="CS38" s="66"/>
      <c r="CT38" s="66"/>
      <c r="CU38" s="66"/>
      <c r="CV38" s="66"/>
      <c r="CW38" s="66"/>
      <c r="CX38" s="66"/>
      <c r="CY38" s="66"/>
      <c r="CZ38" s="66"/>
      <c r="DA38" s="66"/>
      <c r="DB38" s="66"/>
      <c r="DC38" s="66"/>
      <c r="DD38" s="66"/>
      <c r="DE38" s="66"/>
      <c r="DF38" s="66"/>
      <c r="DG38" s="66"/>
      <c r="DH38" s="66"/>
      <c r="DI38" s="66"/>
      <c r="DJ38" s="66"/>
      <c r="DK38" s="66"/>
      <c r="DL38" s="66"/>
      <c r="DM38" s="66"/>
      <c r="DN38" s="66"/>
      <c r="DO38" s="66"/>
      <c r="DP38" s="66"/>
      <c r="DQ38" s="66"/>
      <c r="DR38" s="66"/>
      <c r="DS38" s="66"/>
      <c r="DT38" s="66"/>
      <c r="DU38" s="66"/>
      <c r="DV38" s="66"/>
      <c r="DW38" s="66"/>
      <c r="DX38" s="66"/>
      <c r="DY38" s="66"/>
      <c r="DZ38" s="66"/>
      <c r="EA38" s="66"/>
      <c r="EB38" s="66"/>
      <c r="EC38" s="66"/>
      <c r="ED38" s="66"/>
      <c r="EE38" s="66"/>
      <c r="EF38" s="66"/>
      <c r="EG38" s="66"/>
      <c r="EH38" s="66"/>
      <c r="EI38" s="66"/>
      <c r="EJ38" s="66"/>
      <c r="EK38" s="66"/>
      <c r="EL38" s="66"/>
      <c r="EM38" s="66"/>
      <c r="EN38" s="66"/>
      <c r="EO38" s="66"/>
      <c r="EP38" s="66"/>
      <c r="EQ38" s="66"/>
      <c r="ER38" s="66"/>
      <c r="ES38" s="66"/>
      <c r="ET38" s="66"/>
      <c r="EU38" s="66"/>
      <c r="EV38" s="66"/>
      <c r="EW38" s="66"/>
      <c r="EX38" s="66"/>
      <c r="EY38" s="66"/>
      <c r="EZ38" s="66"/>
      <c r="FA38" s="66"/>
      <c r="FB38" s="66"/>
      <c r="FC38" s="66"/>
      <c r="FD38" s="66"/>
      <c r="FE38" s="66"/>
      <c r="FF38" s="66"/>
      <c r="FG38" s="66"/>
      <c r="FH38" s="66"/>
      <c r="FI38" s="66"/>
      <c r="FJ38" s="66"/>
      <c r="FK38" s="66"/>
      <c r="FL38" s="66"/>
      <c r="FM38" s="66"/>
      <c r="FN38" s="66"/>
      <c r="FO38" s="66"/>
      <c r="FP38" s="66"/>
      <c r="FQ38" s="66"/>
      <c r="FR38" s="66"/>
      <c r="FS38" s="66"/>
      <c r="FT38" s="66"/>
      <c r="FU38" s="66"/>
      <c r="FV38" s="66"/>
      <c r="FW38" s="66"/>
      <c r="FX38" s="66"/>
      <c r="FY38" s="66"/>
      <c r="FZ38" s="66"/>
      <c r="GA38" s="66"/>
      <c r="GB38" s="66"/>
      <c r="GC38" s="66"/>
      <c r="GD38" s="66"/>
      <c r="GE38" s="66"/>
      <c r="GF38" s="66"/>
      <c r="GG38" s="66"/>
      <c r="GH38" s="66"/>
      <c r="GI38" s="66"/>
      <c r="GJ38" s="66"/>
      <c r="GK38" s="66"/>
      <c r="GL38" s="66"/>
      <c r="GM38" s="66"/>
      <c r="GN38" s="66"/>
      <c r="GO38" s="66"/>
      <c r="GP38" s="66"/>
      <c r="GQ38" s="66"/>
      <c r="GR38" s="66"/>
      <c r="GS38" s="66"/>
      <c r="GT38" s="66"/>
      <c r="GU38" s="66"/>
      <c r="GV38" s="66"/>
      <c r="GW38" s="66"/>
      <c r="GX38" s="66"/>
      <c r="GY38" s="66"/>
      <c r="GZ38" s="66"/>
      <c r="HA38" s="66"/>
      <c r="HB38" s="66"/>
      <c r="HC38" s="66"/>
      <c r="HD38" s="66"/>
      <c r="HE38" s="66"/>
      <c r="HF38" s="66"/>
      <c r="HG38" s="66"/>
      <c r="HH38" s="66"/>
      <c r="HI38" s="66"/>
      <c r="HJ38" s="66"/>
      <c r="HK38" s="66"/>
      <c r="HL38" s="66"/>
      <c r="HM38" s="66"/>
      <c r="HN38" s="66"/>
      <c r="HO38" s="66"/>
      <c r="HP38" s="66"/>
      <c r="HQ38" s="66"/>
      <c r="HR38" s="66"/>
      <c r="HS38" s="66"/>
      <c r="HT38" s="66"/>
      <c r="HU38" s="66"/>
      <c r="HV38" s="66"/>
      <c r="HW38" s="66"/>
      <c r="HX38" s="66"/>
      <c r="HY38" s="66"/>
      <c r="HZ38" s="66"/>
      <c r="IA38" s="66"/>
      <c r="IB38" s="66"/>
      <c r="IC38" s="66"/>
      <c r="ID38" s="66"/>
      <c r="IE38" s="66"/>
      <c r="IF38" s="66"/>
      <c r="IG38" s="66"/>
      <c r="IH38" s="66"/>
      <c r="II38" s="66"/>
      <c r="IJ38" s="66"/>
      <c r="IK38" s="66"/>
      <c r="IL38" s="66"/>
      <c r="IM38" s="66"/>
      <c r="IN38" s="66"/>
      <c r="IO38" s="66"/>
      <c r="IP38" s="66"/>
      <c r="IQ38" s="66"/>
      <c r="IR38" s="66"/>
      <c r="IS38" s="66"/>
      <c r="IT38" s="66"/>
      <c r="IU38" s="66"/>
      <c r="IV38" s="66"/>
      <c r="IW38" s="66"/>
      <c r="IX38" s="66"/>
      <c r="IY38" s="66"/>
      <c r="IZ38" s="66"/>
      <c r="JA38" s="66"/>
      <c r="JB38" s="66"/>
      <c r="JC38" s="66"/>
      <c r="JD38" s="66"/>
      <c r="JE38" s="66"/>
      <c r="JF38" s="66"/>
      <c r="JG38" s="66"/>
      <c r="JH38" s="66"/>
      <c r="JI38" s="66"/>
      <c r="JJ38" s="66"/>
      <c r="JK38" s="66"/>
      <c r="JL38" s="66"/>
      <c r="JM38" s="66"/>
      <c r="JN38" s="66"/>
      <c r="JO38" s="66"/>
      <c r="JP38" s="66"/>
      <c r="JQ38" s="66"/>
      <c r="JR38" s="66"/>
      <c r="JS38" s="66"/>
      <c r="JT38" s="66"/>
      <c r="JU38" s="66"/>
      <c r="JV38" s="66"/>
      <c r="JW38" s="66"/>
      <c r="JX38" s="66"/>
      <c r="JY38" s="66"/>
      <c r="JZ38" s="66"/>
      <c r="KA38" s="66"/>
      <c r="KB38" s="66"/>
      <c r="KC38" s="66"/>
      <c r="KD38" s="66"/>
      <c r="KE38" s="66"/>
      <c r="KF38" s="66"/>
      <c r="KG38" s="66"/>
      <c r="KH38" s="66"/>
      <c r="KI38" s="66"/>
      <c r="KJ38" s="66"/>
      <c r="KK38" s="66"/>
      <c r="KL38" s="66"/>
      <c r="KM38" s="66"/>
      <c r="KN38" s="66"/>
      <c r="KO38" s="66"/>
      <c r="KP38" s="66"/>
      <c r="KQ38" s="66"/>
      <c r="KR38" s="66"/>
      <c r="KS38" s="66"/>
      <c r="KT38" s="66"/>
      <c r="KU38" s="66"/>
      <c r="KV38" s="66"/>
      <c r="KW38" s="66"/>
      <c r="KX38" s="66"/>
      <c r="KY38" s="66"/>
      <c r="KZ38" s="66"/>
      <c r="LA38" s="66"/>
      <c r="LB38" s="66"/>
      <c r="LC38" s="66"/>
      <c r="LD38" s="66"/>
      <c r="LE38" s="66"/>
      <c r="LF38" s="66"/>
      <c r="LG38" s="66"/>
      <c r="LH38" s="66"/>
      <c r="LI38" s="66"/>
      <c r="LJ38" s="66"/>
      <c r="LK38" s="66"/>
      <c r="LL38" s="66"/>
      <c r="LM38" s="66"/>
      <c r="LN38" s="66"/>
      <c r="LO38" s="66"/>
      <c r="LP38" s="66"/>
      <c r="LQ38" s="66"/>
      <c r="LR38" s="66"/>
      <c r="LS38" s="66"/>
      <c r="LT38" s="66"/>
      <c r="LU38" s="66"/>
      <c r="LV38" s="66"/>
      <c r="LW38" s="66"/>
      <c r="LX38" s="66"/>
      <c r="LY38" s="66"/>
      <c r="LZ38" s="66"/>
      <c r="MA38" s="66"/>
      <c r="MB38" s="66"/>
      <c r="MC38" s="66"/>
      <c r="MD38" s="66"/>
      <c r="ME38" s="66"/>
      <c r="MF38" s="66"/>
      <c r="MG38" s="66"/>
      <c r="MH38" s="66"/>
      <c r="MI38" s="66"/>
      <c r="MJ38" s="66"/>
      <c r="MK38" s="66"/>
      <c r="ML38" s="66"/>
      <c r="MM38" s="66"/>
      <c r="MN38" s="66"/>
      <c r="MO38" s="66"/>
      <c r="MP38" s="66"/>
      <c r="MQ38" s="66"/>
      <c r="MR38" s="66"/>
      <c r="MS38" s="66"/>
      <c r="MT38" s="66"/>
      <c r="MU38" s="66"/>
      <c r="MV38" s="66"/>
      <c r="MW38" s="66"/>
      <c r="MX38" s="66"/>
      <c r="MY38" s="66"/>
      <c r="MZ38" s="66"/>
      <c r="NA38" s="66"/>
      <c r="NB38" s="66"/>
      <c r="NC38" s="66"/>
      <c r="ND38" s="66"/>
      <c r="NE38" s="66"/>
      <c r="NF38" s="66"/>
      <c r="NG38" s="66"/>
      <c r="NH38" s="66"/>
      <c r="NI38" s="66"/>
      <c r="NJ38" s="66"/>
      <c r="NK38" s="66"/>
      <c r="NL38" s="66"/>
      <c r="NM38" s="66"/>
      <c r="NN38" s="66"/>
      <c r="NO38" s="66"/>
      <c r="NP38" s="66"/>
      <c r="NQ38" s="66"/>
      <c r="NR38" s="66"/>
      <c r="NS38" s="66"/>
      <c r="NT38" s="66"/>
      <c r="NU38" s="66"/>
      <c r="NV38" s="66"/>
      <c r="NW38" s="66"/>
      <c r="NX38" s="66"/>
      <c r="NY38" s="66"/>
      <c r="NZ38" s="66"/>
      <c r="OA38" s="66"/>
      <c r="OB38" s="66"/>
      <c r="OC38" s="66"/>
      <c r="OD38" s="66"/>
      <c r="OE38" s="66"/>
      <c r="OF38" s="66"/>
      <c r="OG38" s="66"/>
      <c r="OH38" s="66"/>
      <c r="OI38" s="66"/>
      <c r="OJ38" s="66"/>
      <c r="OK38" s="66"/>
      <c r="OL38" s="66"/>
      <c r="OM38" s="66"/>
      <c r="ON38" s="66"/>
      <c r="OO38" s="66"/>
      <c r="OP38" s="66"/>
      <c r="OQ38" s="66"/>
      <c r="OR38" s="66"/>
      <c r="OS38" s="66"/>
      <c r="OT38" s="66"/>
      <c r="OU38" s="66"/>
      <c r="OV38" s="66"/>
      <c r="OW38" s="66"/>
      <c r="OX38" s="66"/>
      <c r="OY38" s="66"/>
      <c r="OZ38" s="66"/>
      <c r="PA38" s="66"/>
      <c r="PB38" s="66"/>
      <c r="PC38" s="66"/>
      <c r="PD38" s="66"/>
      <c r="PE38" s="66"/>
      <c r="PF38" s="66"/>
      <c r="PG38" s="66"/>
      <c r="PH38" s="66"/>
      <c r="PI38" s="66"/>
      <c r="PJ38" s="66"/>
      <c r="PK38" s="66"/>
      <c r="PL38" s="66"/>
      <c r="PM38" s="66"/>
      <c r="PN38" s="66"/>
      <c r="PO38" s="66"/>
      <c r="PP38" s="66"/>
      <c r="PQ38" s="66"/>
      <c r="PR38" s="66"/>
      <c r="PS38" s="66"/>
      <c r="PT38" s="66"/>
      <c r="PU38" s="66"/>
      <c r="PV38" s="66"/>
      <c r="PW38" s="66"/>
      <c r="PX38" s="66"/>
      <c r="PY38" s="66"/>
      <c r="PZ38" s="66"/>
      <c r="QA38" s="66"/>
      <c r="QB38" s="66"/>
      <c r="QC38" s="66"/>
      <c r="QD38" s="66"/>
      <c r="QE38" s="66"/>
      <c r="QF38" s="66"/>
      <c r="QG38" s="66"/>
      <c r="QH38" s="66"/>
      <c r="QI38" s="66"/>
      <c r="QJ38" s="66"/>
      <c r="QK38" s="66"/>
      <c r="QL38" s="66"/>
      <c r="QM38" s="66"/>
      <c r="QN38" s="66"/>
      <c r="QO38" s="66"/>
      <c r="QP38" s="66"/>
      <c r="QQ38" s="66"/>
      <c r="QR38" s="66"/>
      <c r="QS38" s="66"/>
      <c r="QT38" s="66"/>
      <c r="QU38" s="66"/>
      <c r="QV38" s="66"/>
      <c r="QW38" s="66"/>
      <c r="QX38" s="66"/>
      <c r="QY38" s="66"/>
      <c r="QZ38" s="66"/>
      <c r="RA38" s="66"/>
      <c r="RB38" s="66"/>
      <c r="RC38" s="66"/>
      <c r="RD38" s="66"/>
      <c r="RE38" s="66"/>
      <c r="RF38" s="66"/>
      <c r="RG38" s="66"/>
      <c r="RH38" s="66"/>
      <c r="RI38" s="66"/>
      <c r="RJ38" s="66"/>
      <c r="RK38" s="66"/>
      <c r="RL38" s="66"/>
      <c r="RM38" s="66"/>
      <c r="RN38" s="66"/>
      <c r="RO38" s="66"/>
      <c r="RP38" s="66"/>
      <c r="RQ38" s="66"/>
      <c r="RR38" s="66"/>
      <c r="RS38" s="66"/>
      <c r="RT38" s="66"/>
      <c r="RU38" s="66"/>
      <c r="RV38" s="66"/>
      <c r="RW38" s="66"/>
      <c r="RX38" s="66"/>
      <c r="RY38" s="66"/>
      <c r="RZ38" s="66"/>
      <c r="SA38" s="66"/>
      <c r="SB38" s="66"/>
      <c r="SC38" s="66"/>
      <c r="SD38" s="66"/>
      <c r="SE38" s="66"/>
      <c r="SF38" s="66"/>
      <c r="SG38" s="66"/>
      <c r="SH38" s="66"/>
      <c r="SI38" s="66"/>
      <c r="SJ38" s="66"/>
      <c r="SK38" s="66"/>
      <c r="SL38" s="66"/>
      <c r="SM38" s="66"/>
      <c r="SN38" s="66"/>
      <c r="SO38" s="66"/>
      <c r="SP38" s="66"/>
      <c r="SQ38" s="66"/>
      <c r="SR38" s="66"/>
      <c r="SS38" s="66"/>
      <c r="ST38" s="66"/>
      <c r="SU38" s="66"/>
      <c r="SV38" s="66"/>
      <c r="SW38" s="66"/>
      <c r="SX38" s="66"/>
      <c r="SY38" s="66"/>
      <c r="SZ38" s="66"/>
      <c r="TA38" s="66"/>
      <c r="TB38" s="66"/>
      <c r="TC38" s="66"/>
      <c r="TD38" s="66"/>
      <c r="TE38" s="66"/>
      <c r="TF38" s="66"/>
      <c r="TG38" s="66"/>
      <c r="TH38" s="66"/>
      <c r="TI38" s="66"/>
      <c r="TJ38" s="66"/>
      <c r="TK38" s="66"/>
      <c r="TL38" s="66"/>
      <c r="TM38" s="66"/>
      <c r="TN38" s="66"/>
      <c r="TO38" s="66"/>
      <c r="TP38" s="66"/>
      <c r="TQ38" s="66"/>
      <c r="TR38" s="66"/>
      <c r="TS38" s="66"/>
      <c r="TT38" s="66"/>
      <c r="TU38" s="66"/>
      <c r="TV38" s="66"/>
      <c r="TW38" s="66"/>
      <c r="TX38" s="66"/>
      <c r="TY38" s="66"/>
      <c r="TZ38" s="66"/>
      <c r="UA38" s="66"/>
      <c r="UB38" s="66"/>
      <c r="UC38" s="66"/>
      <c r="UD38" s="66"/>
      <c r="UE38" s="66"/>
      <c r="UF38" s="66"/>
      <c r="UG38" s="66"/>
      <c r="UH38" s="66"/>
      <c r="UI38" s="66"/>
      <c r="UJ38" s="66"/>
      <c r="UK38" s="66"/>
      <c r="UL38" s="66"/>
      <c r="UM38" s="66"/>
      <c r="UN38" s="66"/>
      <c r="UO38" s="66"/>
      <c r="UP38" s="66"/>
      <c r="UQ38" s="66"/>
      <c r="UR38" s="66"/>
      <c r="US38" s="66"/>
      <c r="UT38" s="66"/>
      <c r="UU38" s="66"/>
      <c r="UV38" s="66"/>
      <c r="UW38" s="66"/>
      <c r="UX38" s="66"/>
      <c r="UY38" s="66"/>
      <c r="UZ38" s="66"/>
      <c r="VA38" s="66"/>
      <c r="VB38" s="66"/>
      <c r="VC38" s="66"/>
      <c r="VD38" s="66"/>
      <c r="VE38" s="66"/>
      <c r="VF38" s="66"/>
      <c r="VG38" s="66"/>
      <c r="VH38" s="66"/>
      <c r="VI38" s="66"/>
      <c r="VJ38" s="66"/>
      <c r="VK38" s="66"/>
      <c r="VL38" s="66"/>
      <c r="VM38" s="66"/>
      <c r="VN38" s="66"/>
      <c r="VO38" s="66"/>
      <c r="VP38" s="66"/>
      <c r="VQ38" s="66"/>
      <c r="VR38" s="66"/>
      <c r="VS38" s="66"/>
      <c r="VT38" s="66"/>
      <c r="VU38" s="66"/>
      <c r="VV38" s="66"/>
      <c r="VW38" s="66"/>
      <c r="VX38" s="66"/>
      <c r="VY38" s="66"/>
      <c r="VZ38" s="66"/>
      <c r="WA38" s="66"/>
      <c r="WB38" s="66"/>
      <c r="WC38" s="66"/>
      <c r="WD38" s="66"/>
      <c r="WE38" s="66"/>
      <c r="WF38" s="66"/>
      <c r="WG38" s="66"/>
      <c r="WH38" s="66"/>
      <c r="WI38" s="66"/>
      <c r="WJ38" s="66"/>
      <c r="WK38" s="66"/>
      <c r="WL38" s="66"/>
      <c r="WM38" s="66"/>
      <c r="WN38" s="66"/>
      <c r="WO38" s="66"/>
      <c r="WP38" s="66"/>
      <c r="WQ38" s="66"/>
      <c r="WR38" s="66"/>
      <c r="WS38" s="66"/>
      <c r="WT38" s="66"/>
      <c r="WU38" s="66"/>
      <c r="WV38" s="66"/>
      <c r="WW38" s="66"/>
      <c r="WX38" s="66"/>
      <c r="WY38" s="66"/>
      <c r="WZ38" s="66"/>
      <c r="XA38" s="66"/>
      <c r="XB38" s="66"/>
      <c r="XC38" s="66"/>
      <c r="XD38" s="66"/>
      <c r="XE38" s="66"/>
      <c r="XF38" s="66"/>
      <c r="XG38" s="66"/>
      <c r="XH38" s="66"/>
      <c r="XI38" s="66"/>
      <c r="XJ38" s="66"/>
      <c r="XK38" s="66"/>
      <c r="XL38" s="66"/>
      <c r="XM38" s="66"/>
      <c r="XN38" s="66"/>
      <c r="XO38" s="66"/>
      <c r="XP38" s="66"/>
      <c r="XQ38" s="66"/>
      <c r="XR38" s="66"/>
      <c r="XS38" s="66"/>
      <c r="XT38" s="66"/>
      <c r="XU38" s="66"/>
      <c r="XV38" s="66"/>
      <c r="XW38" s="66"/>
      <c r="XX38" s="66"/>
      <c r="XY38" s="66"/>
      <c r="XZ38" s="66"/>
      <c r="YA38" s="66"/>
      <c r="YB38" s="66"/>
      <c r="YC38" s="66"/>
      <c r="YD38" s="66"/>
      <c r="YE38" s="66"/>
      <c r="YF38" s="66"/>
      <c r="YG38" s="66"/>
      <c r="YH38" s="66"/>
      <c r="YI38" s="66"/>
      <c r="YJ38" s="66"/>
      <c r="YK38" s="66"/>
      <c r="YL38" s="66"/>
      <c r="YM38" s="66"/>
      <c r="YN38" s="66"/>
      <c r="YO38" s="66"/>
      <c r="YP38" s="66"/>
      <c r="YQ38" s="66"/>
      <c r="YR38" s="66"/>
      <c r="YS38" s="66"/>
      <c r="YT38" s="66"/>
      <c r="YU38" s="66"/>
      <c r="YV38" s="66"/>
      <c r="YW38" s="66"/>
      <c r="YX38" s="66"/>
      <c r="YY38" s="66"/>
      <c r="YZ38" s="66"/>
      <c r="ZA38" s="66"/>
      <c r="ZB38" s="66"/>
      <c r="ZC38" s="66"/>
      <c r="ZD38" s="66"/>
      <c r="ZE38" s="66"/>
      <c r="ZF38" s="66"/>
      <c r="ZG38" s="66"/>
      <c r="ZH38" s="66"/>
      <c r="ZI38" s="66"/>
      <c r="ZJ38" s="66"/>
      <c r="ZK38" s="66"/>
      <c r="ZL38" s="66"/>
      <c r="ZM38" s="66"/>
      <c r="ZN38" s="66"/>
      <c r="ZO38" s="66"/>
      <c r="ZP38" s="66"/>
      <c r="ZQ38" s="66"/>
      <c r="ZR38" s="66"/>
      <c r="ZS38" s="66"/>
      <c r="ZT38" s="66"/>
      <c r="ZU38" s="66"/>
      <c r="ZV38" s="66"/>
      <c r="ZW38" s="66"/>
      <c r="ZX38" s="66"/>
    </row>
    <row r="39" spans="1:700" s="20" customFormat="1" ht="15.75" x14ac:dyDescent="0.25">
      <c r="A39" s="70"/>
      <c r="B39" s="71"/>
      <c r="C39" s="71"/>
      <c r="D39" s="109"/>
      <c r="E39" s="111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  <c r="CH39" s="66"/>
      <c r="CI39" s="66"/>
      <c r="CJ39" s="66"/>
      <c r="CK39" s="66"/>
      <c r="CL39" s="66"/>
      <c r="CM39" s="66"/>
      <c r="CN39" s="66"/>
      <c r="CO39" s="66"/>
      <c r="CP39" s="66"/>
      <c r="CQ39" s="66"/>
      <c r="CR39" s="66"/>
      <c r="CS39" s="66"/>
      <c r="CT39" s="66"/>
      <c r="CU39" s="66"/>
      <c r="CV39" s="66"/>
      <c r="CW39" s="66"/>
      <c r="CX39" s="66"/>
      <c r="CY39" s="66"/>
      <c r="CZ39" s="66"/>
      <c r="DA39" s="66"/>
      <c r="DB39" s="66"/>
      <c r="DC39" s="66"/>
      <c r="DD39" s="66"/>
      <c r="DE39" s="66"/>
      <c r="DF39" s="66"/>
      <c r="DG39" s="66"/>
      <c r="DH39" s="66"/>
      <c r="DI39" s="66"/>
      <c r="DJ39" s="66"/>
      <c r="DK39" s="66"/>
      <c r="DL39" s="66"/>
      <c r="DM39" s="66"/>
      <c r="DN39" s="66"/>
      <c r="DO39" s="66"/>
      <c r="DP39" s="66"/>
      <c r="DQ39" s="66"/>
      <c r="DR39" s="66"/>
      <c r="DS39" s="66"/>
      <c r="DT39" s="66"/>
      <c r="DU39" s="66"/>
      <c r="DV39" s="66"/>
      <c r="DW39" s="66"/>
      <c r="DX39" s="66"/>
      <c r="DY39" s="66"/>
      <c r="DZ39" s="66"/>
      <c r="EA39" s="66"/>
      <c r="EB39" s="66"/>
      <c r="EC39" s="66"/>
      <c r="ED39" s="66"/>
      <c r="EE39" s="66"/>
      <c r="EF39" s="66"/>
      <c r="EG39" s="66"/>
      <c r="EH39" s="66"/>
      <c r="EI39" s="66"/>
      <c r="EJ39" s="66"/>
      <c r="EK39" s="66"/>
      <c r="EL39" s="66"/>
      <c r="EM39" s="66"/>
      <c r="EN39" s="66"/>
      <c r="EO39" s="66"/>
      <c r="EP39" s="66"/>
      <c r="EQ39" s="66"/>
      <c r="ER39" s="66"/>
      <c r="ES39" s="66"/>
      <c r="ET39" s="66"/>
      <c r="EU39" s="66"/>
      <c r="EV39" s="66"/>
      <c r="EW39" s="66"/>
      <c r="EX39" s="66"/>
      <c r="EY39" s="66"/>
      <c r="EZ39" s="66"/>
      <c r="FA39" s="66"/>
      <c r="FB39" s="66"/>
      <c r="FC39" s="66"/>
      <c r="FD39" s="66"/>
      <c r="FE39" s="66"/>
      <c r="FF39" s="66"/>
      <c r="FG39" s="66"/>
      <c r="FH39" s="66"/>
      <c r="FI39" s="66"/>
      <c r="FJ39" s="66"/>
      <c r="FK39" s="66"/>
      <c r="FL39" s="66"/>
      <c r="FM39" s="66"/>
      <c r="FN39" s="66"/>
      <c r="FO39" s="66"/>
      <c r="FP39" s="66"/>
      <c r="FQ39" s="66"/>
      <c r="FR39" s="66"/>
      <c r="FS39" s="66"/>
      <c r="FT39" s="66"/>
      <c r="FU39" s="66"/>
      <c r="FV39" s="66"/>
      <c r="FW39" s="66"/>
      <c r="FX39" s="66"/>
      <c r="FY39" s="66"/>
      <c r="FZ39" s="66"/>
      <c r="GA39" s="66"/>
      <c r="GB39" s="66"/>
      <c r="GC39" s="66"/>
      <c r="GD39" s="66"/>
      <c r="GE39" s="66"/>
      <c r="GF39" s="66"/>
      <c r="GG39" s="66"/>
      <c r="GH39" s="66"/>
      <c r="GI39" s="66"/>
      <c r="GJ39" s="66"/>
      <c r="GK39" s="66"/>
      <c r="GL39" s="66"/>
      <c r="GM39" s="66"/>
      <c r="GN39" s="66"/>
      <c r="GO39" s="66"/>
      <c r="GP39" s="66"/>
      <c r="GQ39" s="66"/>
      <c r="GR39" s="66"/>
      <c r="GS39" s="66"/>
      <c r="GT39" s="66"/>
      <c r="GU39" s="66"/>
      <c r="GV39" s="66"/>
      <c r="GW39" s="66"/>
      <c r="GX39" s="66"/>
      <c r="GY39" s="66"/>
      <c r="GZ39" s="66"/>
      <c r="HA39" s="66"/>
      <c r="HB39" s="66"/>
      <c r="HC39" s="66"/>
      <c r="HD39" s="66"/>
      <c r="HE39" s="66"/>
      <c r="HF39" s="66"/>
      <c r="HG39" s="66"/>
      <c r="HH39" s="66"/>
      <c r="HI39" s="66"/>
      <c r="HJ39" s="66"/>
      <c r="HK39" s="66"/>
      <c r="HL39" s="66"/>
      <c r="HM39" s="66"/>
      <c r="HN39" s="66"/>
      <c r="HO39" s="66"/>
      <c r="HP39" s="66"/>
      <c r="HQ39" s="66"/>
      <c r="HR39" s="66"/>
      <c r="HS39" s="66"/>
      <c r="HT39" s="66"/>
      <c r="HU39" s="66"/>
      <c r="HV39" s="66"/>
      <c r="HW39" s="66"/>
      <c r="HX39" s="66"/>
      <c r="HY39" s="66"/>
      <c r="HZ39" s="66"/>
      <c r="IA39" s="66"/>
      <c r="IB39" s="66"/>
      <c r="IC39" s="66"/>
      <c r="ID39" s="66"/>
      <c r="IE39" s="66"/>
      <c r="IF39" s="66"/>
      <c r="IG39" s="66"/>
      <c r="IH39" s="66"/>
      <c r="II39" s="66"/>
      <c r="IJ39" s="66"/>
      <c r="IK39" s="66"/>
      <c r="IL39" s="66"/>
      <c r="IM39" s="66"/>
      <c r="IN39" s="66"/>
      <c r="IO39" s="66"/>
      <c r="IP39" s="66"/>
      <c r="IQ39" s="66"/>
      <c r="IR39" s="66"/>
      <c r="IS39" s="66"/>
      <c r="IT39" s="66"/>
      <c r="IU39" s="66"/>
      <c r="IV39" s="66"/>
      <c r="IW39" s="66"/>
      <c r="IX39" s="66"/>
      <c r="IY39" s="66"/>
      <c r="IZ39" s="66"/>
      <c r="JA39" s="66"/>
      <c r="JB39" s="66"/>
      <c r="JC39" s="66"/>
      <c r="JD39" s="66"/>
      <c r="JE39" s="66"/>
      <c r="JF39" s="66"/>
      <c r="JG39" s="66"/>
      <c r="JH39" s="66"/>
      <c r="JI39" s="66"/>
      <c r="JJ39" s="66"/>
      <c r="JK39" s="66"/>
      <c r="JL39" s="66"/>
      <c r="JM39" s="66"/>
      <c r="JN39" s="66"/>
      <c r="JO39" s="66"/>
      <c r="JP39" s="66"/>
      <c r="JQ39" s="66"/>
      <c r="JR39" s="66"/>
      <c r="JS39" s="66"/>
      <c r="JT39" s="66"/>
      <c r="JU39" s="66"/>
      <c r="JV39" s="66"/>
      <c r="JW39" s="66"/>
      <c r="JX39" s="66"/>
      <c r="JY39" s="66"/>
      <c r="JZ39" s="66"/>
      <c r="KA39" s="66"/>
      <c r="KB39" s="66"/>
      <c r="KC39" s="66"/>
      <c r="KD39" s="66"/>
      <c r="KE39" s="66"/>
      <c r="KF39" s="66"/>
      <c r="KG39" s="66"/>
      <c r="KH39" s="66"/>
      <c r="KI39" s="66"/>
      <c r="KJ39" s="66"/>
      <c r="KK39" s="66"/>
      <c r="KL39" s="66"/>
      <c r="KM39" s="66"/>
      <c r="KN39" s="66"/>
      <c r="KO39" s="66"/>
      <c r="KP39" s="66"/>
      <c r="KQ39" s="66"/>
      <c r="KR39" s="66"/>
      <c r="KS39" s="66"/>
      <c r="KT39" s="66"/>
      <c r="KU39" s="66"/>
      <c r="KV39" s="66"/>
      <c r="KW39" s="66"/>
      <c r="KX39" s="66"/>
      <c r="KY39" s="66"/>
      <c r="KZ39" s="66"/>
      <c r="LA39" s="66"/>
      <c r="LB39" s="66"/>
      <c r="LC39" s="66"/>
      <c r="LD39" s="66"/>
      <c r="LE39" s="66"/>
      <c r="LF39" s="66"/>
      <c r="LG39" s="66"/>
      <c r="LH39" s="66"/>
      <c r="LI39" s="66"/>
      <c r="LJ39" s="66"/>
      <c r="LK39" s="66"/>
      <c r="LL39" s="66"/>
      <c r="LM39" s="66"/>
      <c r="LN39" s="66"/>
      <c r="LO39" s="66"/>
      <c r="LP39" s="66"/>
      <c r="LQ39" s="66"/>
      <c r="LR39" s="66"/>
      <c r="LS39" s="66"/>
      <c r="LT39" s="66"/>
      <c r="LU39" s="66"/>
      <c r="LV39" s="66"/>
      <c r="LW39" s="66"/>
      <c r="LX39" s="66"/>
      <c r="LY39" s="66"/>
      <c r="LZ39" s="66"/>
      <c r="MA39" s="66"/>
      <c r="MB39" s="66"/>
      <c r="MC39" s="66"/>
      <c r="MD39" s="66"/>
      <c r="ME39" s="66"/>
      <c r="MF39" s="66"/>
      <c r="MG39" s="66"/>
      <c r="MH39" s="66"/>
      <c r="MI39" s="66"/>
      <c r="MJ39" s="66"/>
      <c r="MK39" s="66"/>
      <c r="ML39" s="66"/>
      <c r="MM39" s="66"/>
      <c r="MN39" s="66"/>
      <c r="MO39" s="66"/>
      <c r="MP39" s="66"/>
      <c r="MQ39" s="66"/>
      <c r="MR39" s="66"/>
      <c r="MS39" s="66"/>
      <c r="MT39" s="66"/>
      <c r="MU39" s="66"/>
      <c r="MV39" s="66"/>
      <c r="MW39" s="66"/>
      <c r="MX39" s="66"/>
      <c r="MY39" s="66"/>
      <c r="MZ39" s="66"/>
      <c r="NA39" s="66"/>
      <c r="NB39" s="66"/>
      <c r="NC39" s="66"/>
      <c r="ND39" s="66"/>
      <c r="NE39" s="66"/>
      <c r="NF39" s="66"/>
      <c r="NG39" s="66"/>
      <c r="NH39" s="66"/>
      <c r="NI39" s="66"/>
      <c r="NJ39" s="66"/>
      <c r="NK39" s="66"/>
      <c r="NL39" s="66"/>
      <c r="NM39" s="66"/>
      <c r="NN39" s="66"/>
      <c r="NO39" s="66"/>
      <c r="NP39" s="66"/>
      <c r="NQ39" s="66"/>
      <c r="NR39" s="66"/>
      <c r="NS39" s="66"/>
      <c r="NT39" s="66"/>
      <c r="NU39" s="66"/>
      <c r="NV39" s="66"/>
      <c r="NW39" s="66"/>
      <c r="NX39" s="66"/>
      <c r="NY39" s="66"/>
      <c r="NZ39" s="66"/>
      <c r="OA39" s="66"/>
      <c r="OB39" s="66"/>
      <c r="OC39" s="66"/>
      <c r="OD39" s="66"/>
      <c r="OE39" s="66"/>
      <c r="OF39" s="66"/>
      <c r="OG39" s="66"/>
      <c r="OH39" s="66"/>
      <c r="OI39" s="66"/>
      <c r="OJ39" s="66"/>
      <c r="OK39" s="66"/>
      <c r="OL39" s="66"/>
      <c r="OM39" s="66"/>
      <c r="ON39" s="66"/>
      <c r="OO39" s="66"/>
      <c r="OP39" s="66"/>
      <c r="OQ39" s="66"/>
      <c r="OR39" s="66"/>
      <c r="OS39" s="66"/>
      <c r="OT39" s="66"/>
      <c r="OU39" s="66"/>
      <c r="OV39" s="66"/>
      <c r="OW39" s="66"/>
      <c r="OX39" s="66"/>
      <c r="OY39" s="66"/>
      <c r="OZ39" s="66"/>
      <c r="PA39" s="66"/>
      <c r="PB39" s="66"/>
      <c r="PC39" s="66"/>
      <c r="PD39" s="66"/>
      <c r="PE39" s="66"/>
      <c r="PF39" s="66"/>
      <c r="PG39" s="66"/>
      <c r="PH39" s="66"/>
      <c r="PI39" s="66"/>
      <c r="PJ39" s="66"/>
      <c r="PK39" s="66"/>
      <c r="PL39" s="66"/>
      <c r="PM39" s="66"/>
      <c r="PN39" s="66"/>
      <c r="PO39" s="66"/>
      <c r="PP39" s="66"/>
      <c r="PQ39" s="66"/>
      <c r="PR39" s="66"/>
      <c r="PS39" s="66"/>
      <c r="PT39" s="66"/>
      <c r="PU39" s="66"/>
      <c r="PV39" s="66"/>
      <c r="PW39" s="66"/>
      <c r="PX39" s="66"/>
      <c r="PY39" s="66"/>
      <c r="PZ39" s="66"/>
      <c r="QA39" s="66"/>
      <c r="QB39" s="66"/>
      <c r="QC39" s="66"/>
      <c r="QD39" s="66"/>
      <c r="QE39" s="66"/>
      <c r="QF39" s="66"/>
      <c r="QG39" s="66"/>
      <c r="QH39" s="66"/>
      <c r="QI39" s="66"/>
      <c r="QJ39" s="66"/>
      <c r="QK39" s="66"/>
      <c r="QL39" s="66"/>
      <c r="QM39" s="66"/>
      <c r="QN39" s="66"/>
      <c r="QO39" s="66"/>
      <c r="QP39" s="66"/>
      <c r="QQ39" s="66"/>
      <c r="QR39" s="66"/>
      <c r="QS39" s="66"/>
      <c r="QT39" s="66"/>
      <c r="QU39" s="66"/>
      <c r="QV39" s="66"/>
      <c r="QW39" s="66"/>
      <c r="QX39" s="66"/>
      <c r="QY39" s="66"/>
      <c r="QZ39" s="66"/>
      <c r="RA39" s="66"/>
      <c r="RB39" s="66"/>
      <c r="RC39" s="66"/>
      <c r="RD39" s="66"/>
      <c r="RE39" s="66"/>
      <c r="RF39" s="66"/>
      <c r="RG39" s="66"/>
      <c r="RH39" s="66"/>
      <c r="RI39" s="66"/>
      <c r="RJ39" s="66"/>
      <c r="RK39" s="66"/>
      <c r="RL39" s="66"/>
      <c r="RM39" s="66"/>
      <c r="RN39" s="66"/>
      <c r="RO39" s="66"/>
      <c r="RP39" s="66"/>
      <c r="RQ39" s="66"/>
      <c r="RR39" s="66"/>
      <c r="RS39" s="66"/>
      <c r="RT39" s="66"/>
      <c r="RU39" s="66"/>
      <c r="RV39" s="66"/>
      <c r="RW39" s="66"/>
      <c r="RX39" s="66"/>
      <c r="RY39" s="66"/>
      <c r="RZ39" s="66"/>
      <c r="SA39" s="66"/>
      <c r="SB39" s="66"/>
      <c r="SC39" s="66"/>
      <c r="SD39" s="66"/>
      <c r="SE39" s="66"/>
      <c r="SF39" s="66"/>
      <c r="SG39" s="66"/>
      <c r="SH39" s="66"/>
      <c r="SI39" s="66"/>
      <c r="SJ39" s="66"/>
      <c r="SK39" s="66"/>
      <c r="SL39" s="66"/>
      <c r="SM39" s="66"/>
      <c r="SN39" s="66"/>
      <c r="SO39" s="66"/>
      <c r="SP39" s="66"/>
      <c r="SQ39" s="66"/>
      <c r="SR39" s="66"/>
      <c r="SS39" s="66"/>
      <c r="ST39" s="66"/>
      <c r="SU39" s="66"/>
      <c r="SV39" s="66"/>
      <c r="SW39" s="66"/>
      <c r="SX39" s="66"/>
      <c r="SY39" s="66"/>
      <c r="SZ39" s="66"/>
      <c r="TA39" s="66"/>
      <c r="TB39" s="66"/>
      <c r="TC39" s="66"/>
      <c r="TD39" s="66"/>
      <c r="TE39" s="66"/>
      <c r="TF39" s="66"/>
      <c r="TG39" s="66"/>
      <c r="TH39" s="66"/>
      <c r="TI39" s="66"/>
      <c r="TJ39" s="66"/>
      <c r="TK39" s="66"/>
      <c r="TL39" s="66"/>
      <c r="TM39" s="66"/>
      <c r="TN39" s="66"/>
      <c r="TO39" s="66"/>
      <c r="TP39" s="66"/>
      <c r="TQ39" s="66"/>
      <c r="TR39" s="66"/>
      <c r="TS39" s="66"/>
      <c r="TT39" s="66"/>
      <c r="TU39" s="66"/>
      <c r="TV39" s="66"/>
      <c r="TW39" s="66"/>
      <c r="TX39" s="66"/>
      <c r="TY39" s="66"/>
      <c r="TZ39" s="66"/>
      <c r="UA39" s="66"/>
      <c r="UB39" s="66"/>
      <c r="UC39" s="66"/>
      <c r="UD39" s="66"/>
      <c r="UE39" s="66"/>
      <c r="UF39" s="66"/>
      <c r="UG39" s="66"/>
      <c r="UH39" s="66"/>
      <c r="UI39" s="66"/>
      <c r="UJ39" s="66"/>
      <c r="UK39" s="66"/>
      <c r="UL39" s="66"/>
      <c r="UM39" s="66"/>
      <c r="UN39" s="66"/>
      <c r="UO39" s="66"/>
      <c r="UP39" s="66"/>
      <c r="UQ39" s="66"/>
      <c r="UR39" s="66"/>
      <c r="US39" s="66"/>
      <c r="UT39" s="66"/>
      <c r="UU39" s="66"/>
      <c r="UV39" s="66"/>
      <c r="UW39" s="66"/>
      <c r="UX39" s="66"/>
      <c r="UY39" s="66"/>
      <c r="UZ39" s="66"/>
      <c r="VA39" s="66"/>
      <c r="VB39" s="66"/>
      <c r="VC39" s="66"/>
      <c r="VD39" s="66"/>
      <c r="VE39" s="66"/>
      <c r="VF39" s="66"/>
      <c r="VG39" s="66"/>
      <c r="VH39" s="66"/>
      <c r="VI39" s="66"/>
      <c r="VJ39" s="66"/>
      <c r="VK39" s="66"/>
      <c r="VL39" s="66"/>
      <c r="VM39" s="66"/>
      <c r="VN39" s="66"/>
      <c r="VO39" s="66"/>
      <c r="VP39" s="66"/>
      <c r="VQ39" s="66"/>
      <c r="VR39" s="66"/>
      <c r="VS39" s="66"/>
      <c r="VT39" s="66"/>
      <c r="VU39" s="66"/>
      <c r="VV39" s="66"/>
      <c r="VW39" s="66"/>
      <c r="VX39" s="66"/>
      <c r="VY39" s="66"/>
      <c r="VZ39" s="66"/>
      <c r="WA39" s="66"/>
      <c r="WB39" s="66"/>
      <c r="WC39" s="66"/>
      <c r="WD39" s="66"/>
      <c r="WE39" s="66"/>
      <c r="WF39" s="66"/>
      <c r="WG39" s="66"/>
      <c r="WH39" s="66"/>
      <c r="WI39" s="66"/>
      <c r="WJ39" s="66"/>
      <c r="WK39" s="66"/>
      <c r="WL39" s="66"/>
      <c r="WM39" s="66"/>
      <c r="WN39" s="66"/>
      <c r="WO39" s="66"/>
      <c r="WP39" s="66"/>
      <c r="WQ39" s="66"/>
      <c r="WR39" s="66"/>
      <c r="WS39" s="66"/>
      <c r="WT39" s="66"/>
      <c r="WU39" s="66"/>
      <c r="WV39" s="66"/>
      <c r="WW39" s="66"/>
      <c r="WX39" s="66"/>
      <c r="WY39" s="66"/>
      <c r="WZ39" s="66"/>
      <c r="XA39" s="66"/>
      <c r="XB39" s="66"/>
      <c r="XC39" s="66"/>
      <c r="XD39" s="66"/>
      <c r="XE39" s="66"/>
      <c r="XF39" s="66"/>
      <c r="XG39" s="66"/>
      <c r="XH39" s="66"/>
      <c r="XI39" s="66"/>
      <c r="XJ39" s="66"/>
      <c r="XK39" s="66"/>
      <c r="XL39" s="66"/>
      <c r="XM39" s="66"/>
      <c r="XN39" s="66"/>
      <c r="XO39" s="66"/>
      <c r="XP39" s="66"/>
      <c r="XQ39" s="66"/>
      <c r="XR39" s="66"/>
      <c r="XS39" s="66"/>
      <c r="XT39" s="66"/>
      <c r="XU39" s="66"/>
      <c r="XV39" s="66"/>
      <c r="XW39" s="66"/>
      <c r="XX39" s="66"/>
      <c r="XY39" s="66"/>
      <c r="XZ39" s="66"/>
      <c r="YA39" s="66"/>
      <c r="YB39" s="66"/>
      <c r="YC39" s="66"/>
      <c r="YD39" s="66"/>
      <c r="YE39" s="66"/>
      <c r="YF39" s="66"/>
      <c r="YG39" s="66"/>
      <c r="YH39" s="66"/>
      <c r="YI39" s="66"/>
      <c r="YJ39" s="66"/>
      <c r="YK39" s="66"/>
      <c r="YL39" s="66"/>
      <c r="YM39" s="66"/>
      <c r="YN39" s="66"/>
      <c r="YO39" s="66"/>
      <c r="YP39" s="66"/>
      <c r="YQ39" s="66"/>
      <c r="YR39" s="66"/>
      <c r="YS39" s="66"/>
      <c r="YT39" s="66"/>
      <c r="YU39" s="66"/>
      <c r="YV39" s="66"/>
      <c r="YW39" s="66"/>
      <c r="YX39" s="66"/>
      <c r="YY39" s="66"/>
      <c r="YZ39" s="66"/>
      <c r="ZA39" s="66"/>
      <c r="ZB39" s="66"/>
      <c r="ZC39" s="66"/>
      <c r="ZD39" s="66"/>
      <c r="ZE39" s="66"/>
      <c r="ZF39" s="66"/>
      <c r="ZG39" s="66"/>
      <c r="ZH39" s="66"/>
      <c r="ZI39" s="66"/>
      <c r="ZJ39" s="66"/>
      <c r="ZK39" s="66"/>
      <c r="ZL39" s="66"/>
      <c r="ZM39" s="66"/>
      <c r="ZN39" s="66"/>
      <c r="ZO39" s="66"/>
      <c r="ZP39" s="66"/>
      <c r="ZQ39" s="66"/>
      <c r="ZR39" s="66"/>
      <c r="ZS39" s="66"/>
      <c r="ZT39" s="66"/>
      <c r="ZU39" s="66"/>
      <c r="ZV39" s="66"/>
      <c r="ZW39" s="66"/>
      <c r="ZX39" s="66"/>
    </row>
    <row r="40" spans="1:700" s="20" customFormat="1" ht="15.75" x14ac:dyDescent="0.25">
      <c r="A40" s="72"/>
      <c r="B40" s="73"/>
      <c r="C40" s="73"/>
      <c r="D40" s="108"/>
      <c r="E40" s="129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  <c r="CH40" s="66"/>
      <c r="CI40" s="66"/>
      <c r="CJ40" s="66"/>
      <c r="CK40" s="66"/>
      <c r="CL40" s="66"/>
      <c r="CM40" s="66"/>
      <c r="CN40" s="66"/>
      <c r="CO40" s="66"/>
      <c r="CP40" s="66"/>
      <c r="CQ40" s="66"/>
      <c r="CR40" s="66"/>
      <c r="CS40" s="66"/>
      <c r="CT40" s="66"/>
      <c r="CU40" s="66"/>
      <c r="CV40" s="66"/>
      <c r="CW40" s="66"/>
      <c r="CX40" s="66"/>
      <c r="CY40" s="66"/>
      <c r="CZ40" s="66"/>
      <c r="DA40" s="66"/>
      <c r="DB40" s="66"/>
      <c r="DC40" s="66"/>
      <c r="DD40" s="66"/>
      <c r="DE40" s="66"/>
      <c r="DF40" s="66"/>
      <c r="DG40" s="66"/>
      <c r="DH40" s="66"/>
      <c r="DI40" s="66"/>
      <c r="DJ40" s="66"/>
      <c r="DK40" s="66"/>
      <c r="DL40" s="66"/>
      <c r="DM40" s="66"/>
      <c r="DN40" s="66"/>
      <c r="DO40" s="66"/>
      <c r="DP40" s="66"/>
      <c r="DQ40" s="66"/>
      <c r="DR40" s="66"/>
      <c r="DS40" s="66"/>
      <c r="DT40" s="66"/>
      <c r="DU40" s="66"/>
      <c r="DV40" s="66"/>
      <c r="DW40" s="66"/>
      <c r="DX40" s="66"/>
      <c r="DY40" s="66"/>
      <c r="DZ40" s="66"/>
      <c r="EA40" s="66"/>
      <c r="EB40" s="66"/>
      <c r="EC40" s="66"/>
      <c r="ED40" s="66"/>
      <c r="EE40" s="66"/>
      <c r="EF40" s="66"/>
      <c r="EG40" s="66"/>
      <c r="EH40" s="66"/>
      <c r="EI40" s="66"/>
      <c r="EJ40" s="66"/>
      <c r="EK40" s="66"/>
      <c r="EL40" s="66"/>
      <c r="EM40" s="66"/>
      <c r="EN40" s="66"/>
      <c r="EO40" s="66"/>
      <c r="EP40" s="66"/>
      <c r="EQ40" s="66"/>
      <c r="ER40" s="66"/>
      <c r="ES40" s="66"/>
      <c r="ET40" s="66"/>
      <c r="EU40" s="66"/>
      <c r="EV40" s="66"/>
      <c r="EW40" s="66"/>
      <c r="EX40" s="66"/>
      <c r="EY40" s="66"/>
      <c r="EZ40" s="66"/>
      <c r="FA40" s="66"/>
      <c r="FB40" s="66"/>
      <c r="FC40" s="66"/>
      <c r="FD40" s="66"/>
      <c r="FE40" s="66"/>
      <c r="FF40" s="66"/>
      <c r="FG40" s="66"/>
      <c r="FH40" s="66"/>
      <c r="FI40" s="66"/>
      <c r="FJ40" s="66"/>
      <c r="FK40" s="66"/>
      <c r="FL40" s="66"/>
      <c r="FM40" s="66"/>
      <c r="FN40" s="66"/>
      <c r="FO40" s="66"/>
      <c r="FP40" s="66"/>
      <c r="FQ40" s="66"/>
      <c r="FR40" s="66"/>
      <c r="FS40" s="66"/>
      <c r="FT40" s="66"/>
      <c r="FU40" s="66"/>
      <c r="FV40" s="66"/>
      <c r="FW40" s="66"/>
      <c r="FX40" s="66"/>
      <c r="FY40" s="66"/>
      <c r="FZ40" s="66"/>
      <c r="GA40" s="66"/>
      <c r="GB40" s="66"/>
      <c r="GC40" s="66"/>
      <c r="GD40" s="66"/>
      <c r="GE40" s="66"/>
      <c r="GF40" s="66"/>
      <c r="GG40" s="66"/>
      <c r="GH40" s="66"/>
      <c r="GI40" s="66"/>
      <c r="GJ40" s="66"/>
      <c r="GK40" s="66"/>
      <c r="GL40" s="66"/>
      <c r="GM40" s="66"/>
      <c r="GN40" s="66"/>
      <c r="GO40" s="66"/>
      <c r="GP40" s="66"/>
      <c r="GQ40" s="66"/>
      <c r="GR40" s="66"/>
      <c r="GS40" s="66"/>
      <c r="GT40" s="66"/>
      <c r="GU40" s="66"/>
      <c r="GV40" s="66"/>
      <c r="GW40" s="66"/>
      <c r="GX40" s="66"/>
      <c r="GY40" s="66"/>
      <c r="GZ40" s="66"/>
      <c r="HA40" s="66"/>
      <c r="HB40" s="66"/>
      <c r="HC40" s="66"/>
      <c r="HD40" s="66"/>
      <c r="HE40" s="66"/>
      <c r="HF40" s="66"/>
      <c r="HG40" s="66"/>
      <c r="HH40" s="66"/>
      <c r="HI40" s="66"/>
      <c r="HJ40" s="66"/>
      <c r="HK40" s="66"/>
      <c r="HL40" s="66"/>
      <c r="HM40" s="66"/>
      <c r="HN40" s="66"/>
      <c r="HO40" s="66"/>
      <c r="HP40" s="66"/>
      <c r="HQ40" s="66"/>
      <c r="HR40" s="66"/>
      <c r="HS40" s="66"/>
      <c r="HT40" s="66"/>
      <c r="HU40" s="66"/>
      <c r="HV40" s="66"/>
      <c r="HW40" s="66"/>
      <c r="HX40" s="66"/>
      <c r="HY40" s="66"/>
      <c r="HZ40" s="66"/>
      <c r="IA40" s="66"/>
      <c r="IB40" s="66"/>
      <c r="IC40" s="66"/>
      <c r="ID40" s="66"/>
      <c r="IE40" s="66"/>
      <c r="IF40" s="66"/>
      <c r="IG40" s="66"/>
      <c r="IH40" s="66"/>
      <c r="II40" s="66"/>
      <c r="IJ40" s="66"/>
      <c r="IK40" s="66"/>
      <c r="IL40" s="66"/>
      <c r="IM40" s="66"/>
      <c r="IN40" s="66"/>
      <c r="IO40" s="66"/>
      <c r="IP40" s="66"/>
      <c r="IQ40" s="66"/>
      <c r="IR40" s="66"/>
      <c r="IS40" s="66"/>
      <c r="IT40" s="66"/>
      <c r="IU40" s="66"/>
      <c r="IV40" s="66"/>
      <c r="IW40" s="66"/>
      <c r="IX40" s="66"/>
      <c r="IY40" s="66"/>
      <c r="IZ40" s="66"/>
      <c r="JA40" s="66"/>
      <c r="JB40" s="66"/>
      <c r="JC40" s="66"/>
      <c r="JD40" s="66"/>
      <c r="JE40" s="66"/>
      <c r="JF40" s="66"/>
      <c r="JG40" s="66"/>
      <c r="JH40" s="66"/>
      <c r="JI40" s="66"/>
      <c r="JJ40" s="66"/>
      <c r="JK40" s="66"/>
      <c r="JL40" s="66"/>
      <c r="JM40" s="66"/>
      <c r="JN40" s="66"/>
      <c r="JO40" s="66"/>
      <c r="JP40" s="66"/>
      <c r="JQ40" s="66"/>
      <c r="JR40" s="66"/>
      <c r="JS40" s="66"/>
      <c r="JT40" s="66"/>
      <c r="JU40" s="66"/>
      <c r="JV40" s="66"/>
      <c r="JW40" s="66"/>
      <c r="JX40" s="66"/>
      <c r="JY40" s="66"/>
      <c r="JZ40" s="66"/>
      <c r="KA40" s="66"/>
      <c r="KB40" s="66"/>
      <c r="KC40" s="66"/>
      <c r="KD40" s="66"/>
      <c r="KE40" s="66"/>
      <c r="KF40" s="66"/>
      <c r="KG40" s="66"/>
      <c r="KH40" s="66"/>
      <c r="KI40" s="66"/>
      <c r="KJ40" s="66"/>
      <c r="KK40" s="66"/>
      <c r="KL40" s="66"/>
      <c r="KM40" s="66"/>
      <c r="KN40" s="66"/>
      <c r="KO40" s="66"/>
      <c r="KP40" s="66"/>
      <c r="KQ40" s="66"/>
      <c r="KR40" s="66"/>
      <c r="KS40" s="66"/>
      <c r="KT40" s="66"/>
      <c r="KU40" s="66"/>
      <c r="KV40" s="66"/>
      <c r="KW40" s="66"/>
      <c r="KX40" s="66"/>
      <c r="KY40" s="66"/>
      <c r="KZ40" s="66"/>
      <c r="LA40" s="66"/>
      <c r="LB40" s="66"/>
      <c r="LC40" s="66"/>
      <c r="LD40" s="66"/>
      <c r="LE40" s="66"/>
      <c r="LF40" s="66"/>
      <c r="LG40" s="66"/>
      <c r="LH40" s="66"/>
      <c r="LI40" s="66"/>
      <c r="LJ40" s="66"/>
      <c r="LK40" s="66"/>
      <c r="LL40" s="66"/>
      <c r="LM40" s="66"/>
      <c r="LN40" s="66"/>
      <c r="LO40" s="66"/>
      <c r="LP40" s="66"/>
      <c r="LQ40" s="66"/>
      <c r="LR40" s="66"/>
      <c r="LS40" s="66"/>
      <c r="LT40" s="66"/>
      <c r="LU40" s="66"/>
      <c r="LV40" s="66"/>
      <c r="LW40" s="66"/>
      <c r="LX40" s="66"/>
      <c r="LY40" s="66"/>
      <c r="LZ40" s="66"/>
      <c r="MA40" s="66"/>
      <c r="MB40" s="66"/>
      <c r="MC40" s="66"/>
      <c r="MD40" s="66"/>
      <c r="ME40" s="66"/>
      <c r="MF40" s="66"/>
      <c r="MG40" s="66"/>
      <c r="MH40" s="66"/>
      <c r="MI40" s="66"/>
      <c r="MJ40" s="66"/>
      <c r="MK40" s="66"/>
      <c r="ML40" s="66"/>
      <c r="MM40" s="66"/>
      <c r="MN40" s="66"/>
      <c r="MO40" s="66"/>
      <c r="MP40" s="66"/>
      <c r="MQ40" s="66"/>
      <c r="MR40" s="66"/>
      <c r="MS40" s="66"/>
      <c r="MT40" s="66"/>
      <c r="MU40" s="66"/>
      <c r="MV40" s="66"/>
      <c r="MW40" s="66"/>
      <c r="MX40" s="66"/>
      <c r="MY40" s="66"/>
      <c r="MZ40" s="66"/>
      <c r="NA40" s="66"/>
      <c r="NB40" s="66"/>
      <c r="NC40" s="66"/>
      <c r="ND40" s="66"/>
      <c r="NE40" s="66"/>
      <c r="NF40" s="66"/>
      <c r="NG40" s="66"/>
      <c r="NH40" s="66"/>
      <c r="NI40" s="66"/>
      <c r="NJ40" s="66"/>
      <c r="NK40" s="66"/>
      <c r="NL40" s="66"/>
      <c r="NM40" s="66"/>
      <c r="NN40" s="66"/>
      <c r="NO40" s="66"/>
      <c r="NP40" s="66"/>
      <c r="NQ40" s="66"/>
      <c r="NR40" s="66"/>
      <c r="NS40" s="66"/>
      <c r="NT40" s="66"/>
      <c r="NU40" s="66"/>
      <c r="NV40" s="66"/>
      <c r="NW40" s="66"/>
      <c r="NX40" s="66"/>
      <c r="NY40" s="66"/>
      <c r="NZ40" s="66"/>
      <c r="OA40" s="66"/>
      <c r="OB40" s="66"/>
      <c r="OC40" s="66"/>
      <c r="OD40" s="66"/>
      <c r="OE40" s="66"/>
      <c r="OF40" s="66"/>
      <c r="OG40" s="66"/>
      <c r="OH40" s="66"/>
      <c r="OI40" s="66"/>
      <c r="OJ40" s="66"/>
      <c r="OK40" s="66"/>
      <c r="OL40" s="66"/>
      <c r="OM40" s="66"/>
      <c r="ON40" s="66"/>
      <c r="OO40" s="66"/>
      <c r="OP40" s="66"/>
      <c r="OQ40" s="66"/>
      <c r="OR40" s="66"/>
      <c r="OS40" s="66"/>
      <c r="OT40" s="66"/>
      <c r="OU40" s="66"/>
      <c r="OV40" s="66"/>
      <c r="OW40" s="66"/>
      <c r="OX40" s="66"/>
      <c r="OY40" s="66"/>
      <c r="OZ40" s="66"/>
      <c r="PA40" s="66"/>
      <c r="PB40" s="66"/>
      <c r="PC40" s="66"/>
      <c r="PD40" s="66"/>
      <c r="PE40" s="66"/>
      <c r="PF40" s="66"/>
      <c r="PG40" s="66"/>
      <c r="PH40" s="66"/>
      <c r="PI40" s="66"/>
      <c r="PJ40" s="66"/>
      <c r="PK40" s="66"/>
      <c r="PL40" s="66"/>
      <c r="PM40" s="66"/>
      <c r="PN40" s="66"/>
      <c r="PO40" s="66"/>
      <c r="PP40" s="66"/>
      <c r="PQ40" s="66"/>
      <c r="PR40" s="66"/>
      <c r="PS40" s="66"/>
      <c r="PT40" s="66"/>
      <c r="PU40" s="66"/>
      <c r="PV40" s="66"/>
      <c r="PW40" s="66"/>
      <c r="PX40" s="66"/>
      <c r="PY40" s="66"/>
      <c r="PZ40" s="66"/>
      <c r="QA40" s="66"/>
      <c r="QB40" s="66"/>
      <c r="QC40" s="66"/>
      <c r="QD40" s="66"/>
      <c r="QE40" s="66"/>
      <c r="QF40" s="66"/>
      <c r="QG40" s="66"/>
      <c r="QH40" s="66"/>
      <c r="QI40" s="66"/>
      <c r="QJ40" s="66"/>
      <c r="QK40" s="66"/>
      <c r="QL40" s="66"/>
      <c r="QM40" s="66"/>
      <c r="QN40" s="66"/>
      <c r="QO40" s="66"/>
      <c r="QP40" s="66"/>
      <c r="QQ40" s="66"/>
      <c r="QR40" s="66"/>
      <c r="QS40" s="66"/>
      <c r="QT40" s="66"/>
      <c r="QU40" s="66"/>
      <c r="QV40" s="66"/>
      <c r="QW40" s="66"/>
      <c r="QX40" s="66"/>
      <c r="QY40" s="66"/>
      <c r="QZ40" s="66"/>
      <c r="RA40" s="66"/>
      <c r="RB40" s="66"/>
      <c r="RC40" s="66"/>
      <c r="RD40" s="66"/>
      <c r="RE40" s="66"/>
      <c r="RF40" s="66"/>
      <c r="RG40" s="66"/>
      <c r="RH40" s="66"/>
      <c r="RI40" s="66"/>
      <c r="RJ40" s="66"/>
      <c r="RK40" s="66"/>
      <c r="RL40" s="66"/>
      <c r="RM40" s="66"/>
      <c r="RN40" s="66"/>
      <c r="RO40" s="66"/>
      <c r="RP40" s="66"/>
      <c r="RQ40" s="66"/>
      <c r="RR40" s="66"/>
      <c r="RS40" s="66"/>
      <c r="RT40" s="66"/>
      <c r="RU40" s="66"/>
      <c r="RV40" s="66"/>
      <c r="RW40" s="66"/>
      <c r="RX40" s="66"/>
      <c r="RY40" s="66"/>
      <c r="RZ40" s="66"/>
      <c r="SA40" s="66"/>
      <c r="SB40" s="66"/>
      <c r="SC40" s="66"/>
      <c r="SD40" s="66"/>
      <c r="SE40" s="66"/>
      <c r="SF40" s="66"/>
      <c r="SG40" s="66"/>
      <c r="SH40" s="66"/>
      <c r="SI40" s="66"/>
      <c r="SJ40" s="66"/>
      <c r="SK40" s="66"/>
      <c r="SL40" s="66"/>
      <c r="SM40" s="66"/>
      <c r="SN40" s="66"/>
      <c r="SO40" s="66"/>
      <c r="SP40" s="66"/>
      <c r="SQ40" s="66"/>
      <c r="SR40" s="66"/>
      <c r="SS40" s="66"/>
      <c r="ST40" s="66"/>
      <c r="SU40" s="66"/>
      <c r="SV40" s="66"/>
      <c r="SW40" s="66"/>
      <c r="SX40" s="66"/>
      <c r="SY40" s="66"/>
      <c r="SZ40" s="66"/>
      <c r="TA40" s="66"/>
      <c r="TB40" s="66"/>
      <c r="TC40" s="66"/>
      <c r="TD40" s="66"/>
      <c r="TE40" s="66"/>
      <c r="TF40" s="66"/>
      <c r="TG40" s="66"/>
      <c r="TH40" s="66"/>
      <c r="TI40" s="66"/>
      <c r="TJ40" s="66"/>
      <c r="TK40" s="66"/>
      <c r="TL40" s="66"/>
      <c r="TM40" s="66"/>
      <c r="TN40" s="66"/>
      <c r="TO40" s="66"/>
      <c r="TP40" s="66"/>
      <c r="TQ40" s="66"/>
      <c r="TR40" s="66"/>
      <c r="TS40" s="66"/>
      <c r="TT40" s="66"/>
      <c r="TU40" s="66"/>
      <c r="TV40" s="66"/>
      <c r="TW40" s="66"/>
      <c r="TX40" s="66"/>
      <c r="TY40" s="66"/>
      <c r="TZ40" s="66"/>
      <c r="UA40" s="66"/>
      <c r="UB40" s="66"/>
      <c r="UC40" s="66"/>
      <c r="UD40" s="66"/>
      <c r="UE40" s="66"/>
      <c r="UF40" s="66"/>
      <c r="UG40" s="66"/>
      <c r="UH40" s="66"/>
      <c r="UI40" s="66"/>
      <c r="UJ40" s="66"/>
      <c r="UK40" s="66"/>
      <c r="UL40" s="66"/>
      <c r="UM40" s="66"/>
      <c r="UN40" s="66"/>
      <c r="UO40" s="66"/>
      <c r="UP40" s="66"/>
      <c r="UQ40" s="66"/>
      <c r="UR40" s="66"/>
      <c r="US40" s="66"/>
      <c r="UT40" s="66"/>
      <c r="UU40" s="66"/>
      <c r="UV40" s="66"/>
      <c r="UW40" s="66"/>
      <c r="UX40" s="66"/>
      <c r="UY40" s="66"/>
      <c r="UZ40" s="66"/>
      <c r="VA40" s="66"/>
      <c r="VB40" s="66"/>
      <c r="VC40" s="66"/>
      <c r="VD40" s="66"/>
      <c r="VE40" s="66"/>
      <c r="VF40" s="66"/>
      <c r="VG40" s="66"/>
      <c r="VH40" s="66"/>
      <c r="VI40" s="66"/>
      <c r="VJ40" s="66"/>
      <c r="VK40" s="66"/>
      <c r="VL40" s="66"/>
      <c r="VM40" s="66"/>
      <c r="VN40" s="66"/>
      <c r="VO40" s="66"/>
      <c r="VP40" s="66"/>
      <c r="VQ40" s="66"/>
      <c r="VR40" s="66"/>
      <c r="VS40" s="66"/>
      <c r="VT40" s="66"/>
      <c r="VU40" s="66"/>
      <c r="VV40" s="66"/>
      <c r="VW40" s="66"/>
      <c r="VX40" s="66"/>
      <c r="VY40" s="66"/>
      <c r="VZ40" s="66"/>
      <c r="WA40" s="66"/>
      <c r="WB40" s="66"/>
      <c r="WC40" s="66"/>
      <c r="WD40" s="66"/>
      <c r="WE40" s="66"/>
      <c r="WF40" s="66"/>
      <c r="WG40" s="66"/>
      <c r="WH40" s="66"/>
      <c r="WI40" s="66"/>
      <c r="WJ40" s="66"/>
      <c r="WK40" s="66"/>
      <c r="WL40" s="66"/>
      <c r="WM40" s="66"/>
      <c r="WN40" s="66"/>
      <c r="WO40" s="66"/>
      <c r="WP40" s="66"/>
      <c r="WQ40" s="66"/>
      <c r="WR40" s="66"/>
      <c r="WS40" s="66"/>
      <c r="WT40" s="66"/>
      <c r="WU40" s="66"/>
      <c r="WV40" s="66"/>
      <c r="WW40" s="66"/>
      <c r="WX40" s="66"/>
      <c r="WY40" s="66"/>
      <c r="WZ40" s="66"/>
      <c r="XA40" s="66"/>
      <c r="XB40" s="66"/>
      <c r="XC40" s="66"/>
      <c r="XD40" s="66"/>
      <c r="XE40" s="66"/>
      <c r="XF40" s="66"/>
      <c r="XG40" s="66"/>
      <c r="XH40" s="66"/>
      <c r="XI40" s="66"/>
      <c r="XJ40" s="66"/>
      <c r="XK40" s="66"/>
      <c r="XL40" s="66"/>
      <c r="XM40" s="66"/>
      <c r="XN40" s="66"/>
      <c r="XO40" s="66"/>
      <c r="XP40" s="66"/>
      <c r="XQ40" s="66"/>
      <c r="XR40" s="66"/>
      <c r="XS40" s="66"/>
      <c r="XT40" s="66"/>
      <c r="XU40" s="66"/>
      <c r="XV40" s="66"/>
      <c r="XW40" s="66"/>
      <c r="XX40" s="66"/>
      <c r="XY40" s="66"/>
      <c r="XZ40" s="66"/>
      <c r="YA40" s="66"/>
      <c r="YB40" s="66"/>
      <c r="YC40" s="66"/>
      <c r="YD40" s="66"/>
      <c r="YE40" s="66"/>
      <c r="YF40" s="66"/>
      <c r="YG40" s="66"/>
      <c r="YH40" s="66"/>
      <c r="YI40" s="66"/>
      <c r="YJ40" s="66"/>
      <c r="YK40" s="66"/>
      <c r="YL40" s="66"/>
      <c r="YM40" s="66"/>
      <c r="YN40" s="66"/>
      <c r="YO40" s="66"/>
      <c r="YP40" s="66"/>
      <c r="YQ40" s="66"/>
      <c r="YR40" s="66"/>
      <c r="YS40" s="66"/>
      <c r="YT40" s="66"/>
      <c r="YU40" s="66"/>
      <c r="YV40" s="66"/>
      <c r="YW40" s="66"/>
      <c r="YX40" s="66"/>
      <c r="YY40" s="66"/>
      <c r="YZ40" s="66"/>
      <c r="ZA40" s="66"/>
      <c r="ZB40" s="66"/>
      <c r="ZC40" s="66"/>
      <c r="ZD40" s="66"/>
      <c r="ZE40" s="66"/>
      <c r="ZF40" s="66"/>
      <c r="ZG40" s="66"/>
      <c r="ZH40" s="66"/>
      <c r="ZI40" s="66"/>
      <c r="ZJ40" s="66"/>
      <c r="ZK40" s="66"/>
      <c r="ZL40" s="66"/>
      <c r="ZM40" s="66"/>
      <c r="ZN40" s="66"/>
      <c r="ZO40" s="66"/>
      <c r="ZP40" s="66"/>
      <c r="ZQ40" s="66"/>
      <c r="ZR40" s="66"/>
      <c r="ZS40" s="66"/>
      <c r="ZT40" s="66"/>
      <c r="ZU40" s="66"/>
      <c r="ZV40" s="66"/>
      <c r="ZW40" s="66"/>
      <c r="ZX40" s="66"/>
    </row>
    <row r="41" spans="1:700" s="20" customFormat="1" ht="15.75" x14ac:dyDescent="0.25">
      <c r="A41" s="70"/>
      <c r="B41" s="71"/>
      <c r="C41" s="71"/>
      <c r="D41" s="109"/>
      <c r="E41" s="111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  <c r="CH41" s="66"/>
      <c r="CI41" s="66"/>
      <c r="CJ41" s="66"/>
      <c r="CK41" s="66"/>
      <c r="CL41" s="66"/>
      <c r="CM41" s="66"/>
      <c r="CN41" s="66"/>
      <c r="CO41" s="66"/>
      <c r="CP41" s="66"/>
      <c r="CQ41" s="66"/>
      <c r="CR41" s="66"/>
      <c r="CS41" s="66"/>
      <c r="CT41" s="66"/>
      <c r="CU41" s="66"/>
      <c r="CV41" s="66"/>
      <c r="CW41" s="66"/>
      <c r="CX41" s="66"/>
      <c r="CY41" s="66"/>
      <c r="CZ41" s="66"/>
      <c r="DA41" s="66"/>
      <c r="DB41" s="66"/>
      <c r="DC41" s="66"/>
      <c r="DD41" s="66"/>
      <c r="DE41" s="66"/>
      <c r="DF41" s="66"/>
      <c r="DG41" s="66"/>
      <c r="DH41" s="66"/>
      <c r="DI41" s="66"/>
      <c r="DJ41" s="66"/>
      <c r="DK41" s="66"/>
      <c r="DL41" s="66"/>
      <c r="DM41" s="66"/>
      <c r="DN41" s="66"/>
      <c r="DO41" s="66"/>
      <c r="DP41" s="66"/>
      <c r="DQ41" s="66"/>
      <c r="DR41" s="66"/>
      <c r="DS41" s="66"/>
      <c r="DT41" s="66"/>
      <c r="DU41" s="66"/>
      <c r="DV41" s="66"/>
      <c r="DW41" s="66"/>
      <c r="DX41" s="66"/>
      <c r="DY41" s="66"/>
      <c r="DZ41" s="66"/>
      <c r="EA41" s="66"/>
      <c r="EB41" s="66"/>
      <c r="EC41" s="66"/>
      <c r="ED41" s="66"/>
      <c r="EE41" s="66"/>
      <c r="EF41" s="66"/>
      <c r="EG41" s="66"/>
      <c r="EH41" s="66"/>
      <c r="EI41" s="66"/>
      <c r="EJ41" s="66"/>
      <c r="EK41" s="66"/>
      <c r="EL41" s="66"/>
      <c r="EM41" s="66"/>
      <c r="EN41" s="66"/>
      <c r="EO41" s="66"/>
      <c r="EP41" s="66"/>
      <c r="EQ41" s="66"/>
      <c r="ER41" s="66"/>
      <c r="ES41" s="66"/>
      <c r="ET41" s="66"/>
      <c r="EU41" s="66"/>
      <c r="EV41" s="66"/>
      <c r="EW41" s="66"/>
      <c r="EX41" s="66"/>
      <c r="EY41" s="66"/>
      <c r="EZ41" s="66"/>
      <c r="FA41" s="66"/>
      <c r="FB41" s="66"/>
      <c r="FC41" s="66"/>
      <c r="FD41" s="66"/>
      <c r="FE41" s="66"/>
      <c r="FF41" s="66"/>
      <c r="FG41" s="66"/>
      <c r="FH41" s="66"/>
      <c r="FI41" s="66"/>
      <c r="FJ41" s="66"/>
      <c r="FK41" s="66"/>
      <c r="FL41" s="66"/>
      <c r="FM41" s="66"/>
      <c r="FN41" s="66"/>
      <c r="FO41" s="66"/>
      <c r="FP41" s="66"/>
      <c r="FQ41" s="66"/>
      <c r="FR41" s="66"/>
      <c r="FS41" s="66"/>
      <c r="FT41" s="66"/>
      <c r="FU41" s="66"/>
      <c r="FV41" s="66"/>
      <c r="FW41" s="66"/>
      <c r="FX41" s="66"/>
      <c r="FY41" s="66"/>
      <c r="FZ41" s="66"/>
      <c r="GA41" s="66"/>
      <c r="GB41" s="66"/>
      <c r="GC41" s="66"/>
      <c r="GD41" s="66"/>
      <c r="GE41" s="66"/>
      <c r="GF41" s="66"/>
      <c r="GG41" s="66"/>
      <c r="GH41" s="66"/>
      <c r="GI41" s="66"/>
      <c r="GJ41" s="66"/>
      <c r="GK41" s="66"/>
      <c r="GL41" s="66"/>
      <c r="GM41" s="66"/>
      <c r="GN41" s="66"/>
      <c r="GO41" s="66"/>
      <c r="GP41" s="66"/>
      <c r="GQ41" s="66"/>
      <c r="GR41" s="66"/>
      <c r="GS41" s="66"/>
      <c r="GT41" s="66"/>
      <c r="GU41" s="66"/>
      <c r="GV41" s="66"/>
      <c r="GW41" s="66"/>
      <c r="GX41" s="66"/>
      <c r="GY41" s="66"/>
      <c r="GZ41" s="66"/>
      <c r="HA41" s="66"/>
      <c r="HB41" s="66"/>
      <c r="HC41" s="66"/>
      <c r="HD41" s="66"/>
      <c r="HE41" s="66"/>
      <c r="HF41" s="66"/>
      <c r="HG41" s="66"/>
      <c r="HH41" s="66"/>
      <c r="HI41" s="66"/>
      <c r="HJ41" s="66"/>
      <c r="HK41" s="66"/>
      <c r="HL41" s="66"/>
      <c r="HM41" s="66"/>
      <c r="HN41" s="66"/>
      <c r="HO41" s="66"/>
      <c r="HP41" s="66"/>
      <c r="HQ41" s="66"/>
      <c r="HR41" s="66"/>
      <c r="HS41" s="66"/>
      <c r="HT41" s="66"/>
      <c r="HU41" s="66"/>
      <c r="HV41" s="66"/>
      <c r="HW41" s="66"/>
      <c r="HX41" s="66"/>
      <c r="HY41" s="66"/>
      <c r="HZ41" s="66"/>
      <c r="IA41" s="66"/>
      <c r="IB41" s="66"/>
      <c r="IC41" s="66"/>
      <c r="ID41" s="66"/>
      <c r="IE41" s="66"/>
      <c r="IF41" s="66"/>
      <c r="IG41" s="66"/>
      <c r="IH41" s="66"/>
      <c r="II41" s="66"/>
      <c r="IJ41" s="66"/>
      <c r="IK41" s="66"/>
      <c r="IL41" s="66"/>
      <c r="IM41" s="66"/>
      <c r="IN41" s="66"/>
      <c r="IO41" s="66"/>
      <c r="IP41" s="66"/>
      <c r="IQ41" s="66"/>
      <c r="IR41" s="66"/>
      <c r="IS41" s="66"/>
      <c r="IT41" s="66"/>
      <c r="IU41" s="66"/>
      <c r="IV41" s="66"/>
      <c r="IW41" s="66"/>
      <c r="IX41" s="66"/>
      <c r="IY41" s="66"/>
      <c r="IZ41" s="66"/>
      <c r="JA41" s="66"/>
      <c r="JB41" s="66"/>
      <c r="JC41" s="66"/>
      <c r="JD41" s="66"/>
      <c r="JE41" s="66"/>
      <c r="JF41" s="66"/>
      <c r="JG41" s="66"/>
      <c r="JH41" s="66"/>
      <c r="JI41" s="66"/>
      <c r="JJ41" s="66"/>
      <c r="JK41" s="66"/>
      <c r="JL41" s="66"/>
      <c r="JM41" s="66"/>
      <c r="JN41" s="66"/>
      <c r="JO41" s="66"/>
      <c r="JP41" s="66"/>
      <c r="JQ41" s="66"/>
      <c r="JR41" s="66"/>
      <c r="JS41" s="66"/>
      <c r="JT41" s="66"/>
      <c r="JU41" s="66"/>
      <c r="JV41" s="66"/>
      <c r="JW41" s="66"/>
      <c r="JX41" s="66"/>
      <c r="JY41" s="66"/>
      <c r="JZ41" s="66"/>
      <c r="KA41" s="66"/>
      <c r="KB41" s="66"/>
      <c r="KC41" s="66"/>
      <c r="KD41" s="66"/>
      <c r="KE41" s="66"/>
      <c r="KF41" s="66"/>
      <c r="KG41" s="66"/>
      <c r="KH41" s="66"/>
      <c r="KI41" s="66"/>
      <c r="KJ41" s="66"/>
      <c r="KK41" s="66"/>
      <c r="KL41" s="66"/>
      <c r="KM41" s="66"/>
      <c r="KN41" s="66"/>
      <c r="KO41" s="66"/>
      <c r="KP41" s="66"/>
      <c r="KQ41" s="66"/>
      <c r="KR41" s="66"/>
      <c r="KS41" s="66"/>
      <c r="KT41" s="66"/>
      <c r="KU41" s="66"/>
      <c r="KV41" s="66"/>
      <c r="KW41" s="66"/>
      <c r="KX41" s="66"/>
      <c r="KY41" s="66"/>
      <c r="KZ41" s="66"/>
      <c r="LA41" s="66"/>
      <c r="LB41" s="66"/>
      <c r="LC41" s="66"/>
      <c r="LD41" s="66"/>
      <c r="LE41" s="66"/>
      <c r="LF41" s="66"/>
      <c r="LG41" s="66"/>
      <c r="LH41" s="66"/>
      <c r="LI41" s="66"/>
      <c r="LJ41" s="66"/>
      <c r="LK41" s="66"/>
      <c r="LL41" s="66"/>
      <c r="LM41" s="66"/>
      <c r="LN41" s="66"/>
      <c r="LO41" s="66"/>
      <c r="LP41" s="66"/>
      <c r="LQ41" s="66"/>
      <c r="LR41" s="66"/>
      <c r="LS41" s="66"/>
      <c r="LT41" s="66"/>
      <c r="LU41" s="66"/>
      <c r="LV41" s="66"/>
      <c r="LW41" s="66"/>
      <c r="LX41" s="66"/>
      <c r="LY41" s="66"/>
      <c r="LZ41" s="66"/>
      <c r="MA41" s="66"/>
      <c r="MB41" s="66"/>
      <c r="MC41" s="66"/>
      <c r="MD41" s="66"/>
      <c r="ME41" s="66"/>
      <c r="MF41" s="66"/>
      <c r="MG41" s="66"/>
      <c r="MH41" s="66"/>
      <c r="MI41" s="66"/>
      <c r="MJ41" s="66"/>
      <c r="MK41" s="66"/>
      <c r="ML41" s="66"/>
      <c r="MM41" s="66"/>
      <c r="MN41" s="66"/>
      <c r="MO41" s="66"/>
      <c r="MP41" s="66"/>
      <c r="MQ41" s="66"/>
      <c r="MR41" s="66"/>
      <c r="MS41" s="66"/>
      <c r="MT41" s="66"/>
      <c r="MU41" s="66"/>
      <c r="MV41" s="66"/>
      <c r="MW41" s="66"/>
      <c r="MX41" s="66"/>
      <c r="MY41" s="66"/>
      <c r="MZ41" s="66"/>
      <c r="NA41" s="66"/>
      <c r="NB41" s="66"/>
      <c r="NC41" s="66"/>
      <c r="ND41" s="66"/>
      <c r="NE41" s="66"/>
      <c r="NF41" s="66"/>
      <c r="NG41" s="66"/>
      <c r="NH41" s="66"/>
      <c r="NI41" s="66"/>
      <c r="NJ41" s="66"/>
      <c r="NK41" s="66"/>
      <c r="NL41" s="66"/>
      <c r="NM41" s="66"/>
      <c r="NN41" s="66"/>
      <c r="NO41" s="66"/>
      <c r="NP41" s="66"/>
      <c r="NQ41" s="66"/>
      <c r="NR41" s="66"/>
      <c r="NS41" s="66"/>
      <c r="NT41" s="66"/>
      <c r="NU41" s="66"/>
      <c r="NV41" s="66"/>
      <c r="NW41" s="66"/>
      <c r="NX41" s="66"/>
      <c r="NY41" s="66"/>
      <c r="NZ41" s="66"/>
      <c r="OA41" s="66"/>
      <c r="OB41" s="66"/>
      <c r="OC41" s="66"/>
      <c r="OD41" s="66"/>
      <c r="OE41" s="66"/>
      <c r="OF41" s="66"/>
      <c r="OG41" s="66"/>
      <c r="OH41" s="66"/>
      <c r="OI41" s="66"/>
      <c r="OJ41" s="66"/>
      <c r="OK41" s="66"/>
      <c r="OL41" s="66"/>
      <c r="OM41" s="66"/>
      <c r="ON41" s="66"/>
      <c r="OO41" s="66"/>
      <c r="OP41" s="66"/>
      <c r="OQ41" s="66"/>
      <c r="OR41" s="66"/>
      <c r="OS41" s="66"/>
      <c r="OT41" s="66"/>
      <c r="OU41" s="66"/>
      <c r="OV41" s="66"/>
      <c r="OW41" s="66"/>
      <c r="OX41" s="66"/>
      <c r="OY41" s="66"/>
      <c r="OZ41" s="66"/>
      <c r="PA41" s="66"/>
      <c r="PB41" s="66"/>
      <c r="PC41" s="66"/>
      <c r="PD41" s="66"/>
      <c r="PE41" s="66"/>
      <c r="PF41" s="66"/>
      <c r="PG41" s="66"/>
      <c r="PH41" s="66"/>
      <c r="PI41" s="66"/>
      <c r="PJ41" s="66"/>
      <c r="PK41" s="66"/>
      <c r="PL41" s="66"/>
      <c r="PM41" s="66"/>
      <c r="PN41" s="66"/>
      <c r="PO41" s="66"/>
      <c r="PP41" s="66"/>
      <c r="PQ41" s="66"/>
      <c r="PR41" s="66"/>
      <c r="PS41" s="66"/>
      <c r="PT41" s="66"/>
      <c r="PU41" s="66"/>
      <c r="PV41" s="66"/>
      <c r="PW41" s="66"/>
      <c r="PX41" s="66"/>
      <c r="PY41" s="66"/>
      <c r="PZ41" s="66"/>
      <c r="QA41" s="66"/>
      <c r="QB41" s="66"/>
      <c r="QC41" s="66"/>
      <c r="QD41" s="66"/>
      <c r="QE41" s="66"/>
      <c r="QF41" s="66"/>
      <c r="QG41" s="66"/>
      <c r="QH41" s="66"/>
      <c r="QI41" s="66"/>
      <c r="QJ41" s="66"/>
      <c r="QK41" s="66"/>
      <c r="QL41" s="66"/>
      <c r="QM41" s="66"/>
      <c r="QN41" s="66"/>
      <c r="QO41" s="66"/>
      <c r="QP41" s="66"/>
      <c r="QQ41" s="66"/>
      <c r="QR41" s="66"/>
      <c r="QS41" s="66"/>
      <c r="QT41" s="66"/>
      <c r="QU41" s="66"/>
      <c r="QV41" s="66"/>
      <c r="QW41" s="66"/>
      <c r="QX41" s="66"/>
      <c r="QY41" s="66"/>
      <c r="QZ41" s="66"/>
      <c r="RA41" s="66"/>
      <c r="RB41" s="66"/>
      <c r="RC41" s="66"/>
      <c r="RD41" s="66"/>
      <c r="RE41" s="66"/>
      <c r="RF41" s="66"/>
      <c r="RG41" s="66"/>
      <c r="RH41" s="66"/>
      <c r="RI41" s="66"/>
      <c r="RJ41" s="66"/>
      <c r="RK41" s="66"/>
      <c r="RL41" s="66"/>
      <c r="RM41" s="66"/>
      <c r="RN41" s="66"/>
      <c r="RO41" s="66"/>
      <c r="RP41" s="66"/>
      <c r="RQ41" s="66"/>
      <c r="RR41" s="66"/>
      <c r="RS41" s="66"/>
      <c r="RT41" s="66"/>
      <c r="RU41" s="66"/>
      <c r="RV41" s="66"/>
      <c r="RW41" s="66"/>
      <c r="RX41" s="66"/>
      <c r="RY41" s="66"/>
      <c r="RZ41" s="66"/>
      <c r="SA41" s="66"/>
      <c r="SB41" s="66"/>
      <c r="SC41" s="66"/>
      <c r="SD41" s="66"/>
      <c r="SE41" s="66"/>
      <c r="SF41" s="66"/>
      <c r="SG41" s="66"/>
      <c r="SH41" s="66"/>
      <c r="SI41" s="66"/>
      <c r="SJ41" s="66"/>
      <c r="SK41" s="66"/>
      <c r="SL41" s="66"/>
      <c r="SM41" s="66"/>
      <c r="SN41" s="66"/>
      <c r="SO41" s="66"/>
      <c r="SP41" s="66"/>
      <c r="SQ41" s="66"/>
      <c r="SR41" s="66"/>
      <c r="SS41" s="66"/>
      <c r="ST41" s="66"/>
      <c r="SU41" s="66"/>
      <c r="SV41" s="66"/>
      <c r="SW41" s="66"/>
      <c r="SX41" s="66"/>
      <c r="SY41" s="66"/>
      <c r="SZ41" s="66"/>
      <c r="TA41" s="66"/>
      <c r="TB41" s="66"/>
      <c r="TC41" s="66"/>
      <c r="TD41" s="66"/>
      <c r="TE41" s="66"/>
      <c r="TF41" s="66"/>
      <c r="TG41" s="66"/>
      <c r="TH41" s="66"/>
      <c r="TI41" s="66"/>
      <c r="TJ41" s="66"/>
      <c r="TK41" s="66"/>
      <c r="TL41" s="66"/>
      <c r="TM41" s="66"/>
      <c r="TN41" s="66"/>
      <c r="TO41" s="66"/>
      <c r="TP41" s="66"/>
      <c r="TQ41" s="66"/>
      <c r="TR41" s="66"/>
      <c r="TS41" s="66"/>
      <c r="TT41" s="66"/>
      <c r="TU41" s="66"/>
      <c r="TV41" s="66"/>
      <c r="TW41" s="66"/>
      <c r="TX41" s="66"/>
      <c r="TY41" s="66"/>
      <c r="TZ41" s="66"/>
      <c r="UA41" s="66"/>
      <c r="UB41" s="66"/>
      <c r="UC41" s="66"/>
      <c r="UD41" s="66"/>
      <c r="UE41" s="66"/>
      <c r="UF41" s="66"/>
      <c r="UG41" s="66"/>
      <c r="UH41" s="66"/>
      <c r="UI41" s="66"/>
      <c r="UJ41" s="66"/>
      <c r="UK41" s="66"/>
      <c r="UL41" s="66"/>
      <c r="UM41" s="66"/>
      <c r="UN41" s="66"/>
      <c r="UO41" s="66"/>
      <c r="UP41" s="66"/>
      <c r="UQ41" s="66"/>
      <c r="UR41" s="66"/>
      <c r="US41" s="66"/>
      <c r="UT41" s="66"/>
      <c r="UU41" s="66"/>
      <c r="UV41" s="66"/>
      <c r="UW41" s="66"/>
      <c r="UX41" s="66"/>
      <c r="UY41" s="66"/>
      <c r="UZ41" s="66"/>
      <c r="VA41" s="66"/>
      <c r="VB41" s="66"/>
      <c r="VC41" s="66"/>
      <c r="VD41" s="66"/>
      <c r="VE41" s="66"/>
      <c r="VF41" s="66"/>
      <c r="VG41" s="66"/>
      <c r="VH41" s="66"/>
      <c r="VI41" s="66"/>
      <c r="VJ41" s="66"/>
      <c r="VK41" s="66"/>
      <c r="VL41" s="66"/>
      <c r="VM41" s="66"/>
      <c r="VN41" s="66"/>
      <c r="VO41" s="66"/>
      <c r="VP41" s="66"/>
      <c r="VQ41" s="66"/>
      <c r="VR41" s="66"/>
      <c r="VS41" s="66"/>
      <c r="VT41" s="66"/>
      <c r="VU41" s="66"/>
      <c r="VV41" s="66"/>
      <c r="VW41" s="66"/>
      <c r="VX41" s="66"/>
      <c r="VY41" s="66"/>
      <c r="VZ41" s="66"/>
      <c r="WA41" s="66"/>
      <c r="WB41" s="66"/>
      <c r="WC41" s="66"/>
      <c r="WD41" s="66"/>
      <c r="WE41" s="66"/>
      <c r="WF41" s="66"/>
      <c r="WG41" s="66"/>
      <c r="WH41" s="66"/>
      <c r="WI41" s="66"/>
      <c r="WJ41" s="66"/>
      <c r="WK41" s="66"/>
      <c r="WL41" s="66"/>
      <c r="WM41" s="66"/>
      <c r="WN41" s="66"/>
      <c r="WO41" s="66"/>
      <c r="WP41" s="66"/>
      <c r="WQ41" s="66"/>
      <c r="WR41" s="66"/>
      <c r="WS41" s="66"/>
      <c r="WT41" s="66"/>
      <c r="WU41" s="66"/>
      <c r="WV41" s="66"/>
      <c r="WW41" s="66"/>
      <c r="WX41" s="66"/>
      <c r="WY41" s="66"/>
      <c r="WZ41" s="66"/>
      <c r="XA41" s="66"/>
      <c r="XB41" s="66"/>
      <c r="XC41" s="66"/>
      <c r="XD41" s="66"/>
      <c r="XE41" s="66"/>
      <c r="XF41" s="66"/>
      <c r="XG41" s="66"/>
      <c r="XH41" s="66"/>
      <c r="XI41" s="66"/>
      <c r="XJ41" s="66"/>
      <c r="XK41" s="66"/>
      <c r="XL41" s="66"/>
      <c r="XM41" s="66"/>
      <c r="XN41" s="66"/>
      <c r="XO41" s="66"/>
      <c r="XP41" s="66"/>
      <c r="XQ41" s="66"/>
      <c r="XR41" s="66"/>
      <c r="XS41" s="66"/>
      <c r="XT41" s="66"/>
      <c r="XU41" s="66"/>
      <c r="XV41" s="66"/>
      <c r="XW41" s="66"/>
      <c r="XX41" s="66"/>
      <c r="XY41" s="66"/>
      <c r="XZ41" s="66"/>
      <c r="YA41" s="66"/>
      <c r="YB41" s="66"/>
      <c r="YC41" s="66"/>
      <c r="YD41" s="66"/>
      <c r="YE41" s="66"/>
      <c r="YF41" s="66"/>
      <c r="YG41" s="66"/>
      <c r="YH41" s="66"/>
      <c r="YI41" s="66"/>
      <c r="YJ41" s="66"/>
      <c r="YK41" s="66"/>
      <c r="YL41" s="66"/>
      <c r="YM41" s="66"/>
      <c r="YN41" s="66"/>
      <c r="YO41" s="66"/>
      <c r="YP41" s="66"/>
      <c r="YQ41" s="66"/>
      <c r="YR41" s="66"/>
      <c r="YS41" s="66"/>
      <c r="YT41" s="66"/>
      <c r="YU41" s="66"/>
      <c r="YV41" s="66"/>
      <c r="YW41" s="66"/>
      <c r="YX41" s="66"/>
      <c r="YY41" s="66"/>
      <c r="YZ41" s="66"/>
      <c r="ZA41" s="66"/>
      <c r="ZB41" s="66"/>
      <c r="ZC41" s="66"/>
      <c r="ZD41" s="66"/>
      <c r="ZE41" s="66"/>
      <c r="ZF41" s="66"/>
      <c r="ZG41" s="66"/>
      <c r="ZH41" s="66"/>
      <c r="ZI41" s="66"/>
      <c r="ZJ41" s="66"/>
      <c r="ZK41" s="66"/>
      <c r="ZL41" s="66"/>
      <c r="ZM41" s="66"/>
      <c r="ZN41" s="66"/>
      <c r="ZO41" s="66"/>
      <c r="ZP41" s="66"/>
      <c r="ZQ41" s="66"/>
      <c r="ZR41" s="66"/>
      <c r="ZS41" s="66"/>
      <c r="ZT41" s="66"/>
      <c r="ZU41" s="66"/>
      <c r="ZV41" s="66"/>
      <c r="ZW41" s="66"/>
      <c r="ZX41" s="66"/>
    </row>
    <row r="42" spans="1:700" s="20" customFormat="1" ht="15.75" x14ac:dyDescent="0.25">
      <c r="A42" s="125"/>
      <c r="B42" s="126"/>
      <c r="C42" s="126"/>
      <c r="D42" s="127"/>
      <c r="E42" s="128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  <c r="CH42" s="66"/>
      <c r="CI42" s="66"/>
      <c r="CJ42" s="66"/>
      <c r="CK42" s="66"/>
      <c r="CL42" s="66"/>
      <c r="CM42" s="66"/>
      <c r="CN42" s="66"/>
      <c r="CO42" s="66"/>
      <c r="CP42" s="66"/>
      <c r="CQ42" s="66"/>
      <c r="CR42" s="66"/>
      <c r="CS42" s="66"/>
      <c r="CT42" s="66"/>
      <c r="CU42" s="66"/>
      <c r="CV42" s="66"/>
      <c r="CW42" s="66"/>
      <c r="CX42" s="66"/>
      <c r="CY42" s="66"/>
      <c r="CZ42" s="66"/>
      <c r="DA42" s="66"/>
      <c r="DB42" s="66"/>
      <c r="DC42" s="66"/>
      <c r="DD42" s="66"/>
      <c r="DE42" s="66"/>
      <c r="DF42" s="66"/>
      <c r="DG42" s="66"/>
      <c r="DH42" s="66"/>
      <c r="DI42" s="66"/>
      <c r="DJ42" s="66"/>
      <c r="DK42" s="66"/>
      <c r="DL42" s="66"/>
      <c r="DM42" s="66"/>
      <c r="DN42" s="66"/>
      <c r="DO42" s="66"/>
      <c r="DP42" s="66"/>
      <c r="DQ42" s="66"/>
      <c r="DR42" s="66"/>
      <c r="DS42" s="66"/>
      <c r="DT42" s="66"/>
      <c r="DU42" s="66"/>
      <c r="DV42" s="66"/>
      <c r="DW42" s="66"/>
      <c r="DX42" s="66"/>
      <c r="DY42" s="66"/>
      <c r="DZ42" s="66"/>
      <c r="EA42" s="66"/>
      <c r="EB42" s="66"/>
      <c r="EC42" s="66"/>
      <c r="ED42" s="66"/>
      <c r="EE42" s="66"/>
      <c r="EF42" s="66"/>
      <c r="EG42" s="66"/>
      <c r="EH42" s="66"/>
      <c r="EI42" s="66"/>
      <c r="EJ42" s="66"/>
      <c r="EK42" s="66"/>
      <c r="EL42" s="66"/>
      <c r="EM42" s="66"/>
      <c r="EN42" s="66"/>
      <c r="EO42" s="66"/>
      <c r="EP42" s="66"/>
      <c r="EQ42" s="66"/>
      <c r="ER42" s="66"/>
      <c r="ES42" s="66"/>
      <c r="ET42" s="66"/>
      <c r="EU42" s="66"/>
      <c r="EV42" s="66"/>
      <c r="EW42" s="66"/>
      <c r="EX42" s="66"/>
      <c r="EY42" s="66"/>
      <c r="EZ42" s="66"/>
      <c r="FA42" s="66"/>
      <c r="FB42" s="66"/>
      <c r="FC42" s="66"/>
      <c r="FD42" s="66"/>
      <c r="FE42" s="66"/>
      <c r="FF42" s="66"/>
      <c r="FG42" s="66"/>
      <c r="FH42" s="66"/>
      <c r="FI42" s="66"/>
      <c r="FJ42" s="66"/>
      <c r="FK42" s="66"/>
      <c r="FL42" s="66"/>
      <c r="FM42" s="66"/>
      <c r="FN42" s="66"/>
      <c r="FO42" s="66"/>
      <c r="FP42" s="66"/>
      <c r="FQ42" s="66"/>
      <c r="FR42" s="66"/>
      <c r="FS42" s="66"/>
      <c r="FT42" s="66"/>
      <c r="FU42" s="66"/>
      <c r="FV42" s="66"/>
      <c r="FW42" s="66"/>
      <c r="FX42" s="66"/>
      <c r="FY42" s="66"/>
      <c r="FZ42" s="66"/>
      <c r="GA42" s="66"/>
      <c r="GB42" s="66"/>
      <c r="GC42" s="66"/>
      <c r="GD42" s="66"/>
      <c r="GE42" s="66"/>
      <c r="GF42" s="66"/>
      <c r="GG42" s="66"/>
      <c r="GH42" s="66"/>
      <c r="GI42" s="66"/>
      <c r="GJ42" s="66"/>
      <c r="GK42" s="66"/>
      <c r="GL42" s="66"/>
      <c r="GM42" s="66"/>
      <c r="GN42" s="66"/>
      <c r="GO42" s="66"/>
      <c r="GP42" s="66"/>
      <c r="GQ42" s="66"/>
      <c r="GR42" s="66"/>
      <c r="GS42" s="66"/>
      <c r="GT42" s="66"/>
      <c r="GU42" s="66"/>
      <c r="GV42" s="66"/>
      <c r="GW42" s="66"/>
      <c r="GX42" s="66"/>
      <c r="GY42" s="66"/>
      <c r="GZ42" s="66"/>
      <c r="HA42" s="66"/>
      <c r="HB42" s="66"/>
      <c r="HC42" s="66"/>
      <c r="HD42" s="66"/>
      <c r="HE42" s="66"/>
      <c r="HF42" s="66"/>
      <c r="HG42" s="66"/>
      <c r="HH42" s="66"/>
      <c r="HI42" s="66"/>
      <c r="HJ42" s="66"/>
      <c r="HK42" s="66"/>
      <c r="HL42" s="66"/>
      <c r="HM42" s="66"/>
      <c r="HN42" s="66"/>
      <c r="HO42" s="66"/>
      <c r="HP42" s="66"/>
      <c r="HQ42" s="66"/>
      <c r="HR42" s="66"/>
      <c r="HS42" s="66"/>
      <c r="HT42" s="66"/>
      <c r="HU42" s="66"/>
      <c r="HV42" s="66"/>
      <c r="HW42" s="66"/>
      <c r="HX42" s="66"/>
      <c r="HY42" s="66"/>
      <c r="HZ42" s="66"/>
      <c r="IA42" s="66"/>
      <c r="IB42" s="66"/>
      <c r="IC42" s="66"/>
      <c r="ID42" s="66"/>
      <c r="IE42" s="66"/>
      <c r="IF42" s="66"/>
      <c r="IG42" s="66"/>
      <c r="IH42" s="66"/>
      <c r="II42" s="66"/>
      <c r="IJ42" s="66"/>
      <c r="IK42" s="66"/>
      <c r="IL42" s="66"/>
      <c r="IM42" s="66"/>
      <c r="IN42" s="66"/>
      <c r="IO42" s="66"/>
      <c r="IP42" s="66"/>
      <c r="IQ42" s="66"/>
      <c r="IR42" s="66"/>
      <c r="IS42" s="66"/>
      <c r="IT42" s="66"/>
      <c r="IU42" s="66"/>
      <c r="IV42" s="66"/>
      <c r="IW42" s="66"/>
      <c r="IX42" s="66"/>
      <c r="IY42" s="66"/>
      <c r="IZ42" s="66"/>
      <c r="JA42" s="66"/>
      <c r="JB42" s="66"/>
      <c r="JC42" s="66"/>
      <c r="JD42" s="66"/>
      <c r="JE42" s="66"/>
      <c r="JF42" s="66"/>
      <c r="JG42" s="66"/>
      <c r="JH42" s="66"/>
      <c r="JI42" s="66"/>
      <c r="JJ42" s="66"/>
      <c r="JK42" s="66"/>
      <c r="JL42" s="66"/>
      <c r="JM42" s="66"/>
      <c r="JN42" s="66"/>
      <c r="JO42" s="66"/>
      <c r="JP42" s="66"/>
      <c r="JQ42" s="66"/>
      <c r="JR42" s="66"/>
      <c r="JS42" s="66"/>
      <c r="JT42" s="66"/>
      <c r="JU42" s="66"/>
      <c r="JV42" s="66"/>
      <c r="JW42" s="66"/>
      <c r="JX42" s="66"/>
      <c r="JY42" s="66"/>
      <c r="JZ42" s="66"/>
      <c r="KA42" s="66"/>
      <c r="KB42" s="66"/>
      <c r="KC42" s="66"/>
      <c r="KD42" s="66"/>
      <c r="KE42" s="66"/>
      <c r="KF42" s="66"/>
      <c r="KG42" s="66"/>
      <c r="KH42" s="66"/>
      <c r="KI42" s="66"/>
      <c r="KJ42" s="66"/>
      <c r="KK42" s="66"/>
      <c r="KL42" s="66"/>
      <c r="KM42" s="66"/>
      <c r="KN42" s="66"/>
      <c r="KO42" s="66"/>
      <c r="KP42" s="66"/>
      <c r="KQ42" s="66"/>
      <c r="KR42" s="66"/>
      <c r="KS42" s="66"/>
      <c r="KT42" s="66"/>
      <c r="KU42" s="66"/>
      <c r="KV42" s="66"/>
      <c r="KW42" s="66"/>
      <c r="KX42" s="66"/>
      <c r="KY42" s="66"/>
      <c r="KZ42" s="66"/>
      <c r="LA42" s="66"/>
      <c r="LB42" s="66"/>
      <c r="LC42" s="66"/>
      <c r="LD42" s="66"/>
      <c r="LE42" s="66"/>
      <c r="LF42" s="66"/>
      <c r="LG42" s="66"/>
      <c r="LH42" s="66"/>
      <c r="LI42" s="66"/>
      <c r="LJ42" s="66"/>
      <c r="LK42" s="66"/>
      <c r="LL42" s="66"/>
      <c r="LM42" s="66"/>
      <c r="LN42" s="66"/>
      <c r="LO42" s="66"/>
      <c r="LP42" s="66"/>
      <c r="LQ42" s="66"/>
      <c r="LR42" s="66"/>
      <c r="LS42" s="66"/>
      <c r="LT42" s="66"/>
      <c r="LU42" s="66"/>
      <c r="LV42" s="66"/>
      <c r="LW42" s="66"/>
      <c r="LX42" s="66"/>
      <c r="LY42" s="66"/>
      <c r="LZ42" s="66"/>
      <c r="MA42" s="66"/>
      <c r="MB42" s="66"/>
      <c r="MC42" s="66"/>
      <c r="MD42" s="66"/>
      <c r="ME42" s="66"/>
      <c r="MF42" s="66"/>
      <c r="MG42" s="66"/>
      <c r="MH42" s="66"/>
      <c r="MI42" s="66"/>
      <c r="MJ42" s="66"/>
      <c r="MK42" s="66"/>
      <c r="ML42" s="66"/>
      <c r="MM42" s="66"/>
      <c r="MN42" s="66"/>
      <c r="MO42" s="66"/>
      <c r="MP42" s="66"/>
      <c r="MQ42" s="66"/>
      <c r="MR42" s="66"/>
      <c r="MS42" s="66"/>
      <c r="MT42" s="66"/>
      <c r="MU42" s="66"/>
      <c r="MV42" s="66"/>
      <c r="MW42" s="66"/>
      <c r="MX42" s="66"/>
      <c r="MY42" s="66"/>
      <c r="MZ42" s="66"/>
      <c r="NA42" s="66"/>
      <c r="NB42" s="66"/>
      <c r="NC42" s="66"/>
      <c r="ND42" s="66"/>
      <c r="NE42" s="66"/>
      <c r="NF42" s="66"/>
      <c r="NG42" s="66"/>
      <c r="NH42" s="66"/>
      <c r="NI42" s="66"/>
      <c r="NJ42" s="66"/>
      <c r="NK42" s="66"/>
      <c r="NL42" s="66"/>
      <c r="NM42" s="66"/>
      <c r="NN42" s="66"/>
      <c r="NO42" s="66"/>
      <c r="NP42" s="66"/>
      <c r="NQ42" s="66"/>
      <c r="NR42" s="66"/>
      <c r="NS42" s="66"/>
      <c r="NT42" s="66"/>
      <c r="NU42" s="66"/>
      <c r="NV42" s="66"/>
      <c r="NW42" s="66"/>
      <c r="NX42" s="66"/>
      <c r="NY42" s="66"/>
      <c r="NZ42" s="66"/>
      <c r="OA42" s="66"/>
      <c r="OB42" s="66"/>
      <c r="OC42" s="66"/>
      <c r="OD42" s="66"/>
      <c r="OE42" s="66"/>
      <c r="OF42" s="66"/>
      <c r="OG42" s="66"/>
      <c r="OH42" s="66"/>
      <c r="OI42" s="66"/>
      <c r="OJ42" s="66"/>
      <c r="OK42" s="66"/>
      <c r="OL42" s="66"/>
      <c r="OM42" s="66"/>
      <c r="ON42" s="66"/>
      <c r="OO42" s="66"/>
      <c r="OP42" s="66"/>
      <c r="OQ42" s="66"/>
      <c r="OR42" s="66"/>
      <c r="OS42" s="66"/>
      <c r="OT42" s="66"/>
      <c r="OU42" s="66"/>
      <c r="OV42" s="66"/>
      <c r="OW42" s="66"/>
      <c r="OX42" s="66"/>
      <c r="OY42" s="66"/>
      <c r="OZ42" s="66"/>
      <c r="PA42" s="66"/>
      <c r="PB42" s="66"/>
      <c r="PC42" s="66"/>
      <c r="PD42" s="66"/>
      <c r="PE42" s="66"/>
      <c r="PF42" s="66"/>
      <c r="PG42" s="66"/>
      <c r="PH42" s="66"/>
      <c r="PI42" s="66"/>
      <c r="PJ42" s="66"/>
      <c r="PK42" s="66"/>
      <c r="PL42" s="66"/>
      <c r="PM42" s="66"/>
      <c r="PN42" s="66"/>
      <c r="PO42" s="66"/>
      <c r="PP42" s="66"/>
      <c r="PQ42" s="66"/>
      <c r="PR42" s="66"/>
      <c r="PS42" s="66"/>
      <c r="PT42" s="66"/>
      <c r="PU42" s="66"/>
      <c r="PV42" s="66"/>
      <c r="PW42" s="66"/>
      <c r="PX42" s="66"/>
      <c r="PY42" s="66"/>
      <c r="PZ42" s="66"/>
      <c r="QA42" s="66"/>
      <c r="QB42" s="66"/>
      <c r="QC42" s="66"/>
      <c r="QD42" s="66"/>
      <c r="QE42" s="66"/>
      <c r="QF42" s="66"/>
      <c r="QG42" s="66"/>
      <c r="QH42" s="66"/>
      <c r="QI42" s="66"/>
      <c r="QJ42" s="66"/>
      <c r="QK42" s="66"/>
      <c r="QL42" s="66"/>
      <c r="QM42" s="66"/>
      <c r="QN42" s="66"/>
      <c r="QO42" s="66"/>
      <c r="QP42" s="66"/>
      <c r="QQ42" s="66"/>
      <c r="QR42" s="66"/>
      <c r="QS42" s="66"/>
      <c r="QT42" s="66"/>
      <c r="QU42" s="66"/>
      <c r="QV42" s="66"/>
      <c r="QW42" s="66"/>
      <c r="QX42" s="66"/>
      <c r="QY42" s="66"/>
      <c r="QZ42" s="66"/>
      <c r="RA42" s="66"/>
      <c r="RB42" s="66"/>
      <c r="RC42" s="66"/>
      <c r="RD42" s="66"/>
      <c r="RE42" s="66"/>
      <c r="RF42" s="66"/>
      <c r="RG42" s="66"/>
      <c r="RH42" s="66"/>
      <c r="RI42" s="66"/>
      <c r="RJ42" s="66"/>
      <c r="RK42" s="66"/>
      <c r="RL42" s="66"/>
      <c r="RM42" s="66"/>
      <c r="RN42" s="66"/>
      <c r="RO42" s="66"/>
      <c r="RP42" s="66"/>
      <c r="RQ42" s="66"/>
      <c r="RR42" s="66"/>
      <c r="RS42" s="66"/>
      <c r="RT42" s="66"/>
      <c r="RU42" s="66"/>
      <c r="RV42" s="66"/>
      <c r="RW42" s="66"/>
      <c r="RX42" s="66"/>
      <c r="RY42" s="66"/>
      <c r="RZ42" s="66"/>
      <c r="SA42" s="66"/>
      <c r="SB42" s="66"/>
      <c r="SC42" s="66"/>
      <c r="SD42" s="66"/>
      <c r="SE42" s="66"/>
      <c r="SF42" s="66"/>
      <c r="SG42" s="66"/>
      <c r="SH42" s="66"/>
      <c r="SI42" s="66"/>
      <c r="SJ42" s="66"/>
      <c r="SK42" s="66"/>
      <c r="SL42" s="66"/>
      <c r="SM42" s="66"/>
      <c r="SN42" s="66"/>
      <c r="SO42" s="66"/>
      <c r="SP42" s="66"/>
      <c r="SQ42" s="66"/>
      <c r="SR42" s="66"/>
      <c r="SS42" s="66"/>
      <c r="ST42" s="66"/>
      <c r="SU42" s="66"/>
      <c r="SV42" s="66"/>
      <c r="SW42" s="66"/>
      <c r="SX42" s="66"/>
      <c r="SY42" s="66"/>
      <c r="SZ42" s="66"/>
      <c r="TA42" s="66"/>
      <c r="TB42" s="66"/>
      <c r="TC42" s="66"/>
      <c r="TD42" s="66"/>
      <c r="TE42" s="66"/>
      <c r="TF42" s="66"/>
      <c r="TG42" s="66"/>
      <c r="TH42" s="66"/>
      <c r="TI42" s="66"/>
      <c r="TJ42" s="66"/>
      <c r="TK42" s="66"/>
      <c r="TL42" s="66"/>
      <c r="TM42" s="66"/>
      <c r="TN42" s="66"/>
      <c r="TO42" s="66"/>
      <c r="TP42" s="66"/>
      <c r="TQ42" s="66"/>
      <c r="TR42" s="66"/>
      <c r="TS42" s="66"/>
      <c r="TT42" s="66"/>
      <c r="TU42" s="66"/>
      <c r="TV42" s="66"/>
      <c r="TW42" s="66"/>
      <c r="TX42" s="66"/>
      <c r="TY42" s="66"/>
      <c r="TZ42" s="66"/>
      <c r="UA42" s="66"/>
      <c r="UB42" s="66"/>
      <c r="UC42" s="66"/>
      <c r="UD42" s="66"/>
      <c r="UE42" s="66"/>
      <c r="UF42" s="66"/>
      <c r="UG42" s="66"/>
      <c r="UH42" s="66"/>
      <c r="UI42" s="66"/>
      <c r="UJ42" s="66"/>
      <c r="UK42" s="66"/>
      <c r="UL42" s="66"/>
      <c r="UM42" s="66"/>
      <c r="UN42" s="66"/>
      <c r="UO42" s="66"/>
      <c r="UP42" s="66"/>
      <c r="UQ42" s="66"/>
      <c r="UR42" s="66"/>
      <c r="US42" s="66"/>
      <c r="UT42" s="66"/>
      <c r="UU42" s="66"/>
      <c r="UV42" s="66"/>
      <c r="UW42" s="66"/>
      <c r="UX42" s="66"/>
      <c r="UY42" s="66"/>
      <c r="UZ42" s="66"/>
      <c r="VA42" s="66"/>
      <c r="VB42" s="66"/>
      <c r="VC42" s="66"/>
      <c r="VD42" s="66"/>
      <c r="VE42" s="66"/>
      <c r="VF42" s="66"/>
      <c r="VG42" s="66"/>
      <c r="VH42" s="66"/>
      <c r="VI42" s="66"/>
      <c r="VJ42" s="66"/>
      <c r="VK42" s="66"/>
      <c r="VL42" s="66"/>
      <c r="VM42" s="66"/>
      <c r="VN42" s="66"/>
      <c r="VO42" s="66"/>
      <c r="VP42" s="66"/>
      <c r="VQ42" s="66"/>
      <c r="VR42" s="66"/>
      <c r="VS42" s="66"/>
      <c r="VT42" s="66"/>
      <c r="VU42" s="66"/>
      <c r="VV42" s="66"/>
      <c r="VW42" s="66"/>
      <c r="VX42" s="66"/>
      <c r="VY42" s="66"/>
      <c r="VZ42" s="66"/>
      <c r="WA42" s="66"/>
      <c r="WB42" s="66"/>
      <c r="WC42" s="66"/>
      <c r="WD42" s="66"/>
      <c r="WE42" s="66"/>
      <c r="WF42" s="66"/>
      <c r="WG42" s="66"/>
      <c r="WH42" s="66"/>
      <c r="WI42" s="66"/>
      <c r="WJ42" s="66"/>
      <c r="WK42" s="66"/>
      <c r="WL42" s="66"/>
      <c r="WM42" s="66"/>
      <c r="WN42" s="66"/>
      <c r="WO42" s="66"/>
      <c r="WP42" s="66"/>
      <c r="WQ42" s="66"/>
      <c r="WR42" s="66"/>
      <c r="WS42" s="66"/>
      <c r="WT42" s="66"/>
      <c r="WU42" s="66"/>
      <c r="WV42" s="66"/>
      <c r="WW42" s="66"/>
      <c r="WX42" s="66"/>
      <c r="WY42" s="66"/>
      <c r="WZ42" s="66"/>
      <c r="XA42" s="66"/>
      <c r="XB42" s="66"/>
      <c r="XC42" s="66"/>
      <c r="XD42" s="66"/>
      <c r="XE42" s="66"/>
      <c r="XF42" s="66"/>
      <c r="XG42" s="66"/>
      <c r="XH42" s="66"/>
      <c r="XI42" s="66"/>
      <c r="XJ42" s="66"/>
      <c r="XK42" s="66"/>
      <c r="XL42" s="66"/>
      <c r="XM42" s="66"/>
      <c r="XN42" s="66"/>
      <c r="XO42" s="66"/>
      <c r="XP42" s="66"/>
      <c r="XQ42" s="66"/>
      <c r="XR42" s="66"/>
      <c r="XS42" s="66"/>
      <c r="XT42" s="66"/>
      <c r="XU42" s="66"/>
      <c r="XV42" s="66"/>
      <c r="XW42" s="66"/>
      <c r="XX42" s="66"/>
      <c r="XY42" s="66"/>
      <c r="XZ42" s="66"/>
      <c r="YA42" s="66"/>
      <c r="YB42" s="66"/>
      <c r="YC42" s="66"/>
      <c r="YD42" s="66"/>
      <c r="YE42" s="66"/>
      <c r="YF42" s="66"/>
      <c r="YG42" s="66"/>
      <c r="YH42" s="66"/>
      <c r="YI42" s="66"/>
      <c r="YJ42" s="66"/>
      <c r="YK42" s="66"/>
      <c r="YL42" s="66"/>
      <c r="YM42" s="66"/>
      <c r="YN42" s="66"/>
      <c r="YO42" s="66"/>
      <c r="YP42" s="66"/>
      <c r="YQ42" s="66"/>
      <c r="YR42" s="66"/>
      <c r="YS42" s="66"/>
      <c r="YT42" s="66"/>
      <c r="YU42" s="66"/>
      <c r="YV42" s="66"/>
      <c r="YW42" s="66"/>
      <c r="YX42" s="66"/>
      <c r="YY42" s="66"/>
      <c r="YZ42" s="66"/>
      <c r="ZA42" s="66"/>
      <c r="ZB42" s="66"/>
      <c r="ZC42" s="66"/>
      <c r="ZD42" s="66"/>
      <c r="ZE42" s="66"/>
      <c r="ZF42" s="66"/>
      <c r="ZG42" s="66"/>
      <c r="ZH42" s="66"/>
      <c r="ZI42" s="66"/>
      <c r="ZJ42" s="66"/>
      <c r="ZK42" s="66"/>
      <c r="ZL42" s="66"/>
      <c r="ZM42" s="66"/>
      <c r="ZN42" s="66"/>
      <c r="ZO42" s="66"/>
      <c r="ZP42" s="66"/>
      <c r="ZQ42" s="66"/>
      <c r="ZR42" s="66"/>
      <c r="ZS42" s="66"/>
      <c r="ZT42" s="66"/>
      <c r="ZU42" s="66"/>
      <c r="ZV42" s="66"/>
      <c r="ZW42" s="66"/>
      <c r="ZX42" s="66"/>
    </row>
    <row r="43" spans="1:700" s="20" customFormat="1" ht="15.75" x14ac:dyDescent="0.25">
      <c r="A43" s="72"/>
      <c r="B43" s="73"/>
      <c r="C43" s="73"/>
      <c r="D43" s="108"/>
      <c r="E43" s="129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  <c r="CH43" s="66"/>
      <c r="CI43" s="66"/>
      <c r="CJ43" s="66"/>
      <c r="CK43" s="66"/>
      <c r="CL43" s="66"/>
      <c r="CM43" s="66"/>
      <c r="CN43" s="66"/>
      <c r="CO43" s="66"/>
      <c r="CP43" s="66"/>
      <c r="CQ43" s="66"/>
      <c r="CR43" s="66"/>
      <c r="CS43" s="66"/>
      <c r="CT43" s="66"/>
      <c r="CU43" s="66"/>
      <c r="CV43" s="66"/>
      <c r="CW43" s="66"/>
      <c r="CX43" s="66"/>
      <c r="CY43" s="66"/>
      <c r="CZ43" s="66"/>
      <c r="DA43" s="66"/>
      <c r="DB43" s="66"/>
      <c r="DC43" s="66"/>
      <c r="DD43" s="66"/>
      <c r="DE43" s="66"/>
      <c r="DF43" s="66"/>
      <c r="DG43" s="66"/>
      <c r="DH43" s="66"/>
      <c r="DI43" s="66"/>
      <c r="DJ43" s="66"/>
      <c r="DK43" s="66"/>
      <c r="DL43" s="66"/>
      <c r="DM43" s="66"/>
      <c r="DN43" s="66"/>
      <c r="DO43" s="66"/>
      <c r="DP43" s="66"/>
      <c r="DQ43" s="66"/>
      <c r="DR43" s="66"/>
      <c r="DS43" s="66"/>
      <c r="DT43" s="66"/>
      <c r="DU43" s="66"/>
      <c r="DV43" s="66"/>
      <c r="DW43" s="66"/>
      <c r="DX43" s="66"/>
      <c r="DY43" s="66"/>
      <c r="DZ43" s="66"/>
      <c r="EA43" s="66"/>
      <c r="EB43" s="66"/>
      <c r="EC43" s="66"/>
      <c r="ED43" s="66"/>
      <c r="EE43" s="66"/>
      <c r="EF43" s="66"/>
      <c r="EG43" s="66"/>
      <c r="EH43" s="66"/>
      <c r="EI43" s="66"/>
      <c r="EJ43" s="66"/>
      <c r="EK43" s="66"/>
      <c r="EL43" s="66"/>
      <c r="EM43" s="66"/>
      <c r="EN43" s="66"/>
      <c r="EO43" s="66"/>
      <c r="EP43" s="66"/>
      <c r="EQ43" s="66"/>
      <c r="ER43" s="66"/>
      <c r="ES43" s="66"/>
      <c r="ET43" s="66"/>
      <c r="EU43" s="66"/>
      <c r="EV43" s="66"/>
      <c r="EW43" s="66"/>
      <c r="EX43" s="66"/>
      <c r="EY43" s="66"/>
      <c r="EZ43" s="66"/>
      <c r="FA43" s="66"/>
      <c r="FB43" s="66"/>
      <c r="FC43" s="66"/>
      <c r="FD43" s="66"/>
      <c r="FE43" s="66"/>
      <c r="FF43" s="66"/>
      <c r="FG43" s="66"/>
      <c r="FH43" s="66"/>
      <c r="FI43" s="66"/>
      <c r="FJ43" s="66"/>
      <c r="FK43" s="66"/>
      <c r="FL43" s="66"/>
      <c r="FM43" s="66"/>
      <c r="FN43" s="66"/>
      <c r="FO43" s="66"/>
      <c r="FP43" s="66"/>
      <c r="FQ43" s="66"/>
      <c r="FR43" s="66"/>
      <c r="FS43" s="66"/>
      <c r="FT43" s="66"/>
      <c r="FU43" s="66"/>
      <c r="FV43" s="66"/>
      <c r="FW43" s="66"/>
      <c r="FX43" s="66"/>
      <c r="FY43" s="66"/>
      <c r="FZ43" s="66"/>
      <c r="GA43" s="66"/>
      <c r="GB43" s="66"/>
      <c r="GC43" s="66"/>
      <c r="GD43" s="66"/>
      <c r="GE43" s="66"/>
      <c r="GF43" s="66"/>
      <c r="GG43" s="66"/>
      <c r="GH43" s="66"/>
      <c r="GI43" s="66"/>
      <c r="GJ43" s="66"/>
      <c r="GK43" s="66"/>
      <c r="GL43" s="66"/>
      <c r="GM43" s="66"/>
      <c r="GN43" s="66"/>
      <c r="GO43" s="66"/>
      <c r="GP43" s="66"/>
      <c r="GQ43" s="66"/>
      <c r="GR43" s="66"/>
      <c r="GS43" s="66"/>
      <c r="GT43" s="66"/>
      <c r="GU43" s="66"/>
      <c r="GV43" s="66"/>
      <c r="GW43" s="66"/>
      <c r="GX43" s="66"/>
      <c r="GY43" s="66"/>
      <c r="GZ43" s="66"/>
      <c r="HA43" s="66"/>
      <c r="HB43" s="66"/>
      <c r="HC43" s="66"/>
      <c r="HD43" s="66"/>
      <c r="HE43" s="66"/>
      <c r="HF43" s="66"/>
      <c r="HG43" s="66"/>
      <c r="HH43" s="66"/>
      <c r="HI43" s="66"/>
      <c r="HJ43" s="66"/>
      <c r="HK43" s="66"/>
      <c r="HL43" s="66"/>
      <c r="HM43" s="66"/>
      <c r="HN43" s="66"/>
      <c r="HO43" s="66"/>
      <c r="HP43" s="66"/>
      <c r="HQ43" s="66"/>
      <c r="HR43" s="66"/>
      <c r="HS43" s="66"/>
      <c r="HT43" s="66"/>
      <c r="HU43" s="66"/>
      <c r="HV43" s="66"/>
      <c r="HW43" s="66"/>
      <c r="HX43" s="66"/>
      <c r="HY43" s="66"/>
      <c r="HZ43" s="66"/>
      <c r="IA43" s="66"/>
      <c r="IB43" s="66"/>
      <c r="IC43" s="66"/>
      <c r="ID43" s="66"/>
      <c r="IE43" s="66"/>
      <c r="IF43" s="66"/>
      <c r="IG43" s="66"/>
      <c r="IH43" s="66"/>
      <c r="II43" s="66"/>
      <c r="IJ43" s="66"/>
      <c r="IK43" s="66"/>
      <c r="IL43" s="66"/>
      <c r="IM43" s="66"/>
      <c r="IN43" s="66"/>
      <c r="IO43" s="66"/>
      <c r="IP43" s="66"/>
      <c r="IQ43" s="66"/>
      <c r="IR43" s="66"/>
      <c r="IS43" s="66"/>
      <c r="IT43" s="66"/>
      <c r="IU43" s="66"/>
      <c r="IV43" s="66"/>
      <c r="IW43" s="66"/>
      <c r="IX43" s="66"/>
      <c r="IY43" s="66"/>
      <c r="IZ43" s="66"/>
      <c r="JA43" s="66"/>
      <c r="JB43" s="66"/>
      <c r="JC43" s="66"/>
      <c r="JD43" s="66"/>
      <c r="JE43" s="66"/>
      <c r="JF43" s="66"/>
      <c r="JG43" s="66"/>
      <c r="JH43" s="66"/>
      <c r="JI43" s="66"/>
      <c r="JJ43" s="66"/>
      <c r="JK43" s="66"/>
      <c r="JL43" s="66"/>
      <c r="JM43" s="66"/>
      <c r="JN43" s="66"/>
      <c r="JO43" s="66"/>
      <c r="JP43" s="66"/>
      <c r="JQ43" s="66"/>
      <c r="JR43" s="66"/>
      <c r="JS43" s="66"/>
      <c r="JT43" s="66"/>
      <c r="JU43" s="66"/>
      <c r="JV43" s="66"/>
      <c r="JW43" s="66"/>
      <c r="JX43" s="66"/>
      <c r="JY43" s="66"/>
      <c r="JZ43" s="66"/>
      <c r="KA43" s="66"/>
      <c r="KB43" s="66"/>
      <c r="KC43" s="66"/>
      <c r="KD43" s="66"/>
      <c r="KE43" s="66"/>
      <c r="KF43" s="66"/>
      <c r="KG43" s="66"/>
      <c r="KH43" s="66"/>
      <c r="KI43" s="66"/>
      <c r="KJ43" s="66"/>
      <c r="KK43" s="66"/>
      <c r="KL43" s="66"/>
      <c r="KM43" s="66"/>
      <c r="KN43" s="66"/>
      <c r="KO43" s="66"/>
      <c r="KP43" s="66"/>
      <c r="KQ43" s="66"/>
      <c r="KR43" s="66"/>
      <c r="KS43" s="66"/>
      <c r="KT43" s="66"/>
      <c r="KU43" s="66"/>
      <c r="KV43" s="66"/>
      <c r="KW43" s="66"/>
      <c r="KX43" s="66"/>
      <c r="KY43" s="66"/>
      <c r="KZ43" s="66"/>
      <c r="LA43" s="66"/>
      <c r="LB43" s="66"/>
      <c r="LC43" s="66"/>
      <c r="LD43" s="66"/>
      <c r="LE43" s="66"/>
      <c r="LF43" s="66"/>
      <c r="LG43" s="66"/>
      <c r="LH43" s="66"/>
      <c r="LI43" s="66"/>
      <c r="LJ43" s="66"/>
      <c r="LK43" s="66"/>
      <c r="LL43" s="66"/>
      <c r="LM43" s="66"/>
      <c r="LN43" s="66"/>
      <c r="LO43" s="66"/>
      <c r="LP43" s="66"/>
      <c r="LQ43" s="66"/>
      <c r="LR43" s="66"/>
      <c r="LS43" s="66"/>
      <c r="LT43" s="66"/>
      <c r="LU43" s="66"/>
      <c r="LV43" s="66"/>
      <c r="LW43" s="66"/>
      <c r="LX43" s="66"/>
      <c r="LY43" s="66"/>
      <c r="LZ43" s="66"/>
      <c r="MA43" s="66"/>
      <c r="MB43" s="66"/>
      <c r="MC43" s="66"/>
      <c r="MD43" s="66"/>
      <c r="ME43" s="66"/>
      <c r="MF43" s="66"/>
      <c r="MG43" s="66"/>
      <c r="MH43" s="66"/>
      <c r="MI43" s="66"/>
      <c r="MJ43" s="66"/>
      <c r="MK43" s="66"/>
      <c r="ML43" s="66"/>
      <c r="MM43" s="66"/>
      <c r="MN43" s="66"/>
      <c r="MO43" s="66"/>
      <c r="MP43" s="66"/>
      <c r="MQ43" s="66"/>
      <c r="MR43" s="66"/>
      <c r="MS43" s="66"/>
      <c r="MT43" s="66"/>
      <c r="MU43" s="66"/>
      <c r="MV43" s="66"/>
      <c r="MW43" s="66"/>
      <c r="MX43" s="66"/>
      <c r="MY43" s="66"/>
      <c r="MZ43" s="66"/>
      <c r="NA43" s="66"/>
      <c r="NB43" s="66"/>
      <c r="NC43" s="66"/>
      <c r="ND43" s="66"/>
      <c r="NE43" s="66"/>
      <c r="NF43" s="66"/>
      <c r="NG43" s="66"/>
      <c r="NH43" s="66"/>
      <c r="NI43" s="66"/>
      <c r="NJ43" s="66"/>
      <c r="NK43" s="66"/>
      <c r="NL43" s="66"/>
      <c r="NM43" s="66"/>
      <c r="NN43" s="66"/>
      <c r="NO43" s="66"/>
      <c r="NP43" s="66"/>
      <c r="NQ43" s="66"/>
      <c r="NR43" s="66"/>
      <c r="NS43" s="66"/>
      <c r="NT43" s="66"/>
      <c r="NU43" s="66"/>
      <c r="NV43" s="66"/>
      <c r="NW43" s="66"/>
      <c r="NX43" s="66"/>
      <c r="NY43" s="66"/>
      <c r="NZ43" s="66"/>
      <c r="OA43" s="66"/>
      <c r="OB43" s="66"/>
      <c r="OC43" s="66"/>
      <c r="OD43" s="66"/>
      <c r="OE43" s="66"/>
      <c r="OF43" s="66"/>
      <c r="OG43" s="66"/>
      <c r="OH43" s="66"/>
      <c r="OI43" s="66"/>
      <c r="OJ43" s="66"/>
      <c r="OK43" s="66"/>
      <c r="OL43" s="66"/>
      <c r="OM43" s="66"/>
      <c r="ON43" s="66"/>
      <c r="OO43" s="66"/>
      <c r="OP43" s="66"/>
      <c r="OQ43" s="66"/>
      <c r="OR43" s="66"/>
      <c r="OS43" s="66"/>
      <c r="OT43" s="66"/>
      <c r="OU43" s="66"/>
      <c r="OV43" s="66"/>
      <c r="OW43" s="66"/>
      <c r="OX43" s="66"/>
      <c r="OY43" s="66"/>
      <c r="OZ43" s="66"/>
      <c r="PA43" s="66"/>
      <c r="PB43" s="66"/>
      <c r="PC43" s="66"/>
      <c r="PD43" s="66"/>
      <c r="PE43" s="66"/>
      <c r="PF43" s="66"/>
      <c r="PG43" s="66"/>
      <c r="PH43" s="66"/>
      <c r="PI43" s="66"/>
      <c r="PJ43" s="66"/>
      <c r="PK43" s="66"/>
      <c r="PL43" s="66"/>
      <c r="PM43" s="66"/>
      <c r="PN43" s="66"/>
      <c r="PO43" s="66"/>
      <c r="PP43" s="66"/>
      <c r="PQ43" s="66"/>
      <c r="PR43" s="66"/>
      <c r="PS43" s="66"/>
      <c r="PT43" s="66"/>
      <c r="PU43" s="66"/>
      <c r="PV43" s="66"/>
      <c r="PW43" s="66"/>
      <c r="PX43" s="66"/>
      <c r="PY43" s="66"/>
      <c r="PZ43" s="66"/>
      <c r="QA43" s="66"/>
      <c r="QB43" s="66"/>
      <c r="QC43" s="66"/>
      <c r="QD43" s="66"/>
      <c r="QE43" s="66"/>
      <c r="QF43" s="66"/>
      <c r="QG43" s="66"/>
      <c r="QH43" s="66"/>
      <c r="QI43" s="66"/>
      <c r="QJ43" s="66"/>
      <c r="QK43" s="66"/>
      <c r="QL43" s="66"/>
      <c r="QM43" s="66"/>
      <c r="QN43" s="66"/>
      <c r="QO43" s="66"/>
      <c r="QP43" s="66"/>
      <c r="QQ43" s="66"/>
      <c r="QR43" s="66"/>
      <c r="QS43" s="66"/>
      <c r="QT43" s="66"/>
      <c r="QU43" s="66"/>
      <c r="QV43" s="66"/>
      <c r="QW43" s="66"/>
      <c r="QX43" s="66"/>
      <c r="QY43" s="66"/>
      <c r="QZ43" s="66"/>
      <c r="RA43" s="66"/>
      <c r="RB43" s="66"/>
      <c r="RC43" s="66"/>
      <c r="RD43" s="66"/>
      <c r="RE43" s="66"/>
      <c r="RF43" s="66"/>
      <c r="RG43" s="66"/>
      <c r="RH43" s="66"/>
      <c r="RI43" s="66"/>
      <c r="RJ43" s="66"/>
      <c r="RK43" s="66"/>
      <c r="RL43" s="66"/>
      <c r="RM43" s="66"/>
      <c r="RN43" s="66"/>
      <c r="RO43" s="66"/>
      <c r="RP43" s="66"/>
      <c r="RQ43" s="66"/>
      <c r="RR43" s="66"/>
      <c r="RS43" s="66"/>
      <c r="RT43" s="66"/>
      <c r="RU43" s="66"/>
      <c r="RV43" s="66"/>
      <c r="RW43" s="66"/>
      <c r="RX43" s="66"/>
      <c r="RY43" s="66"/>
      <c r="RZ43" s="66"/>
      <c r="SA43" s="66"/>
      <c r="SB43" s="66"/>
      <c r="SC43" s="66"/>
      <c r="SD43" s="66"/>
      <c r="SE43" s="66"/>
      <c r="SF43" s="66"/>
      <c r="SG43" s="66"/>
      <c r="SH43" s="66"/>
      <c r="SI43" s="66"/>
      <c r="SJ43" s="66"/>
      <c r="SK43" s="66"/>
      <c r="SL43" s="66"/>
      <c r="SM43" s="66"/>
      <c r="SN43" s="66"/>
      <c r="SO43" s="66"/>
      <c r="SP43" s="66"/>
      <c r="SQ43" s="66"/>
      <c r="SR43" s="66"/>
      <c r="SS43" s="66"/>
      <c r="ST43" s="66"/>
      <c r="SU43" s="66"/>
      <c r="SV43" s="66"/>
      <c r="SW43" s="66"/>
      <c r="SX43" s="66"/>
      <c r="SY43" s="66"/>
      <c r="SZ43" s="66"/>
      <c r="TA43" s="66"/>
      <c r="TB43" s="66"/>
      <c r="TC43" s="66"/>
      <c r="TD43" s="66"/>
      <c r="TE43" s="66"/>
      <c r="TF43" s="66"/>
      <c r="TG43" s="66"/>
      <c r="TH43" s="66"/>
      <c r="TI43" s="66"/>
      <c r="TJ43" s="66"/>
      <c r="TK43" s="66"/>
      <c r="TL43" s="66"/>
      <c r="TM43" s="66"/>
      <c r="TN43" s="66"/>
      <c r="TO43" s="66"/>
      <c r="TP43" s="66"/>
      <c r="TQ43" s="66"/>
      <c r="TR43" s="66"/>
      <c r="TS43" s="66"/>
      <c r="TT43" s="66"/>
      <c r="TU43" s="66"/>
      <c r="TV43" s="66"/>
      <c r="TW43" s="66"/>
      <c r="TX43" s="66"/>
      <c r="TY43" s="66"/>
      <c r="TZ43" s="66"/>
      <c r="UA43" s="66"/>
      <c r="UB43" s="66"/>
      <c r="UC43" s="66"/>
      <c r="UD43" s="66"/>
      <c r="UE43" s="66"/>
      <c r="UF43" s="66"/>
      <c r="UG43" s="66"/>
      <c r="UH43" s="66"/>
      <c r="UI43" s="66"/>
      <c r="UJ43" s="66"/>
      <c r="UK43" s="66"/>
      <c r="UL43" s="66"/>
      <c r="UM43" s="66"/>
      <c r="UN43" s="66"/>
      <c r="UO43" s="66"/>
      <c r="UP43" s="66"/>
      <c r="UQ43" s="66"/>
      <c r="UR43" s="66"/>
      <c r="US43" s="66"/>
      <c r="UT43" s="66"/>
      <c r="UU43" s="66"/>
      <c r="UV43" s="66"/>
      <c r="UW43" s="66"/>
      <c r="UX43" s="66"/>
      <c r="UY43" s="66"/>
      <c r="UZ43" s="66"/>
      <c r="VA43" s="66"/>
      <c r="VB43" s="66"/>
      <c r="VC43" s="66"/>
      <c r="VD43" s="66"/>
      <c r="VE43" s="66"/>
      <c r="VF43" s="66"/>
      <c r="VG43" s="66"/>
      <c r="VH43" s="66"/>
      <c r="VI43" s="66"/>
      <c r="VJ43" s="66"/>
      <c r="VK43" s="66"/>
      <c r="VL43" s="66"/>
      <c r="VM43" s="66"/>
      <c r="VN43" s="66"/>
      <c r="VO43" s="66"/>
      <c r="VP43" s="66"/>
      <c r="VQ43" s="66"/>
      <c r="VR43" s="66"/>
      <c r="VS43" s="66"/>
      <c r="VT43" s="66"/>
      <c r="VU43" s="66"/>
      <c r="VV43" s="66"/>
      <c r="VW43" s="66"/>
      <c r="VX43" s="66"/>
      <c r="VY43" s="66"/>
      <c r="VZ43" s="66"/>
      <c r="WA43" s="66"/>
      <c r="WB43" s="66"/>
      <c r="WC43" s="66"/>
      <c r="WD43" s="66"/>
      <c r="WE43" s="66"/>
      <c r="WF43" s="66"/>
      <c r="WG43" s="66"/>
      <c r="WH43" s="66"/>
      <c r="WI43" s="66"/>
      <c r="WJ43" s="66"/>
      <c r="WK43" s="66"/>
      <c r="WL43" s="66"/>
      <c r="WM43" s="66"/>
      <c r="WN43" s="66"/>
      <c r="WO43" s="66"/>
      <c r="WP43" s="66"/>
      <c r="WQ43" s="66"/>
      <c r="WR43" s="66"/>
      <c r="WS43" s="66"/>
      <c r="WT43" s="66"/>
      <c r="WU43" s="66"/>
      <c r="WV43" s="66"/>
      <c r="WW43" s="66"/>
      <c r="WX43" s="66"/>
      <c r="WY43" s="66"/>
      <c r="WZ43" s="66"/>
      <c r="XA43" s="66"/>
      <c r="XB43" s="66"/>
      <c r="XC43" s="66"/>
      <c r="XD43" s="66"/>
      <c r="XE43" s="66"/>
      <c r="XF43" s="66"/>
      <c r="XG43" s="66"/>
      <c r="XH43" s="66"/>
      <c r="XI43" s="66"/>
      <c r="XJ43" s="66"/>
      <c r="XK43" s="66"/>
      <c r="XL43" s="66"/>
      <c r="XM43" s="66"/>
      <c r="XN43" s="66"/>
      <c r="XO43" s="66"/>
      <c r="XP43" s="66"/>
      <c r="XQ43" s="66"/>
      <c r="XR43" s="66"/>
      <c r="XS43" s="66"/>
      <c r="XT43" s="66"/>
      <c r="XU43" s="66"/>
      <c r="XV43" s="66"/>
      <c r="XW43" s="66"/>
      <c r="XX43" s="66"/>
      <c r="XY43" s="66"/>
      <c r="XZ43" s="66"/>
      <c r="YA43" s="66"/>
      <c r="YB43" s="66"/>
      <c r="YC43" s="66"/>
      <c r="YD43" s="66"/>
      <c r="YE43" s="66"/>
      <c r="YF43" s="66"/>
      <c r="YG43" s="66"/>
      <c r="YH43" s="66"/>
      <c r="YI43" s="66"/>
      <c r="YJ43" s="66"/>
      <c r="YK43" s="66"/>
      <c r="YL43" s="66"/>
      <c r="YM43" s="66"/>
      <c r="YN43" s="66"/>
      <c r="YO43" s="66"/>
      <c r="YP43" s="66"/>
      <c r="YQ43" s="66"/>
      <c r="YR43" s="66"/>
      <c r="YS43" s="66"/>
      <c r="YT43" s="66"/>
      <c r="YU43" s="66"/>
      <c r="YV43" s="66"/>
      <c r="YW43" s="66"/>
      <c r="YX43" s="66"/>
      <c r="YY43" s="66"/>
      <c r="YZ43" s="66"/>
      <c r="ZA43" s="66"/>
      <c r="ZB43" s="66"/>
      <c r="ZC43" s="66"/>
      <c r="ZD43" s="66"/>
      <c r="ZE43" s="66"/>
      <c r="ZF43" s="66"/>
      <c r="ZG43" s="66"/>
      <c r="ZH43" s="66"/>
      <c r="ZI43" s="66"/>
      <c r="ZJ43" s="66"/>
      <c r="ZK43" s="66"/>
      <c r="ZL43" s="66"/>
      <c r="ZM43" s="66"/>
      <c r="ZN43" s="66"/>
      <c r="ZO43" s="66"/>
      <c r="ZP43" s="66"/>
      <c r="ZQ43" s="66"/>
      <c r="ZR43" s="66"/>
      <c r="ZS43" s="66"/>
      <c r="ZT43" s="66"/>
      <c r="ZU43" s="66"/>
      <c r="ZV43" s="66"/>
      <c r="ZW43" s="66"/>
      <c r="ZX43" s="66"/>
    </row>
    <row r="44" spans="1:700" s="20" customFormat="1" ht="15.75" x14ac:dyDescent="0.25">
      <c r="A44" s="67"/>
      <c r="B44" s="68"/>
      <c r="C44" s="68"/>
      <c r="D44" s="69"/>
      <c r="E44" s="110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  <c r="CH44" s="66"/>
      <c r="CI44" s="66"/>
      <c r="CJ44" s="66"/>
      <c r="CK44" s="66"/>
      <c r="CL44" s="66"/>
      <c r="CM44" s="66"/>
      <c r="CN44" s="66"/>
      <c r="CO44" s="66"/>
      <c r="CP44" s="66"/>
      <c r="CQ44" s="66"/>
      <c r="CR44" s="66"/>
      <c r="CS44" s="66"/>
      <c r="CT44" s="66"/>
      <c r="CU44" s="66"/>
      <c r="CV44" s="66"/>
      <c r="CW44" s="66"/>
      <c r="CX44" s="66"/>
      <c r="CY44" s="66"/>
      <c r="CZ44" s="66"/>
      <c r="DA44" s="66"/>
      <c r="DB44" s="66"/>
      <c r="DC44" s="66"/>
      <c r="DD44" s="66"/>
      <c r="DE44" s="66"/>
      <c r="DF44" s="66"/>
      <c r="DG44" s="66"/>
      <c r="DH44" s="66"/>
      <c r="DI44" s="66"/>
      <c r="DJ44" s="66"/>
      <c r="DK44" s="66"/>
      <c r="DL44" s="66"/>
      <c r="DM44" s="66"/>
      <c r="DN44" s="66"/>
      <c r="DO44" s="66"/>
      <c r="DP44" s="66"/>
      <c r="DQ44" s="66"/>
      <c r="DR44" s="66"/>
      <c r="DS44" s="66"/>
      <c r="DT44" s="66"/>
      <c r="DU44" s="66"/>
      <c r="DV44" s="66"/>
      <c r="DW44" s="66"/>
      <c r="DX44" s="66"/>
      <c r="DY44" s="66"/>
      <c r="DZ44" s="66"/>
      <c r="EA44" s="66"/>
      <c r="EB44" s="66"/>
      <c r="EC44" s="66"/>
      <c r="ED44" s="66"/>
      <c r="EE44" s="66"/>
      <c r="EF44" s="66"/>
      <c r="EG44" s="66"/>
      <c r="EH44" s="66"/>
      <c r="EI44" s="66"/>
      <c r="EJ44" s="66"/>
      <c r="EK44" s="66"/>
      <c r="EL44" s="66"/>
      <c r="EM44" s="66"/>
      <c r="EN44" s="66"/>
      <c r="EO44" s="66"/>
      <c r="EP44" s="66"/>
      <c r="EQ44" s="66"/>
      <c r="ER44" s="66"/>
      <c r="ES44" s="66"/>
      <c r="ET44" s="66"/>
      <c r="EU44" s="66"/>
      <c r="EV44" s="66"/>
      <c r="EW44" s="66"/>
      <c r="EX44" s="66"/>
      <c r="EY44" s="66"/>
      <c r="EZ44" s="66"/>
      <c r="FA44" s="66"/>
      <c r="FB44" s="66"/>
      <c r="FC44" s="66"/>
      <c r="FD44" s="66"/>
      <c r="FE44" s="66"/>
      <c r="FF44" s="66"/>
      <c r="FG44" s="66"/>
      <c r="FH44" s="66"/>
      <c r="FI44" s="66"/>
      <c r="FJ44" s="66"/>
      <c r="FK44" s="66"/>
      <c r="FL44" s="66"/>
      <c r="FM44" s="66"/>
      <c r="FN44" s="66"/>
      <c r="FO44" s="66"/>
      <c r="FP44" s="66"/>
      <c r="FQ44" s="66"/>
      <c r="FR44" s="66"/>
      <c r="FS44" s="66"/>
      <c r="FT44" s="66"/>
      <c r="FU44" s="66"/>
      <c r="FV44" s="66"/>
      <c r="FW44" s="66"/>
      <c r="FX44" s="66"/>
      <c r="FY44" s="66"/>
      <c r="FZ44" s="66"/>
      <c r="GA44" s="66"/>
      <c r="GB44" s="66"/>
      <c r="GC44" s="66"/>
      <c r="GD44" s="66"/>
      <c r="GE44" s="66"/>
      <c r="GF44" s="66"/>
      <c r="GG44" s="66"/>
      <c r="GH44" s="66"/>
      <c r="GI44" s="66"/>
      <c r="GJ44" s="66"/>
      <c r="GK44" s="66"/>
      <c r="GL44" s="66"/>
      <c r="GM44" s="66"/>
      <c r="GN44" s="66"/>
      <c r="GO44" s="66"/>
      <c r="GP44" s="66"/>
      <c r="GQ44" s="66"/>
      <c r="GR44" s="66"/>
      <c r="GS44" s="66"/>
      <c r="GT44" s="66"/>
      <c r="GU44" s="66"/>
      <c r="GV44" s="66"/>
      <c r="GW44" s="66"/>
      <c r="GX44" s="66"/>
      <c r="GY44" s="66"/>
      <c r="GZ44" s="66"/>
      <c r="HA44" s="66"/>
      <c r="HB44" s="66"/>
      <c r="HC44" s="66"/>
      <c r="HD44" s="66"/>
      <c r="HE44" s="66"/>
      <c r="HF44" s="66"/>
      <c r="HG44" s="66"/>
      <c r="HH44" s="66"/>
      <c r="HI44" s="66"/>
      <c r="HJ44" s="66"/>
      <c r="HK44" s="66"/>
      <c r="HL44" s="66"/>
      <c r="HM44" s="66"/>
      <c r="HN44" s="66"/>
      <c r="HO44" s="66"/>
      <c r="HP44" s="66"/>
      <c r="HQ44" s="66"/>
      <c r="HR44" s="66"/>
      <c r="HS44" s="66"/>
      <c r="HT44" s="66"/>
      <c r="HU44" s="66"/>
      <c r="HV44" s="66"/>
      <c r="HW44" s="66"/>
      <c r="HX44" s="66"/>
      <c r="HY44" s="66"/>
      <c r="HZ44" s="66"/>
      <c r="IA44" s="66"/>
      <c r="IB44" s="66"/>
      <c r="IC44" s="66"/>
      <c r="ID44" s="66"/>
      <c r="IE44" s="66"/>
      <c r="IF44" s="66"/>
      <c r="IG44" s="66"/>
      <c r="IH44" s="66"/>
      <c r="II44" s="66"/>
      <c r="IJ44" s="66"/>
      <c r="IK44" s="66"/>
      <c r="IL44" s="66"/>
      <c r="IM44" s="66"/>
      <c r="IN44" s="66"/>
      <c r="IO44" s="66"/>
      <c r="IP44" s="66"/>
      <c r="IQ44" s="66"/>
      <c r="IR44" s="66"/>
      <c r="IS44" s="66"/>
      <c r="IT44" s="66"/>
      <c r="IU44" s="66"/>
      <c r="IV44" s="66"/>
      <c r="IW44" s="66"/>
      <c r="IX44" s="66"/>
      <c r="IY44" s="66"/>
      <c r="IZ44" s="66"/>
      <c r="JA44" s="66"/>
      <c r="JB44" s="66"/>
      <c r="JC44" s="66"/>
      <c r="JD44" s="66"/>
      <c r="JE44" s="66"/>
      <c r="JF44" s="66"/>
      <c r="JG44" s="66"/>
      <c r="JH44" s="66"/>
      <c r="JI44" s="66"/>
      <c r="JJ44" s="66"/>
      <c r="JK44" s="66"/>
      <c r="JL44" s="66"/>
      <c r="JM44" s="66"/>
      <c r="JN44" s="66"/>
      <c r="JO44" s="66"/>
      <c r="JP44" s="66"/>
      <c r="JQ44" s="66"/>
      <c r="JR44" s="66"/>
      <c r="JS44" s="66"/>
      <c r="JT44" s="66"/>
      <c r="JU44" s="66"/>
      <c r="JV44" s="66"/>
      <c r="JW44" s="66"/>
      <c r="JX44" s="66"/>
      <c r="JY44" s="66"/>
      <c r="JZ44" s="66"/>
      <c r="KA44" s="66"/>
      <c r="KB44" s="66"/>
      <c r="KC44" s="66"/>
      <c r="KD44" s="66"/>
      <c r="KE44" s="66"/>
      <c r="KF44" s="66"/>
      <c r="KG44" s="66"/>
      <c r="KH44" s="66"/>
      <c r="KI44" s="66"/>
      <c r="KJ44" s="66"/>
      <c r="KK44" s="66"/>
      <c r="KL44" s="66"/>
      <c r="KM44" s="66"/>
      <c r="KN44" s="66"/>
      <c r="KO44" s="66"/>
      <c r="KP44" s="66"/>
      <c r="KQ44" s="66"/>
      <c r="KR44" s="66"/>
      <c r="KS44" s="66"/>
      <c r="KT44" s="66"/>
      <c r="KU44" s="66"/>
      <c r="KV44" s="66"/>
      <c r="KW44" s="66"/>
      <c r="KX44" s="66"/>
      <c r="KY44" s="66"/>
      <c r="KZ44" s="66"/>
      <c r="LA44" s="66"/>
      <c r="LB44" s="66"/>
      <c r="LC44" s="66"/>
      <c r="LD44" s="66"/>
      <c r="LE44" s="66"/>
      <c r="LF44" s="66"/>
      <c r="LG44" s="66"/>
      <c r="LH44" s="66"/>
      <c r="LI44" s="66"/>
      <c r="LJ44" s="66"/>
      <c r="LK44" s="66"/>
      <c r="LL44" s="66"/>
      <c r="LM44" s="66"/>
      <c r="LN44" s="66"/>
      <c r="LO44" s="66"/>
      <c r="LP44" s="66"/>
      <c r="LQ44" s="66"/>
      <c r="LR44" s="66"/>
      <c r="LS44" s="66"/>
      <c r="LT44" s="66"/>
      <c r="LU44" s="66"/>
      <c r="LV44" s="66"/>
      <c r="LW44" s="66"/>
      <c r="LX44" s="66"/>
      <c r="LY44" s="66"/>
      <c r="LZ44" s="66"/>
      <c r="MA44" s="66"/>
      <c r="MB44" s="66"/>
      <c r="MC44" s="66"/>
      <c r="MD44" s="66"/>
      <c r="ME44" s="66"/>
      <c r="MF44" s="66"/>
      <c r="MG44" s="66"/>
      <c r="MH44" s="66"/>
      <c r="MI44" s="66"/>
      <c r="MJ44" s="66"/>
      <c r="MK44" s="66"/>
      <c r="ML44" s="66"/>
      <c r="MM44" s="66"/>
      <c r="MN44" s="66"/>
      <c r="MO44" s="66"/>
      <c r="MP44" s="66"/>
      <c r="MQ44" s="66"/>
      <c r="MR44" s="66"/>
      <c r="MS44" s="66"/>
      <c r="MT44" s="66"/>
      <c r="MU44" s="66"/>
      <c r="MV44" s="66"/>
      <c r="MW44" s="66"/>
      <c r="MX44" s="66"/>
      <c r="MY44" s="66"/>
      <c r="MZ44" s="66"/>
      <c r="NA44" s="66"/>
      <c r="NB44" s="66"/>
      <c r="NC44" s="66"/>
      <c r="ND44" s="66"/>
      <c r="NE44" s="66"/>
      <c r="NF44" s="66"/>
      <c r="NG44" s="66"/>
      <c r="NH44" s="66"/>
      <c r="NI44" s="66"/>
      <c r="NJ44" s="66"/>
      <c r="NK44" s="66"/>
      <c r="NL44" s="66"/>
      <c r="NM44" s="66"/>
      <c r="NN44" s="66"/>
      <c r="NO44" s="66"/>
      <c r="NP44" s="66"/>
      <c r="NQ44" s="66"/>
      <c r="NR44" s="66"/>
      <c r="NS44" s="66"/>
      <c r="NT44" s="66"/>
      <c r="NU44" s="66"/>
      <c r="NV44" s="66"/>
      <c r="NW44" s="66"/>
      <c r="NX44" s="66"/>
      <c r="NY44" s="66"/>
      <c r="NZ44" s="66"/>
      <c r="OA44" s="66"/>
      <c r="OB44" s="66"/>
      <c r="OC44" s="66"/>
      <c r="OD44" s="66"/>
      <c r="OE44" s="66"/>
      <c r="OF44" s="66"/>
      <c r="OG44" s="66"/>
      <c r="OH44" s="66"/>
      <c r="OI44" s="66"/>
      <c r="OJ44" s="66"/>
      <c r="OK44" s="66"/>
      <c r="OL44" s="66"/>
      <c r="OM44" s="66"/>
      <c r="ON44" s="66"/>
      <c r="OO44" s="66"/>
      <c r="OP44" s="66"/>
      <c r="OQ44" s="66"/>
      <c r="OR44" s="66"/>
      <c r="OS44" s="66"/>
      <c r="OT44" s="66"/>
      <c r="OU44" s="66"/>
      <c r="OV44" s="66"/>
      <c r="OW44" s="66"/>
      <c r="OX44" s="66"/>
      <c r="OY44" s="66"/>
      <c r="OZ44" s="66"/>
      <c r="PA44" s="66"/>
      <c r="PB44" s="66"/>
      <c r="PC44" s="66"/>
      <c r="PD44" s="66"/>
      <c r="PE44" s="66"/>
      <c r="PF44" s="66"/>
      <c r="PG44" s="66"/>
      <c r="PH44" s="66"/>
      <c r="PI44" s="66"/>
      <c r="PJ44" s="66"/>
      <c r="PK44" s="66"/>
      <c r="PL44" s="66"/>
      <c r="PM44" s="66"/>
      <c r="PN44" s="66"/>
      <c r="PO44" s="66"/>
      <c r="PP44" s="66"/>
      <c r="PQ44" s="66"/>
      <c r="PR44" s="66"/>
      <c r="PS44" s="66"/>
      <c r="PT44" s="66"/>
      <c r="PU44" s="66"/>
      <c r="PV44" s="66"/>
      <c r="PW44" s="66"/>
      <c r="PX44" s="66"/>
      <c r="PY44" s="66"/>
      <c r="PZ44" s="66"/>
      <c r="QA44" s="66"/>
      <c r="QB44" s="66"/>
      <c r="QC44" s="66"/>
      <c r="QD44" s="66"/>
      <c r="QE44" s="66"/>
      <c r="QF44" s="66"/>
      <c r="QG44" s="66"/>
      <c r="QH44" s="66"/>
      <c r="QI44" s="66"/>
      <c r="QJ44" s="66"/>
      <c r="QK44" s="66"/>
      <c r="QL44" s="66"/>
      <c r="QM44" s="66"/>
      <c r="QN44" s="66"/>
      <c r="QO44" s="66"/>
      <c r="QP44" s="66"/>
      <c r="QQ44" s="66"/>
      <c r="QR44" s="66"/>
      <c r="QS44" s="66"/>
      <c r="QT44" s="66"/>
      <c r="QU44" s="66"/>
      <c r="QV44" s="66"/>
      <c r="QW44" s="66"/>
      <c r="QX44" s="66"/>
      <c r="QY44" s="66"/>
      <c r="QZ44" s="66"/>
      <c r="RA44" s="66"/>
      <c r="RB44" s="66"/>
      <c r="RC44" s="66"/>
      <c r="RD44" s="66"/>
      <c r="RE44" s="66"/>
      <c r="RF44" s="66"/>
      <c r="RG44" s="66"/>
      <c r="RH44" s="66"/>
      <c r="RI44" s="66"/>
      <c r="RJ44" s="66"/>
      <c r="RK44" s="66"/>
      <c r="RL44" s="66"/>
      <c r="RM44" s="66"/>
      <c r="RN44" s="66"/>
      <c r="RO44" s="66"/>
      <c r="RP44" s="66"/>
      <c r="RQ44" s="66"/>
      <c r="RR44" s="66"/>
      <c r="RS44" s="66"/>
      <c r="RT44" s="66"/>
      <c r="RU44" s="66"/>
      <c r="RV44" s="66"/>
      <c r="RW44" s="66"/>
      <c r="RX44" s="66"/>
      <c r="RY44" s="66"/>
      <c r="RZ44" s="66"/>
      <c r="SA44" s="66"/>
      <c r="SB44" s="66"/>
      <c r="SC44" s="66"/>
      <c r="SD44" s="66"/>
      <c r="SE44" s="66"/>
      <c r="SF44" s="66"/>
      <c r="SG44" s="66"/>
      <c r="SH44" s="66"/>
      <c r="SI44" s="66"/>
      <c r="SJ44" s="66"/>
      <c r="SK44" s="66"/>
      <c r="SL44" s="66"/>
      <c r="SM44" s="66"/>
      <c r="SN44" s="66"/>
      <c r="SO44" s="66"/>
      <c r="SP44" s="66"/>
      <c r="SQ44" s="66"/>
      <c r="SR44" s="66"/>
      <c r="SS44" s="66"/>
      <c r="ST44" s="66"/>
      <c r="SU44" s="66"/>
      <c r="SV44" s="66"/>
      <c r="SW44" s="66"/>
      <c r="SX44" s="66"/>
      <c r="SY44" s="66"/>
      <c r="SZ44" s="66"/>
      <c r="TA44" s="66"/>
      <c r="TB44" s="66"/>
      <c r="TC44" s="66"/>
      <c r="TD44" s="66"/>
      <c r="TE44" s="66"/>
      <c r="TF44" s="66"/>
      <c r="TG44" s="66"/>
      <c r="TH44" s="66"/>
      <c r="TI44" s="66"/>
      <c r="TJ44" s="66"/>
      <c r="TK44" s="66"/>
      <c r="TL44" s="66"/>
      <c r="TM44" s="66"/>
      <c r="TN44" s="66"/>
      <c r="TO44" s="66"/>
      <c r="TP44" s="66"/>
      <c r="TQ44" s="66"/>
      <c r="TR44" s="66"/>
      <c r="TS44" s="66"/>
      <c r="TT44" s="66"/>
      <c r="TU44" s="66"/>
      <c r="TV44" s="66"/>
      <c r="TW44" s="66"/>
      <c r="TX44" s="66"/>
      <c r="TY44" s="66"/>
      <c r="TZ44" s="66"/>
      <c r="UA44" s="66"/>
      <c r="UB44" s="66"/>
      <c r="UC44" s="66"/>
      <c r="UD44" s="66"/>
      <c r="UE44" s="66"/>
      <c r="UF44" s="66"/>
      <c r="UG44" s="66"/>
      <c r="UH44" s="66"/>
      <c r="UI44" s="66"/>
      <c r="UJ44" s="66"/>
      <c r="UK44" s="66"/>
      <c r="UL44" s="66"/>
      <c r="UM44" s="66"/>
      <c r="UN44" s="66"/>
      <c r="UO44" s="66"/>
      <c r="UP44" s="66"/>
      <c r="UQ44" s="66"/>
      <c r="UR44" s="66"/>
      <c r="US44" s="66"/>
      <c r="UT44" s="66"/>
      <c r="UU44" s="66"/>
      <c r="UV44" s="66"/>
      <c r="UW44" s="66"/>
      <c r="UX44" s="66"/>
      <c r="UY44" s="66"/>
      <c r="UZ44" s="66"/>
      <c r="VA44" s="66"/>
      <c r="VB44" s="66"/>
      <c r="VC44" s="66"/>
      <c r="VD44" s="66"/>
      <c r="VE44" s="66"/>
      <c r="VF44" s="66"/>
      <c r="VG44" s="66"/>
      <c r="VH44" s="66"/>
      <c r="VI44" s="66"/>
      <c r="VJ44" s="66"/>
      <c r="VK44" s="66"/>
      <c r="VL44" s="66"/>
      <c r="VM44" s="66"/>
      <c r="VN44" s="66"/>
      <c r="VO44" s="66"/>
      <c r="VP44" s="66"/>
      <c r="VQ44" s="66"/>
      <c r="VR44" s="66"/>
      <c r="VS44" s="66"/>
      <c r="VT44" s="66"/>
      <c r="VU44" s="66"/>
      <c r="VV44" s="66"/>
      <c r="VW44" s="66"/>
      <c r="VX44" s="66"/>
      <c r="VY44" s="66"/>
      <c r="VZ44" s="66"/>
      <c r="WA44" s="66"/>
      <c r="WB44" s="66"/>
      <c r="WC44" s="66"/>
      <c r="WD44" s="66"/>
      <c r="WE44" s="66"/>
      <c r="WF44" s="66"/>
      <c r="WG44" s="66"/>
      <c r="WH44" s="66"/>
      <c r="WI44" s="66"/>
      <c r="WJ44" s="66"/>
      <c r="WK44" s="66"/>
      <c r="WL44" s="66"/>
      <c r="WM44" s="66"/>
      <c r="WN44" s="66"/>
      <c r="WO44" s="66"/>
      <c r="WP44" s="66"/>
      <c r="WQ44" s="66"/>
      <c r="WR44" s="66"/>
      <c r="WS44" s="66"/>
      <c r="WT44" s="66"/>
      <c r="WU44" s="66"/>
      <c r="WV44" s="66"/>
      <c r="WW44" s="66"/>
      <c r="WX44" s="66"/>
      <c r="WY44" s="66"/>
      <c r="WZ44" s="66"/>
      <c r="XA44" s="66"/>
      <c r="XB44" s="66"/>
      <c r="XC44" s="66"/>
      <c r="XD44" s="66"/>
      <c r="XE44" s="66"/>
      <c r="XF44" s="66"/>
      <c r="XG44" s="66"/>
      <c r="XH44" s="66"/>
      <c r="XI44" s="66"/>
      <c r="XJ44" s="66"/>
      <c r="XK44" s="66"/>
      <c r="XL44" s="66"/>
      <c r="XM44" s="66"/>
      <c r="XN44" s="66"/>
      <c r="XO44" s="66"/>
      <c r="XP44" s="66"/>
      <c r="XQ44" s="66"/>
      <c r="XR44" s="66"/>
      <c r="XS44" s="66"/>
      <c r="XT44" s="66"/>
      <c r="XU44" s="66"/>
      <c r="XV44" s="66"/>
      <c r="XW44" s="66"/>
      <c r="XX44" s="66"/>
      <c r="XY44" s="66"/>
      <c r="XZ44" s="66"/>
      <c r="YA44" s="66"/>
      <c r="YB44" s="66"/>
      <c r="YC44" s="66"/>
      <c r="YD44" s="66"/>
      <c r="YE44" s="66"/>
      <c r="YF44" s="66"/>
      <c r="YG44" s="66"/>
      <c r="YH44" s="66"/>
      <c r="YI44" s="66"/>
      <c r="YJ44" s="66"/>
      <c r="YK44" s="66"/>
      <c r="YL44" s="66"/>
      <c r="YM44" s="66"/>
      <c r="YN44" s="66"/>
      <c r="YO44" s="66"/>
      <c r="YP44" s="66"/>
      <c r="YQ44" s="66"/>
      <c r="YR44" s="66"/>
      <c r="YS44" s="66"/>
      <c r="YT44" s="66"/>
      <c r="YU44" s="66"/>
      <c r="YV44" s="66"/>
      <c r="YW44" s="66"/>
      <c r="YX44" s="66"/>
      <c r="YY44" s="66"/>
      <c r="YZ44" s="66"/>
      <c r="ZA44" s="66"/>
      <c r="ZB44" s="66"/>
      <c r="ZC44" s="66"/>
      <c r="ZD44" s="66"/>
      <c r="ZE44" s="66"/>
      <c r="ZF44" s="66"/>
      <c r="ZG44" s="66"/>
      <c r="ZH44" s="66"/>
      <c r="ZI44" s="66"/>
      <c r="ZJ44" s="66"/>
      <c r="ZK44" s="66"/>
      <c r="ZL44" s="66"/>
      <c r="ZM44" s="66"/>
      <c r="ZN44" s="66"/>
      <c r="ZO44" s="66"/>
      <c r="ZP44" s="66"/>
      <c r="ZQ44" s="66"/>
      <c r="ZR44" s="66"/>
      <c r="ZS44" s="66"/>
      <c r="ZT44" s="66"/>
      <c r="ZU44" s="66"/>
      <c r="ZV44" s="66"/>
      <c r="ZW44" s="66"/>
      <c r="ZX44" s="66"/>
    </row>
    <row r="45" spans="1:700" s="20" customFormat="1" ht="15.75" x14ac:dyDescent="0.25">
      <c r="A45" s="67"/>
      <c r="B45" s="68"/>
      <c r="C45" s="68"/>
      <c r="D45" s="69"/>
      <c r="E45" s="110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  <c r="CH45" s="66"/>
      <c r="CI45" s="66"/>
      <c r="CJ45" s="66"/>
      <c r="CK45" s="66"/>
      <c r="CL45" s="66"/>
      <c r="CM45" s="66"/>
      <c r="CN45" s="66"/>
      <c r="CO45" s="66"/>
      <c r="CP45" s="66"/>
      <c r="CQ45" s="66"/>
      <c r="CR45" s="66"/>
      <c r="CS45" s="66"/>
      <c r="CT45" s="66"/>
      <c r="CU45" s="66"/>
      <c r="CV45" s="66"/>
      <c r="CW45" s="66"/>
      <c r="CX45" s="66"/>
      <c r="CY45" s="66"/>
      <c r="CZ45" s="66"/>
      <c r="DA45" s="66"/>
      <c r="DB45" s="66"/>
      <c r="DC45" s="66"/>
      <c r="DD45" s="66"/>
      <c r="DE45" s="66"/>
      <c r="DF45" s="66"/>
      <c r="DG45" s="66"/>
      <c r="DH45" s="66"/>
      <c r="DI45" s="66"/>
      <c r="DJ45" s="66"/>
      <c r="DK45" s="66"/>
      <c r="DL45" s="66"/>
      <c r="DM45" s="66"/>
      <c r="DN45" s="66"/>
      <c r="DO45" s="66"/>
      <c r="DP45" s="66"/>
      <c r="DQ45" s="66"/>
      <c r="DR45" s="66"/>
      <c r="DS45" s="66"/>
      <c r="DT45" s="66"/>
      <c r="DU45" s="66"/>
      <c r="DV45" s="66"/>
      <c r="DW45" s="66"/>
      <c r="DX45" s="66"/>
      <c r="DY45" s="66"/>
      <c r="DZ45" s="66"/>
      <c r="EA45" s="66"/>
      <c r="EB45" s="66"/>
      <c r="EC45" s="66"/>
      <c r="ED45" s="66"/>
      <c r="EE45" s="66"/>
      <c r="EF45" s="66"/>
      <c r="EG45" s="66"/>
      <c r="EH45" s="66"/>
      <c r="EI45" s="66"/>
      <c r="EJ45" s="66"/>
      <c r="EK45" s="66"/>
      <c r="EL45" s="66"/>
      <c r="EM45" s="66"/>
      <c r="EN45" s="66"/>
      <c r="EO45" s="66"/>
      <c r="EP45" s="66"/>
      <c r="EQ45" s="66"/>
      <c r="ER45" s="66"/>
      <c r="ES45" s="66"/>
      <c r="ET45" s="66"/>
      <c r="EU45" s="66"/>
      <c r="EV45" s="66"/>
      <c r="EW45" s="66"/>
      <c r="EX45" s="66"/>
      <c r="EY45" s="66"/>
      <c r="EZ45" s="66"/>
      <c r="FA45" s="66"/>
      <c r="FB45" s="66"/>
      <c r="FC45" s="66"/>
      <c r="FD45" s="66"/>
      <c r="FE45" s="66"/>
      <c r="FF45" s="66"/>
      <c r="FG45" s="66"/>
      <c r="FH45" s="66"/>
      <c r="FI45" s="66"/>
      <c r="FJ45" s="66"/>
      <c r="FK45" s="66"/>
      <c r="FL45" s="66"/>
      <c r="FM45" s="66"/>
      <c r="FN45" s="66"/>
      <c r="FO45" s="66"/>
      <c r="FP45" s="66"/>
      <c r="FQ45" s="66"/>
      <c r="FR45" s="66"/>
      <c r="FS45" s="66"/>
      <c r="FT45" s="66"/>
      <c r="FU45" s="66"/>
      <c r="FV45" s="66"/>
      <c r="FW45" s="66"/>
      <c r="FX45" s="66"/>
      <c r="FY45" s="66"/>
      <c r="FZ45" s="66"/>
      <c r="GA45" s="66"/>
      <c r="GB45" s="66"/>
      <c r="GC45" s="66"/>
      <c r="GD45" s="66"/>
      <c r="GE45" s="66"/>
      <c r="GF45" s="66"/>
      <c r="GG45" s="66"/>
      <c r="GH45" s="66"/>
      <c r="GI45" s="66"/>
      <c r="GJ45" s="66"/>
      <c r="GK45" s="66"/>
      <c r="GL45" s="66"/>
      <c r="GM45" s="66"/>
      <c r="GN45" s="66"/>
      <c r="GO45" s="66"/>
      <c r="GP45" s="66"/>
      <c r="GQ45" s="66"/>
      <c r="GR45" s="66"/>
      <c r="GS45" s="66"/>
      <c r="GT45" s="66"/>
      <c r="GU45" s="66"/>
      <c r="GV45" s="66"/>
      <c r="GW45" s="66"/>
      <c r="GX45" s="66"/>
      <c r="GY45" s="66"/>
      <c r="GZ45" s="66"/>
      <c r="HA45" s="66"/>
      <c r="HB45" s="66"/>
      <c r="HC45" s="66"/>
      <c r="HD45" s="66"/>
      <c r="HE45" s="66"/>
      <c r="HF45" s="66"/>
      <c r="HG45" s="66"/>
      <c r="HH45" s="66"/>
      <c r="HI45" s="66"/>
      <c r="HJ45" s="66"/>
      <c r="HK45" s="66"/>
      <c r="HL45" s="66"/>
      <c r="HM45" s="66"/>
      <c r="HN45" s="66"/>
      <c r="HO45" s="66"/>
      <c r="HP45" s="66"/>
      <c r="HQ45" s="66"/>
      <c r="HR45" s="66"/>
      <c r="HS45" s="66"/>
      <c r="HT45" s="66"/>
      <c r="HU45" s="66"/>
      <c r="HV45" s="66"/>
      <c r="HW45" s="66"/>
      <c r="HX45" s="66"/>
      <c r="HY45" s="66"/>
      <c r="HZ45" s="66"/>
      <c r="IA45" s="66"/>
      <c r="IB45" s="66"/>
      <c r="IC45" s="66"/>
      <c r="ID45" s="66"/>
      <c r="IE45" s="66"/>
      <c r="IF45" s="66"/>
      <c r="IG45" s="66"/>
      <c r="IH45" s="66"/>
      <c r="II45" s="66"/>
      <c r="IJ45" s="66"/>
      <c r="IK45" s="66"/>
      <c r="IL45" s="66"/>
      <c r="IM45" s="66"/>
      <c r="IN45" s="66"/>
      <c r="IO45" s="66"/>
      <c r="IP45" s="66"/>
      <c r="IQ45" s="66"/>
      <c r="IR45" s="66"/>
      <c r="IS45" s="66"/>
      <c r="IT45" s="66"/>
      <c r="IU45" s="66"/>
      <c r="IV45" s="66"/>
      <c r="IW45" s="66"/>
      <c r="IX45" s="66"/>
      <c r="IY45" s="66"/>
      <c r="IZ45" s="66"/>
      <c r="JA45" s="66"/>
      <c r="JB45" s="66"/>
      <c r="JC45" s="66"/>
      <c r="JD45" s="66"/>
      <c r="JE45" s="66"/>
      <c r="JF45" s="66"/>
      <c r="JG45" s="66"/>
      <c r="JH45" s="66"/>
      <c r="JI45" s="66"/>
      <c r="JJ45" s="66"/>
      <c r="JK45" s="66"/>
      <c r="JL45" s="66"/>
      <c r="JM45" s="66"/>
      <c r="JN45" s="66"/>
      <c r="JO45" s="66"/>
      <c r="JP45" s="66"/>
      <c r="JQ45" s="66"/>
      <c r="JR45" s="66"/>
      <c r="JS45" s="66"/>
      <c r="JT45" s="66"/>
      <c r="JU45" s="66"/>
      <c r="JV45" s="66"/>
      <c r="JW45" s="66"/>
      <c r="JX45" s="66"/>
      <c r="JY45" s="66"/>
      <c r="JZ45" s="66"/>
      <c r="KA45" s="66"/>
      <c r="KB45" s="66"/>
      <c r="KC45" s="66"/>
      <c r="KD45" s="66"/>
      <c r="KE45" s="66"/>
      <c r="KF45" s="66"/>
      <c r="KG45" s="66"/>
      <c r="KH45" s="66"/>
      <c r="KI45" s="66"/>
      <c r="KJ45" s="66"/>
      <c r="KK45" s="66"/>
      <c r="KL45" s="66"/>
      <c r="KM45" s="66"/>
      <c r="KN45" s="66"/>
      <c r="KO45" s="66"/>
      <c r="KP45" s="66"/>
      <c r="KQ45" s="66"/>
      <c r="KR45" s="66"/>
      <c r="KS45" s="66"/>
      <c r="KT45" s="66"/>
      <c r="KU45" s="66"/>
      <c r="KV45" s="66"/>
      <c r="KW45" s="66"/>
      <c r="KX45" s="66"/>
      <c r="KY45" s="66"/>
      <c r="KZ45" s="66"/>
      <c r="LA45" s="66"/>
      <c r="LB45" s="66"/>
      <c r="LC45" s="66"/>
      <c r="LD45" s="66"/>
      <c r="LE45" s="66"/>
      <c r="LF45" s="66"/>
      <c r="LG45" s="66"/>
      <c r="LH45" s="66"/>
      <c r="LI45" s="66"/>
      <c r="LJ45" s="66"/>
      <c r="LK45" s="66"/>
      <c r="LL45" s="66"/>
      <c r="LM45" s="66"/>
      <c r="LN45" s="66"/>
      <c r="LO45" s="66"/>
      <c r="LP45" s="66"/>
      <c r="LQ45" s="66"/>
      <c r="LR45" s="66"/>
      <c r="LS45" s="66"/>
      <c r="LT45" s="66"/>
      <c r="LU45" s="66"/>
      <c r="LV45" s="66"/>
      <c r="LW45" s="66"/>
      <c r="LX45" s="66"/>
      <c r="LY45" s="66"/>
      <c r="LZ45" s="66"/>
      <c r="MA45" s="66"/>
      <c r="MB45" s="66"/>
      <c r="MC45" s="66"/>
      <c r="MD45" s="66"/>
      <c r="ME45" s="66"/>
      <c r="MF45" s="66"/>
      <c r="MG45" s="66"/>
      <c r="MH45" s="66"/>
      <c r="MI45" s="66"/>
      <c r="MJ45" s="66"/>
      <c r="MK45" s="66"/>
      <c r="ML45" s="66"/>
      <c r="MM45" s="66"/>
      <c r="MN45" s="66"/>
      <c r="MO45" s="66"/>
      <c r="MP45" s="66"/>
      <c r="MQ45" s="66"/>
      <c r="MR45" s="66"/>
      <c r="MS45" s="66"/>
      <c r="MT45" s="66"/>
      <c r="MU45" s="66"/>
      <c r="MV45" s="66"/>
      <c r="MW45" s="66"/>
      <c r="MX45" s="66"/>
      <c r="MY45" s="66"/>
      <c r="MZ45" s="66"/>
      <c r="NA45" s="66"/>
      <c r="NB45" s="66"/>
      <c r="NC45" s="66"/>
      <c r="ND45" s="66"/>
      <c r="NE45" s="66"/>
      <c r="NF45" s="66"/>
      <c r="NG45" s="66"/>
      <c r="NH45" s="66"/>
      <c r="NI45" s="66"/>
      <c r="NJ45" s="66"/>
      <c r="NK45" s="66"/>
      <c r="NL45" s="66"/>
      <c r="NM45" s="66"/>
      <c r="NN45" s="66"/>
      <c r="NO45" s="66"/>
      <c r="NP45" s="66"/>
      <c r="NQ45" s="66"/>
      <c r="NR45" s="66"/>
      <c r="NS45" s="66"/>
      <c r="NT45" s="66"/>
      <c r="NU45" s="66"/>
      <c r="NV45" s="66"/>
      <c r="NW45" s="66"/>
      <c r="NX45" s="66"/>
      <c r="NY45" s="66"/>
      <c r="NZ45" s="66"/>
      <c r="OA45" s="66"/>
      <c r="OB45" s="66"/>
      <c r="OC45" s="66"/>
      <c r="OD45" s="66"/>
      <c r="OE45" s="66"/>
      <c r="OF45" s="66"/>
      <c r="OG45" s="66"/>
      <c r="OH45" s="66"/>
      <c r="OI45" s="66"/>
      <c r="OJ45" s="66"/>
      <c r="OK45" s="66"/>
      <c r="OL45" s="66"/>
      <c r="OM45" s="66"/>
      <c r="ON45" s="66"/>
      <c r="OO45" s="66"/>
      <c r="OP45" s="66"/>
      <c r="OQ45" s="66"/>
      <c r="OR45" s="66"/>
      <c r="OS45" s="66"/>
      <c r="OT45" s="66"/>
      <c r="OU45" s="66"/>
      <c r="OV45" s="66"/>
      <c r="OW45" s="66"/>
      <c r="OX45" s="66"/>
      <c r="OY45" s="66"/>
      <c r="OZ45" s="66"/>
      <c r="PA45" s="66"/>
      <c r="PB45" s="66"/>
      <c r="PC45" s="66"/>
      <c r="PD45" s="66"/>
      <c r="PE45" s="66"/>
      <c r="PF45" s="66"/>
      <c r="PG45" s="66"/>
      <c r="PH45" s="66"/>
      <c r="PI45" s="66"/>
      <c r="PJ45" s="66"/>
      <c r="PK45" s="66"/>
      <c r="PL45" s="66"/>
      <c r="PM45" s="66"/>
      <c r="PN45" s="66"/>
      <c r="PO45" s="66"/>
      <c r="PP45" s="66"/>
      <c r="PQ45" s="66"/>
      <c r="PR45" s="66"/>
      <c r="PS45" s="66"/>
      <c r="PT45" s="66"/>
      <c r="PU45" s="66"/>
      <c r="PV45" s="66"/>
      <c r="PW45" s="66"/>
      <c r="PX45" s="66"/>
      <c r="PY45" s="66"/>
      <c r="PZ45" s="66"/>
      <c r="QA45" s="66"/>
      <c r="QB45" s="66"/>
      <c r="QC45" s="66"/>
      <c r="QD45" s="66"/>
      <c r="QE45" s="66"/>
      <c r="QF45" s="66"/>
      <c r="QG45" s="66"/>
      <c r="QH45" s="66"/>
      <c r="QI45" s="66"/>
      <c r="QJ45" s="66"/>
      <c r="QK45" s="66"/>
      <c r="QL45" s="66"/>
      <c r="QM45" s="66"/>
      <c r="QN45" s="66"/>
      <c r="QO45" s="66"/>
      <c r="QP45" s="66"/>
      <c r="QQ45" s="66"/>
      <c r="QR45" s="66"/>
      <c r="QS45" s="66"/>
      <c r="QT45" s="66"/>
      <c r="QU45" s="66"/>
      <c r="QV45" s="66"/>
      <c r="QW45" s="66"/>
      <c r="QX45" s="66"/>
      <c r="QY45" s="66"/>
      <c r="QZ45" s="66"/>
      <c r="RA45" s="66"/>
      <c r="RB45" s="66"/>
      <c r="RC45" s="66"/>
      <c r="RD45" s="66"/>
      <c r="RE45" s="66"/>
      <c r="RF45" s="66"/>
      <c r="RG45" s="66"/>
      <c r="RH45" s="66"/>
      <c r="RI45" s="66"/>
      <c r="RJ45" s="66"/>
      <c r="RK45" s="66"/>
      <c r="RL45" s="66"/>
      <c r="RM45" s="66"/>
      <c r="RN45" s="66"/>
      <c r="RO45" s="66"/>
      <c r="RP45" s="66"/>
      <c r="RQ45" s="66"/>
      <c r="RR45" s="66"/>
      <c r="RS45" s="66"/>
      <c r="RT45" s="66"/>
      <c r="RU45" s="66"/>
      <c r="RV45" s="66"/>
      <c r="RW45" s="66"/>
      <c r="RX45" s="66"/>
      <c r="RY45" s="66"/>
      <c r="RZ45" s="66"/>
      <c r="SA45" s="66"/>
      <c r="SB45" s="66"/>
      <c r="SC45" s="66"/>
      <c r="SD45" s="66"/>
      <c r="SE45" s="66"/>
      <c r="SF45" s="66"/>
      <c r="SG45" s="66"/>
      <c r="SH45" s="66"/>
      <c r="SI45" s="66"/>
      <c r="SJ45" s="66"/>
      <c r="SK45" s="66"/>
      <c r="SL45" s="66"/>
      <c r="SM45" s="66"/>
      <c r="SN45" s="66"/>
      <c r="SO45" s="66"/>
      <c r="SP45" s="66"/>
      <c r="SQ45" s="66"/>
      <c r="SR45" s="66"/>
      <c r="SS45" s="66"/>
      <c r="ST45" s="66"/>
      <c r="SU45" s="66"/>
      <c r="SV45" s="66"/>
      <c r="SW45" s="66"/>
      <c r="SX45" s="66"/>
      <c r="SY45" s="66"/>
      <c r="SZ45" s="66"/>
      <c r="TA45" s="66"/>
      <c r="TB45" s="66"/>
      <c r="TC45" s="66"/>
      <c r="TD45" s="66"/>
      <c r="TE45" s="66"/>
      <c r="TF45" s="66"/>
      <c r="TG45" s="66"/>
      <c r="TH45" s="66"/>
      <c r="TI45" s="66"/>
      <c r="TJ45" s="66"/>
      <c r="TK45" s="66"/>
      <c r="TL45" s="66"/>
      <c r="TM45" s="66"/>
      <c r="TN45" s="66"/>
      <c r="TO45" s="66"/>
      <c r="TP45" s="66"/>
      <c r="TQ45" s="66"/>
      <c r="TR45" s="66"/>
      <c r="TS45" s="66"/>
      <c r="TT45" s="66"/>
      <c r="TU45" s="66"/>
      <c r="TV45" s="66"/>
      <c r="TW45" s="66"/>
      <c r="TX45" s="66"/>
      <c r="TY45" s="66"/>
      <c r="TZ45" s="66"/>
      <c r="UA45" s="66"/>
      <c r="UB45" s="66"/>
      <c r="UC45" s="66"/>
      <c r="UD45" s="66"/>
      <c r="UE45" s="66"/>
      <c r="UF45" s="66"/>
      <c r="UG45" s="66"/>
      <c r="UH45" s="66"/>
      <c r="UI45" s="66"/>
      <c r="UJ45" s="66"/>
      <c r="UK45" s="66"/>
      <c r="UL45" s="66"/>
      <c r="UM45" s="66"/>
      <c r="UN45" s="66"/>
      <c r="UO45" s="66"/>
      <c r="UP45" s="66"/>
      <c r="UQ45" s="66"/>
      <c r="UR45" s="66"/>
      <c r="US45" s="66"/>
      <c r="UT45" s="66"/>
      <c r="UU45" s="66"/>
      <c r="UV45" s="66"/>
      <c r="UW45" s="66"/>
      <c r="UX45" s="66"/>
      <c r="UY45" s="66"/>
      <c r="UZ45" s="66"/>
      <c r="VA45" s="66"/>
      <c r="VB45" s="66"/>
      <c r="VC45" s="66"/>
      <c r="VD45" s="66"/>
      <c r="VE45" s="66"/>
      <c r="VF45" s="66"/>
      <c r="VG45" s="66"/>
      <c r="VH45" s="66"/>
      <c r="VI45" s="66"/>
      <c r="VJ45" s="66"/>
      <c r="VK45" s="66"/>
      <c r="VL45" s="66"/>
      <c r="VM45" s="66"/>
      <c r="VN45" s="66"/>
      <c r="VO45" s="66"/>
      <c r="VP45" s="66"/>
      <c r="VQ45" s="66"/>
      <c r="VR45" s="66"/>
      <c r="VS45" s="66"/>
      <c r="VT45" s="66"/>
      <c r="VU45" s="66"/>
      <c r="VV45" s="66"/>
      <c r="VW45" s="66"/>
      <c r="VX45" s="66"/>
      <c r="VY45" s="66"/>
      <c r="VZ45" s="66"/>
      <c r="WA45" s="66"/>
      <c r="WB45" s="66"/>
      <c r="WC45" s="66"/>
      <c r="WD45" s="66"/>
      <c r="WE45" s="66"/>
      <c r="WF45" s="66"/>
      <c r="WG45" s="66"/>
      <c r="WH45" s="66"/>
      <c r="WI45" s="66"/>
      <c r="WJ45" s="66"/>
      <c r="WK45" s="66"/>
      <c r="WL45" s="66"/>
      <c r="WM45" s="66"/>
      <c r="WN45" s="66"/>
      <c r="WO45" s="66"/>
      <c r="WP45" s="66"/>
      <c r="WQ45" s="66"/>
      <c r="WR45" s="66"/>
      <c r="WS45" s="66"/>
      <c r="WT45" s="66"/>
      <c r="WU45" s="66"/>
      <c r="WV45" s="66"/>
      <c r="WW45" s="66"/>
      <c r="WX45" s="66"/>
      <c r="WY45" s="66"/>
      <c r="WZ45" s="66"/>
      <c r="XA45" s="66"/>
      <c r="XB45" s="66"/>
      <c r="XC45" s="66"/>
      <c r="XD45" s="66"/>
      <c r="XE45" s="66"/>
      <c r="XF45" s="66"/>
      <c r="XG45" s="66"/>
      <c r="XH45" s="66"/>
      <c r="XI45" s="66"/>
      <c r="XJ45" s="66"/>
      <c r="XK45" s="66"/>
      <c r="XL45" s="66"/>
      <c r="XM45" s="66"/>
      <c r="XN45" s="66"/>
      <c r="XO45" s="66"/>
      <c r="XP45" s="66"/>
      <c r="XQ45" s="66"/>
      <c r="XR45" s="66"/>
      <c r="XS45" s="66"/>
      <c r="XT45" s="66"/>
      <c r="XU45" s="66"/>
      <c r="XV45" s="66"/>
      <c r="XW45" s="66"/>
      <c r="XX45" s="66"/>
      <c r="XY45" s="66"/>
      <c r="XZ45" s="66"/>
      <c r="YA45" s="66"/>
      <c r="YB45" s="66"/>
      <c r="YC45" s="66"/>
      <c r="YD45" s="66"/>
      <c r="YE45" s="66"/>
      <c r="YF45" s="66"/>
      <c r="YG45" s="66"/>
      <c r="YH45" s="66"/>
      <c r="YI45" s="66"/>
      <c r="YJ45" s="66"/>
      <c r="YK45" s="66"/>
      <c r="YL45" s="66"/>
      <c r="YM45" s="66"/>
      <c r="YN45" s="66"/>
      <c r="YO45" s="66"/>
      <c r="YP45" s="66"/>
      <c r="YQ45" s="66"/>
      <c r="YR45" s="66"/>
      <c r="YS45" s="66"/>
      <c r="YT45" s="66"/>
      <c r="YU45" s="66"/>
      <c r="YV45" s="66"/>
      <c r="YW45" s="66"/>
      <c r="YX45" s="66"/>
      <c r="YY45" s="66"/>
      <c r="YZ45" s="66"/>
      <c r="ZA45" s="66"/>
      <c r="ZB45" s="66"/>
      <c r="ZC45" s="66"/>
      <c r="ZD45" s="66"/>
      <c r="ZE45" s="66"/>
      <c r="ZF45" s="66"/>
      <c r="ZG45" s="66"/>
      <c r="ZH45" s="66"/>
      <c r="ZI45" s="66"/>
      <c r="ZJ45" s="66"/>
      <c r="ZK45" s="66"/>
      <c r="ZL45" s="66"/>
      <c r="ZM45" s="66"/>
      <c r="ZN45" s="66"/>
      <c r="ZO45" s="66"/>
      <c r="ZP45" s="66"/>
      <c r="ZQ45" s="66"/>
      <c r="ZR45" s="66"/>
      <c r="ZS45" s="66"/>
      <c r="ZT45" s="66"/>
      <c r="ZU45" s="66"/>
      <c r="ZV45" s="66"/>
      <c r="ZW45" s="66"/>
      <c r="ZX45" s="66"/>
    </row>
    <row r="46" spans="1:700" s="20" customFormat="1" ht="15.75" x14ac:dyDescent="0.25">
      <c r="A46" s="70"/>
      <c r="B46" s="71"/>
      <c r="C46" s="71"/>
      <c r="D46" s="109"/>
      <c r="E46" s="111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  <c r="CH46" s="66"/>
      <c r="CI46" s="66"/>
      <c r="CJ46" s="66"/>
      <c r="CK46" s="66"/>
      <c r="CL46" s="66"/>
      <c r="CM46" s="66"/>
      <c r="CN46" s="66"/>
      <c r="CO46" s="66"/>
      <c r="CP46" s="66"/>
      <c r="CQ46" s="66"/>
      <c r="CR46" s="66"/>
      <c r="CS46" s="66"/>
      <c r="CT46" s="66"/>
      <c r="CU46" s="66"/>
      <c r="CV46" s="66"/>
      <c r="CW46" s="66"/>
      <c r="CX46" s="66"/>
      <c r="CY46" s="66"/>
      <c r="CZ46" s="66"/>
      <c r="DA46" s="66"/>
      <c r="DB46" s="66"/>
      <c r="DC46" s="66"/>
      <c r="DD46" s="66"/>
      <c r="DE46" s="66"/>
      <c r="DF46" s="66"/>
      <c r="DG46" s="66"/>
      <c r="DH46" s="66"/>
      <c r="DI46" s="66"/>
      <c r="DJ46" s="66"/>
      <c r="DK46" s="66"/>
      <c r="DL46" s="66"/>
      <c r="DM46" s="66"/>
      <c r="DN46" s="66"/>
      <c r="DO46" s="66"/>
      <c r="DP46" s="66"/>
      <c r="DQ46" s="66"/>
      <c r="DR46" s="66"/>
      <c r="DS46" s="66"/>
      <c r="DT46" s="66"/>
      <c r="DU46" s="66"/>
      <c r="DV46" s="66"/>
      <c r="DW46" s="66"/>
      <c r="DX46" s="66"/>
      <c r="DY46" s="66"/>
      <c r="DZ46" s="66"/>
      <c r="EA46" s="66"/>
      <c r="EB46" s="66"/>
      <c r="EC46" s="66"/>
      <c r="ED46" s="66"/>
      <c r="EE46" s="66"/>
      <c r="EF46" s="66"/>
      <c r="EG46" s="66"/>
      <c r="EH46" s="66"/>
      <c r="EI46" s="66"/>
      <c r="EJ46" s="66"/>
      <c r="EK46" s="66"/>
      <c r="EL46" s="66"/>
      <c r="EM46" s="66"/>
      <c r="EN46" s="66"/>
      <c r="EO46" s="66"/>
      <c r="EP46" s="66"/>
      <c r="EQ46" s="66"/>
      <c r="ER46" s="66"/>
      <c r="ES46" s="66"/>
      <c r="ET46" s="66"/>
      <c r="EU46" s="66"/>
      <c r="EV46" s="66"/>
      <c r="EW46" s="66"/>
      <c r="EX46" s="66"/>
      <c r="EY46" s="66"/>
      <c r="EZ46" s="66"/>
      <c r="FA46" s="66"/>
      <c r="FB46" s="66"/>
      <c r="FC46" s="66"/>
      <c r="FD46" s="66"/>
      <c r="FE46" s="66"/>
      <c r="FF46" s="66"/>
      <c r="FG46" s="66"/>
      <c r="FH46" s="66"/>
      <c r="FI46" s="66"/>
      <c r="FJ46" s="66"/>
      <c r="FK46" s="66"/>
      <c r="FL46" s="66"/>
      <c r="FM46" s="66"/>
      <c r="FN46" s="66"/>
      <c r="FO46" s="66"/>
      <c r="FP46" s="66"/>
      <c r="FQ46" s="66"/>
      <c r="FR46" s="66"/>
      <c r="FS46" s="66"/>
      <c r="FT46" s="66"/>
      <c r="FU46" s="66"/>
      <c r="FV46" s="66"/>
      <c r="FW46" s="66"/>
      <c r="FX46" s="66"/>
      <c r="FY46" s="66"/>
      <c r="FZ46" s="66"/>
      <c r="GA46" s="66"/>
      <c r="GB46" s="66"/>
      <c r="GC46" s="66"/>
      <c r="GD46" s="66"/>
      <c r="GE46" s="66"/>
      <c r="GF46" s="66"/>
      <c r="GG46" s="66"/>
      <c r="GH46" s="66"/>
      <c r="GI46" s="66"/>
      <c r="GJ46" s="66"/>
      <c r="GK46" s="66"/>
      <c r="GL46" s="66"/>
      <c r="GM46" s="66"/>
      <c r="GN46" s="66"/>
      <c r="GO46" s="66"/>
      <c r="GP46" s="66"/>
      <c r="GQ46" s="66"/>
      <c r="GR46" s="66"/>
      <c r="GS46" s="66"/>
      <c r="GT46" s="66"/>
      <c r="GU46" s="66"/>
      <c r="GV46" s="66"/>
      <c r="GW46" s="66"/>
      <c r="GX46" s="66"/>
      <c r="GY46" s="66"/>
      <c r="GZ46" s="66"/>
      <c r="HA46" s="66"/>
      <c r="HB46" s="66"/>
      <c r="HC46" s="66"/>
      <c r="HD46" s="66"/>
      <c r="HE46" s="66"/>
      <c r="HF46" s="66"/>
      <c r="HG46" s="66"/>
      <c r="HH46" s="66"/>
      <c r="HI46" s="66"/>
      <c r="HJ46" s="66"/>
      <c r="HK46" s="66"/>
      <c r="HL46" s="66"/>
      <c r="HM46" s="66"/>
      <c r="HN46" s="66"/>
      <c r="HO46" s="66"/>
      <c r="HP46" s="66"/>
      <c r="HQ46" s="66"/>
      <c r="HR46" s="66"/>
      <c r="HS46" s="66"/>
      <c r="HT46" s="66"/>
      <c r="HU46" s="66"/>
      <c r="HV46" s="66"/>
      <c r="HW46" s="66"/>
      <c r="HX46" s="66"/>
      <c r="HY46" s="66"/>
      <c r="HZ46" s="66"/>
      <c r="IA46" s="66"/>
      <c r="IB46" s="66"/>
      <c r="IC46" s="66"/>
      <c r="ID46" s="66"/>
      <c r="IE46" s="66"/>
      <c r="IF46" s="66"/>
      <c r="IG46" s="66"/>
      <c r="IH46" s="66"/>
      <c r="II46" s="66"/>
      <c r="IJ46" s="66"/>
      <c r="IK46" s="66"/>
      <c r="IL46" s="66"/>
      <c r="IM46" s="66"/>
      <c r="IN46" s="66"/>
      <c r="IO46" s="66"/>
      <c r="IP46" s="66"/>
      <c r="IQ46" s="66"/>
      <c r="IR46" s="66"/>
      <c r="IS46" s="66"/>
      <c r="IT46" s="66"/>
      <c r="IU46" s="66"/>
      <c r="IV46" s="66"/>
      <c r="IW46" s="66"/>
      <c r="IX46" s="66"/>
      <c r="IY46" s="66"/>
      <c r="IZ46" s="66"/>
      <c r="JA46" s="66"/>
      <c r="JB46" s="66"/>
      <c r="JC46" s="66"/>
      <c r="JD46" s="66"/>
      <c r="JE46" s="66"/>
      <c r="JF46" s="66"/>
      <c r="JG46" s="66"/>
      <c r="JH46" s="66"/>
      <c r="JI46" s="66"/>
      <c r="JJ46" s="66"/>
      <c r="JK46" s="66"/>
      <c r="JL46" s="66"/>
      <c r="JM46" s="66"/>
      <c r="JN46" s="66"/>
      <c r="JO46" s="66"/>
      <c r="JP46" s="66"/>
      <c r="JQ46" s="66"/>
      <c r="JR46" s="66"/>
      <c r="JS46" s="66"/>
      <c r="JT46" s="66"/>
      <c r="JU46" s="66"/>
      <c r="JV46" s="66"/>
      <c r="JW46" s="66"/>
      <c r="JX46" s="66"/>
      <c r="JY46" s="66"/>
      <c r="JZ46" s="66"/>
      <c r="KA46" s="66"/>
      <c r="KB46" s="66"/>
      <c r="KC46" s="66"/>
      <c r="KD46" s="66"/>
      <c r="KE46" s="66"/>
      <c r="KF46" s="66"/>
      <c r="KG46" s="66"/>
      <c r="KH46" s="66"/>
      <c r="KI46" s="66"/>
      <c r="KJ46" s="66"/>
      <c r="KK46" s="66"/>
      <c r="KL46" s="66"/>
      <c r="KM46" s="66"/>
      <c r="KN46" s="66"/>
      <c r="KO46" s="66"/>
      <c r="KP46" s="66"/>
      <c r="KQ46" s="66"/>
      <c r="KR46" s="66"/>
      <c r="KS46" s="66"/>
      <c r="KT46" s="66"/>
      <c r="KU46" s="66"/>
      <c r="KV46" s="66"/>
      <c r="KW46" s="66"/>
      <c r="KX46" s="66"/>
      <c r="KY46" s="66"/>
      <c r="KZ46" s="66"/>
      <c r="LA46" s="66"/>
      <c r="LB46" s="66"/>
      <c r="LC46" s="66"/>
      <c r="LD46" s="66"/>
      <c r="LE46" s="66"/>
      <c r="LF46" s="66"/>
      <c r="LG46" s="66"/>
      <c r="LH46" s="66"/>
      <c r="LI46" s="66"/>
      <c r="LJ46" s="66"/>
      <c r="LK46" s="66"/>
      <c r="LL46" s="66"/>
      <c r="LM46" s="66"/>
      <c r="LN46" s="66"/>
      <c r="LO46" s="66"/>
      <c r="LP46" s="66"/>
      <c r="LQ46" s="66"/>
      <c r="LR46" s="66"/>
      <c r="LS46" s="66"/>
      <c r="LT46" s="66"/>
      <c r="LU46" s="66"/>
      <c r="LV46" s="66"/>
      <c r="LW46" s="66"/>
      <c r="LX46" s="66"/>
      <c r="LY46" s="66"/>
      <c r="LZ46" s="66"/>
      <c r="MA46" s="66"/>
      <c r="MB46" s="66"/>
      <c r="MC46" s="66"/>
      <c r="MD46" s="66"/>
      <c r="ME46" s="66"/>
      <c r="MF46" s="66"/>
      <c r="MG46" s="66"/>
      <c r="MH46" s="66"/>
      <c r="MI46" s="66"/>
      <c r="MJ46" s="66"/>
      <c r="MK46" s="66"/>
      <c r="ML46" s="66"/>
      <c r="MM46" s="66"/>
      <c r="MN46" s="66"/>
      <c r="MO46" s="66"/>
      <c r="MP46" s="66"/>
      <c r="MQ46" s="66"/>
      <c r="MR46" s="66"/>
      <c r="MS46" s="66"/>
      <c r="MT46" s="66"/>
      <c r="MU46" s="66"/>
      <c r="MV46" s="66"/>
      <c r="MW46" s="66"/>
      <c r="MX46" s="66"/>
      <c r="MY46" s="66"/>
      <c r="MZ46" s="66"/>
      <c r="NA46" s="66"/>
      <c r="NB46" s="66"/>
      <c r="NC46" s="66"/>
      <c r="ND46" s="66"/>
      <c r="NE46" s="66"/>
      <c r="NF46" s="66"/>
      <c r="NG46" s="66"/>
      <c r="NH46" s="66"/>
      <c r="NI46" s="66"/>
      <c r="NJ46" s="66"/>
      <c r="NK46" s="66"/>
      <c r="NL46" s="66"/>
      <c r="NM46" s="66"/>
      <c r="NN46" s="66"/>
      <c r="NO46" s="66"/>
      <c r="NP46" s="66"/>
      <c r="NQ46" s="66"/>
      <c r="NR46" s="66"/>
      <c r="NS46" s="66"/>
      <c r="NT46" s="66"/>
      <c r="NU46" s="66"/>
      <c r="NV46" s="66"/>
      <c r="NW46" s="66"/>
      <c r="NX46" s="66"/>
      <c r="NY46" s="66"/>
      <c r="NZ46" s="66"/>
      <c r="OA46" s="66"/>
      <c r="OB46" s="66"/>
      <c r="OC46" s="66"/>
      <c r="OD46" s="66"/>
      <c r="OE46" s="66"/>
      <c r="OF46" s="66"/>
      <c r="OG46" s="66"/>
      <c r="OH46" s="66"/>
      <c r="OI46" s="66"/>
      <c r="OJ46" s="66"/>
      <c r="OK46" s="66"/>
      <c r="OL46" s="66"/>
      <c r="OM46" s="66"/>
      <c r="ON46" s="66"/>
      <c r="OO46" s="66"/>
      <c r="OP46" s="66"/>
      <c r="OQ46" s="66"/>
      <c r="OR46" s="66"/>
      <c r="OS46" s="66"/>
      <c r="OT46" s="66"/>
      <c r="OU46" s="66"/>
      <c r="OV46" s="66"/>
      <c r="OW46" s="66"/>
      <c r="OX46" s="66"/>
      <c r="OY46" s="66"/>
      <c r="OZ46" s="66"/>
      <c r="PA46" s="66"/>
      <c r="PB46" s="66"/>
      <c r="PC46" s="66"/>
      <c r="PD46" s="66"/>
      <c r="PE46" s="66"/>
      <c r="PF46" s="66"/>
      <c r="PG46" s="66"/>
      <c r="PH46" s="66"/>
      <c r="PI46" s="66"/>
      <c r="PJ46" s="66"/>
      <c r="PK46" s="66"/>
      <c r="PL46" s="66"/>
      <c r="PM46" s="66"/>
      <c r="PN46" s="66"/>
      <c r="PO46" s="66"/>
      <c r="PP46" s="66"/>
      <c r="PQ46" s="66"/>
      <c r="PR46" s="66"/>
      <c r="PS46" s="66"/>
      <c r="PT46" s="66"/>
      <c r="PU46" s="66"/>
      <c r="PV46" s="66"/>
      <c r="PW46" s="66"/>
      <c r="PX46" s="66"/>
      <c r="PY46" s="66"/>
      <c r="PZ46" s="66"/>
      <c r="QA46" s="66"/>
      <c r="QB46" s="66"/>
      <c r="QC46" s="66"/>
      <c r="QD46" s="66"/>
      <c r="QE46" s="66"/>
      <c r="QF46" s="66"/>
      <c r="QG46" s="66"/>
      <c r="QH46" s="66"/>
      <c r="QI46" s="66"/>
      <c r="QJ46" s="66"/>
      <c r="QK46" s="66"/>
      <c r="QL46" s="66"/>
      <c r="QM46" s="66"/>
      <c r="QN46" s="66"/>
      <c r="QO46" s="66"/>
      <c r="QP46" s="66"/>
      <c r="QQ46" s="66"/>
      <c r="QR46" s="66"/>
      <c r="QS46" s="66"/>
      <c r="QT46" s="66"/>
      <c r="QU46" s="66"/>
      <c r="QV46" s="66"/>
      <c r="QW46" s="66"/>
      <c r="QX46" s="66"/>
      <c r="QY46" s="66"/>
      <c r="QZ46" s="66"/>
      <c r="RA46" s="66"/>
      <c r="RB46" s="66"/>
      <c r="RC46" s="66"/>
      <c r="RD46" s="66"/>
      <c r="RE46" s="66"/>
      <c r="RF46" s="66"/>
      <c r="RG46" s="66"/>
      <c r="RH46" s="66"/>
      <c r="RI46" s="66"/>
      <c r="RJ46" s="66"/>
      <c r="RK46" s="66"/>
      <c r="RL46" s="66"/>
      <c r="RM46" s="66"/>
      <c r="RN46" s="66"/>
      <c r="RO46" s="66"/>
      <c r="RP46" s="66"/>
      <c r="RQ46" s="66"/>
      <c r="RR46" s="66"/>
      <c r="RS46" s="66"/>
      <c r="RT46" s="66"/>
      <c r="RU46" s="66"/>
      <c r="RV46" s="66"/>
      <c r="RW46" s="66"/>
      <c r="RX46" s="66"/>
      <c r="RY46" s="66"/>
      <c r="RZ46" s="66"/>
      <c r="SA46" s="66"/>
      <c r="SB46" s="66"/>
      <c r="SC46" s="66"/>
      <c r="SD46" s="66"/>
      <c r="SE46" s="66"/>
      <c r="SF46" s="66"/>
      <c r="SG46" s="66"/>
      <c r="SH46" s="66"/>
      <c r="SI46" s="66"/>
      <c r="SJ46" s="66"/>
      <c r="SK46" s="66"/>
      <c r="SL46" s="66"/>
      <c r="SM46" s="66"/>
      <c r="SN46" s="66"/>
      <c r="SO46" s="66"/>
      <c r="SP46" s="66"/>
      <c r="SQ46" s="66"/>
      <c r="SR46" s="66"/>
      <c r="SS46" s="66"/>
      <c r="ST46" s="66"/>
      <c r="SU46" s="66"/>
      <c r="SV46" s="66"/>
      <c r="SW46" s="66"/>
      <c r="SX46" s="66"/>
      <c r="SY46" s="66"/>
      <c r="SZ46" s="66"/>
      <c r="TA46" s="66"/>
      <c r="TB46" s="66"/>
      <c r="TC46" s="66"/>
      <c r="TD46" s="66"/>
      <c r="TE46" s="66"/>
      <c r="TF46" s="66"/>
      <c r="TG46" s="66"/>
      <c r="TH46" s="66"/>
      <c r="TI46" s="66"/>
      <c r="TJ46" s="66"/>
      <c r="TK46" s="66"/>
      <c r="TL46" s="66"/>
      <c r="TM46" s="66"/>
      <c r="TN46" s="66"/>
      <c r="TO46" s="66"/>
      <c r="TP46" s="66"/>
      <c r="TQ46" s="66"/>
      <c r="TR46" s="66"/>
      <c r="TS46" s="66"/>
      <c r="TT46" s="66"/>
      <c r="TU46" s="66"/>
      <c r="TV46" s="66"/>
      <c r="TW46" s="66"/>
      <c r="TX46" s="66"/>
      <c r="TY46" s="66"/>
      <c r="TZ46" s="66"/>
      <c r="UA46" s="66"/>
      <c r="UB46" s="66"/>
      <c r="UC46" s="66"/>
      <c r="UD46" s="66"/>
      <c r="UE46" s="66"/>
      <c r="UF46" s="66"/>
      <c r="UG46" s="66"/>
      <c r="UH46" s="66"/>
      <c r="UI46" s="66"/>
      <c r="UJ46" s="66"/>
      <c r="UK46" s="66"/>
      <c r="UL46" s="66"/>
      <c r="UM46" s="66"/>
      <c r="UN46" s="66"/>
      <c r="UO46" s="66"/>
      <c r="UP46" s="66"/>
      <c r="UQ46" s="66"/>
      <c r="UR46" s="66"/>
      <c r="US46" s="66"/>
      <c r="UT46" s="66"/>
      <c r="UU46" s="66"/>
      <c r="UV46" s="66"/>
      <c r="UW46" s="66"/>
      <c r="UX46" s="66"/>
      <c r="UY46" s="66"/>
      <c r="UZ46" s="66"/>
      <c r="VA46" s="66"/>
      <c r="VB46" s="66"/>
      <c r="VC46" s="66"/>
      <c r="VD46" s="66"/>
      <c r="VE46" s="66"/>
      <c r="VF46" s="66"/>
      <c r="VG46" s="66"/>
      <c r="VH46" s="66"/>
      <c r="VI46" s="66"/>
      <c r="VJ46" s="66"/>
      <c r="VK46" s="66"/>
      <c r="VL46" s="66"/>
      <c r="VM46" s="66"/>
      <c r="VN46" s="66"/>
      <c r="VO46" s="66"/>
      <c r="VP46" s="66"/>
      <c r="VQ46" s="66"/>
      <c r="VR46" s="66"/>
      <c r="VS46" s="66"/>
      <c r="VT46" s="66"/>
      <c r="VU46" s="66"/>
      <c r="VV46" s="66"/>
      <c r="VW46" s="66"/>
      <c r="VX46" s="66"/>
      <c r="VY46" s="66"/>
      <c r="VZ46" s="66"/>
      <c r="WA46" s="66"/>
      <c r="WB46" s="66"/>
      <c r="WC46" s="66"/>
      <c r="WD46" s="66"/>
      <c r="WE46" s="66"/>
      <c r="WF46" s="66"/>
      <c r="WG46" s="66"/>
      <c r="WH46" s="66"/>
      <c r="WI46" s="66"/>
      <c r="WJ46" s="66"/>
      <c r="WK46" s="66"/>
      <c r="WL46" s="66"/>
      <c r="WM46" s="66"/>
      <c r="WN46" s="66"/>
      <c r="WO46" s="66"/>
      <c r="WP46" s="66"/>
      <c r="WQ46" s="66"/>
      <c r="WR46" s="66"/>
      <c r="WS46" s="66"/>
      <c r="WT46" s="66"/>
      <c r="WU46" s="66"/>
      <c r="WV46" s="66"/>
      <c r="WW46" s="66"/>
      <c r="WX46" s="66"/>
      <c r="WY46" s="66"/>
      <c r="WZ46" s="66"/>
      <c r="XA46" s="66"/>
      <c r="XB46" s="66"/>
      <c r="XC46" s="66"/>
      <c r="XD46" s="66"/>
      <c r="XE46" s="66"/>
      <c r="XF46" s="66"/>
      <c r="XG46" s="66"/>
      <c r="XH46" s="66"/>
      <c r="XI46" s="66"/>
      <c r="XJ46" s="66"/>
      <c r="XK46" s="66"/>
      <c r="XL46" s="66"/>
      <c r="XM46" s="66"/>
      <c r="XN46" s="66"/>
      <c r="XO46" s="66"/>
      <c r="XP46" s="66"/>
      <c r="XQ46" s="66"/>
      <c r="XR46" s="66"/>
      <c r="XS46" s="66"/>
      <c r="XT46" s="66"/>
      <c r="XU46" s="66"/>
      <c r="XV46" s="66"/>
      <c r="XW46" s="66"/>
      <c r="XX46" s="66"/>
      <c r="XY46" s="66"/>
      <c r="XZ46" s="66"/>
      <c r="YA46" s="66"/>
      <c r="YB46" s="66"/>
      <c r="YC46" s="66"/>
      <c r="YD46" s="66"/>
      <c r="YE46" s="66"/>
      <c r="YF46" s="66"/>
      <c r="YG46" s="66"/>
      <c r="YH46" s="66"/>
      <c r="YI46" s="66"/>
      <c r="YJ46" s="66"/>
      <c r="YK46" s="66"/>
      <c r="YL46" s="66"/>
      <c r="YM46" s="66"/>
      <c r="YN46" s="66"/>
      <c r="YO46" s="66"/>
      <c r="YP46" s="66"/>
      <c r="YQ46" s="66"/>
      <c r="YR46" s="66"/>
      <c r="YS46" s="66"/>
      <c r="YT46" s="66"/>
      <c r="YU46" s="66"/>
      <c r="YV46" s="66"/>
      <c r="YW46" s="66"/>
      <c r="YX46" s="66"/>
      <c r="YY46" s="66"/>
      <c r="YZ46" s="66"/>
      <c r="ZA46" s="66"/>
      <c r="ZB46" s="66"/>
      <c r="ZC46" s="66"/>
      <c r="ZD46" s="66"/>
      <c r="ZE46" s="66"/>
      <c r="ZF46" s="66"/>
      <c r="ZG46" s="66"/>
      <c r="ZH46" s="66"/>
      <c r="ZI46" s="66"/>
      <c r="ZJ46" s="66"/>
      <c r="ZK46" s="66"/>
      <c r="ZL46" s="66"/>
      <c r="ZM46" s="66"/>
      <c r="ZN46" s="66"/>
      <c r="ZO46" s="66"/>
      <c r="ZP46" s="66"/>
      <c r="ZQ46" s="66"/>
      <c r="ZR46" s="66"/>
      <c r="ZS46" s="66"/>
      <c r="ZT46" s="66"/>
      <c r="ZU46" s="66"/>
      <c r="ZV46" s="66"/>
      <c r="ZW46" s="66"/>
      <c r="ZX46" s="66"/>
    </row>
    <row r="47" spans="1:700" s="20" customFormat="1" ht="15.75" x14ac:dyDescent="0.25">
      <c r="A47" s="72"/>
      <c r="B47" s="73"/>
      <c r="C47" s="73"/>
      <c r="D47" s="108"/>
      <c r="E47" s="129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  <c r="CH47" s="66"/>
      <c r="CI47" s="66"/>
      <c r="CJ47" s="66"/>
      <c r="CK47" s="66"/>
      <c r="CL47" s="66"/>
      <c r="CM47" s="66"/>
      <c r="CN47" s="66"/>
      <c r="CO47" s="66"/>
      <c r="CP47" s="66"/>
      <c r="CQ47" s="66"/>
      <c r="CR47" s="66"/>
      <c r="CS47" s="66"/>
      <c r="CT47" s="66"/>
      <c r="CU47" s="66"/>
      <c r="CV47" s="66"/>
      <c r="CW47" s="66"/>
      <c r="CX47" s="66"/>
      <c r="CY47" s="66"/>
      <c r="CZ47" s="66"/>
      <c r="DA47" s="66"/>
      <c r="DB47" s="66"/>
      <c r="DC47" s="66"/>
      <c r="DD47" s="66"/>
      <c r="DE47" s="66"/>
      <c r="DF47" s="66"/>
      <c r="DG47" s="66"/>
      <c r="DH47" s="66"/>
      <c r="DI47" s="66"/>
      <c r="DJ47" s="66"/>
      <c r="DK47" s="66"/>
      <c r="DL47" s="66"/>
      <c r="DM47" s="66"/>
      <c r="DN47" s="66"/>
      <c r="DO47" s="66"/>
      <c r="DP47" s="66"/>
      <c r="DQ47" s="66"/>
      <c r="DR47" s="66"/>
      <c r="DS47" s="66"/>
      <c r="DT47" s="66"/>
      <c r="DU47" s="66"/>
      <c r="DV47" s="66"/>
      <c r="DW47" s="66"/>
      <c r="DX47" s="66"/>
      <c r="DY47" s="66"/>
      <c r="DZ47" s="66"/>
      <c r="EA47" s="66"/>
      <c r="EB47" s="66"/>
      <c r="EC47" s="66"/>
      <c r="ED47" s="66"/>
      <c r="EE47" s="66"/>
      <c r="EF47" s="66"/>
      <c r="EG47" s="66"/>
      <c r="EH47" s="66"/>
      <c r="EI47" s="66"/>
      <c r="EJ47" s="66"/>
      <c r="EK47" s="66"/>
      <c r="EL47" s="66"/>
      <c r="EM47" s="66"/>
      <c r="EN47" s="66"/>
      <c r="EO47" s="66"/>
      <c r="EP47" s="66"/>
      <c r="EQ47" s="66"/>
      <c r="ER47" s="66"/>
      <c r="ES47" s="66"/>
      <c r="ET47" s="66"/>
      <c r="EU47" s="66"/>
      <c r="EV47" s="66"/>
      <c r="EW47" s="66"/>
      <c r="EX47" s="66"/>
      <c r="EY47" s="66"/>
      <c r="EZ47" s="66"/>
      <c r="FA47" s="66"/>
      <c r="FB47" s="66"/>
      <c r="FC47" s="66"/>
      <c r="FD47" s="66"/>
      <c r="FE47" s="66"/>
      <c r="FF47" s="66"/>
      <c r="FG47" s="66"/>
      <c r="FH47" s="66"/>
      <c r="FI47" s="66"/>
      <c r="FJ47" s="66"/>
      <c r="FK47" s="66"/>
      <c r="FL47" s="66"/>
      <c r="FM47" s="66"/>
      <c r="FN47" s="66"/>
      <c r="FO47" s="66"/>
      <c r="FP47" s="66"/>
      <c r="FQ47" s="66"/>
      <c r="FR47" s="66"/>
      <c r="FS47" s="66"/>
      <c r="FT47" s="66"/>
      <c r="FU47" s="66"/>
      <c r="FV47" s="66"/>
      <c r="FW47" s="66"/>
      <c r="FX47" s="66"/>
      <c r="FY47" s="66"/>
      <c r="FZ47" s="66"/>
      <c r="GA47" s="66"/>
      <c r="GB47" s="66"/>
      <c r="GC47" s="66"/>
      <c r="GD47" s="66"/>
      <c r="GE47" s="66"/>
      <c r="GF47" s="66"/>
      <c r="GG47" s="66"/>
      <c r="GH47" s="66"/>
      <c r="GI47" s="66"/>
      <c r="GJ47" s="66"/>
      <c r="GK47" s="66"/>
      <c r="GL47" s="66"/>
      <c r="GM47" s="66"/>
      <c r="GN47" s="66"/>
      <c r="GO47" s="66"/>
      <c r="GP47" s="66"/>
      <c r="GQ47" s="66"/>
      <c r="GR47" s="66"/>
      <c r="GS47" s="66"/>
      <c r="GT47" s="66"/>
      <c r="GU47" s="66"/>
      <c r="GV47" s="66"/>
      <c r="GW47" s="66"/>
      <c r="GX47" s="66"/>
      <c r="GY47" s="66"/>
      <c r="GZ47" s="66"/>
      <c r="HA47" s="66"/>
      <c r="HB47" s="66"/>
      <c r="HC47" s="66"/>
      <c r="HD47" s="66"/>
      <c r="HE47" s="66"/>
      <c r="HF47" s="66"/>
      <c r="HG47" s="66"/>
      <c r="HH47" s="66"/>
      <c r="HI47" s="66"/>
      <c r="HJ47" s="66"/>
      <c r="HK47" s="66"/>
      <c r="HL47" s="66"/>
      <c r="HM47" s="66"/>
      <c r="HN47" s="66"/>
      <c r="HO47" s="66"/>
      <c r="HP47" s="66"/>
      <c r="HQ47" s="66"/>
      <c r="HR47" s="66"/>
      <c r="HS47" s="66"/>
      <c r="HT47" s="66"/>
      <c r="HU47" s="66"/>
      <c r="HV47" s="66"/>
      <c r="HW47" s="66"/>
      <c r="HX47" s="66"/>
      <c r="HY47" s="66"/>
      <c r="HZ47" s="66"/>
      <c r="IA47" s="66"/>
      <c r="IB47" s="66"/>
      <c r="IC47" s="66"/>
      <c r="ID47" s="66"/>
      <c r="IE47" s="66"/>
      <c r="IF47" s="66"/>
      <c r="IG47" s="66"/>
      <c r="IH47" s="66"/>
      <c r="II47" s="66"/>
      <c r="IJ47" s="66"/>
      <c r="IK47" s="66"/>
      <c r="IL47" s="66"/>
      <c r="IM47" s="66"/>
      <c r="IN47" s="66"/>
      <c r="IO47" s="66"/>
      <c r="IP47" s="66"/>
      <c r="IQ47" s="66"/>
      <c r="IR47" s="66"/>
      <c r="IS47" s="66"/>
      <c r="IT47" s="66"/>
      <c r="IU47" s="66"/>
      <c r="IV47" s="66"/>
      <c r="IW47" s="66"/>
      <c r="IX47" s="66"/>
      <c r="IY47" s="66"/>
      <c r="IZ47" s="66"/>
      <c r="JA47" s="66"/>
      <c r="JB47" s="66"/>
      <c r="JC47" s="66"/>
      <c r="JD47" s="66"/>
      <c r="JE47" s="66"/>
      <c r="JF47" s="66"/>
      <c r="JG47" s="66"/>
      <c r="JH47" s="66"/>
      <c r="JI47" s="66"/>
      <c r="JJ47" s="66"/>
      <c r="JK47" s="66"/>
      <c r="JL47" s="66"/>
      <c r="JM47" s="66"/>
      <c r="JN47" s="66"/>
      <c r="JO47" s="66"/>
      <c r="JP47" s="66"/>
      <c r="JQ47" s="66"/>
      <c r="JR47" s="66"/>
      <c r="JS47" s="66"/>
      <c r="JT47" s="66"/>
      <c r="JU47" s="66"/>
      <c r="JV47" s="66"/>
      <c r="JW47" s="66"/>
      <c r="JX47" s="66"/>
      <c r="JY47" s="66"/>
      <c r="JZ47" s="66"/>
      <c r="KA47" s="66"/>
      <c r="KB47" s="66"/>
      <c r="KC47" s="66"/>
      <c r="KD47" s="66"/>
      <c r="KE47" s="66"/>
      <c r="KF47" s="66"/>
      <c r="KG47" s="66"/>
      <c r="KH47" s="66"/>
      <c r="KI47" s="66"/>
      <c r="KJ47" s="66"/>
      <c r="KK47" s="66"/>
      <c r="KL47" s="66"/>
      <c r="KM47" s="66"/>
      <c r="KN47" s="66"/>
      <c r="KO47" s="66"/>
      <c r="KP47" s="66"/>
      <c r="KQ47" s="66"/>
      <c r="KR47" s="66"/>
      <c r="KS47" s="66"/>
      <c r="KT47" s="66"/>
      <c r="KU47" s="66"/>
      <c r="KV47" s="66"/>
      <c r="KW47" s="66"/>
      <c r="KX47" s="66"/>
      <c r="KY47" s="66"/>
      <c r="KZ47" s="66"/>
      <c r="LA47" s="66"/>
      <c r="LB47" s="66"/>
      <c r="LC47" s="66"/>
      <c r="LD47" s="66"/>
      <c r="LE47" s="66"/>
      <c r="LF47" s="66"/>
      <c r="LG47" s="66"/>
      <c r="LH47" s="66"/>
      <c r="LI47" s="66"/>
      <c r="LJ47" s="66"/>
      <c r="LK47" s="66"/>
      <c r="LL47" s="66"/>
      <c r="LM47" s="66"/>
      <c r="LN47" s="66"/>
      <c r="LO47" s="66"/>
      <c r="LP47" s="66"/>
      <c r="LQ47" s="66"/>
      <c r="LR47" s="66"/>
      <c r="LS47" s="66"/>
      <c r="LT47" s="66"/>
      <c r="LU47" s="66"/>
      <c r="LV47" s="66"/>
      <c r="LW47" s="66"/>
      <c r="LX47" s="66"/>
      <c r="LY47" s="66"/>
      <c r="LZ47" s="66"/>
      <c r="MA47" s="66"/>
      <c r="MB47" s="66"/>
      <c r="MC47" s="66"/>
      <c r="MD47" s="66"/>
      <c r="ME47" s="66"/>
      <c r="MF47" s="66"/>
      <c r="MG47" s="66"/>
      <c r="MH47" s="66"/>
      <c r="MI47" s="66"/>
      <c r="MJ47" s="66"/>
      <c r="MK47" s="66"/>
      <c r="ML47" s="66"/>
      <c r="MM47" s="66"/>
      <c r="MN47" s="66"/>
      <c r="MO47" s="66"/>
      <c r="MP47" s="66"/>
      <c r="MQ47" s="66"/>
      <c r="MR47" s="66"/>
      <c r="MS47" s="66"/>
      <c r="MT47" s="66"/>
      <c r="MU47" s="66"/>
      <c r="MV47" s="66"/>
      <c r="MW47" s="66"/>
      <c r="MX47" s="66"/>
      <c r="MY47" s="66"/>
      <c r="MZ47" s="66"/>
      <c r="NA47" s="66"/>
      <c r="NB47" s="66"/>
      <c r="NC47" s="66"/>
      <c r="ND47" s="66"/>
      <c r="NE47" s="66"/>
      <c r="NF47" s="66"/>
      <c r="NG47" s="66"/>
      <c r="NH47" s="66"/>
      <c r="NI47" s="66"/>
      <c r="NJ47" s="66"/>
      <c r="NK47" s="66"/>
      <c r="NL47" s="66"/>
      <c r="NM47" s="66"/>
      <c r="NN47" s="66"/>
      <c r="NO47" s="66"/>
      <c r="NP47" s="66"/>
      <c r="NQ47" s="66"/>
      <c r="NR47" s="66"/>
      <c r="NS47" s="66"/>
      <c r="NT47" s="66"/>
      <c r="NU47" s="66"/>
      <c r="NV47" s="66"/>
      <c r="NW47" s="66"/>
      <c r="NX47" s="66"/>
      <c r="NY47" s="66"/>
      <c r="NZ47" s="66"/>
      <c r="OA47" s="66"/>
      <c r="OB47" s="66"/>
      <c r="OC47" s="66"/>
      <c r="OD47" s="66"/>
      <c r="OE47" s="66"/>
      <c r="OF47" s="66"/>
      <c r="OG47" s="66"/>
      <c r="OH47" s="66"/>
      <c r="OI47" s="66"/>
      <c r="OJ47" s="66"/>
      <c r="OK47" s="66"/>
      <c r="OL47" s="66"/>
      <c r="OM47" s="66"/>
      <c r="ON47" s="66"/>
      <c r="OO47" s="66"/>
      <c r="OP47" s="66"/>
      <c r="OQ47" s="66"/>
      <c r="OR47" s="66"/>
      <c r="OS47" s="66"/>
      <c r="OT47" s="66"/>
      <c r="OU47" s="66"/>
      <c r="OV47" s="66"/>
      <c r="OW47" s="66"/>
      <c r="OX47" s="66"/>
      <c r="OY47" s="66"/>
      <c r="OZ47" s="66"/>
      <c r="PA47" s="66"/>
      <c r="PB47" s="66"/>
      <c r="PC47" s="66"/>
      <c r="PD47" s="66"/>
      <c r="PE47" s="66"/>
      <c r="PF47" s="66"/>
      <c r="PG47" s="66"/>
      <c r="PH47" s="66"/>
      <c r="PI47" s="66"/>
      <c r="PJ47" s="66"/>
      <c r="PK47" s="66"/>
      <c r="PL47" s="66"/>
      <c r="PM47" s="66"/>
      <c r="PN47" s="66"/>
      <c r="PO47" s="66"/>
      <c r="PP47" s="66"/>
      <c r="PQ47" s="66"/>
      <c r="PR47" s="66"/>
      <c r="PS47" s="66"/>
      <c r="PT47" s="66"/>
      <c r="PU47" s="66"/>
      <c r="PV47" s="66"/>
      <c r="PW47" s="66"/>
      <c r="PX47" s="66"/>
      <c r="PY47" s="66"/>
      <c r="PZ47" s="66"/>
      <c r="QA47" s="66"/>
      <c r="QB47" s="66"/>
      <c r="QC47" s="66"/>
      <c r="QD47" s="66"/>
      <c r="QE47" s="66"/>
      <c r="QF47" s="66"/>
      <c r="QG47" s="66"/>
      <c r="QH47" s="66"/>
      <c r="QI47" s="66"/>
      <c r="QJ47" s="66"/>
      <c r="QK47" s="66"/>
      <c r="QL47" s="66"/>
      <c r="QM47" s="66"/>
      <c r="QN47" s="66"/>
      <c r="QO47" s="66"/>
      <c r="QP47" s="66"/>
      <c r="QQ47" s="66"/>
      <c r="QR47" s="66"/>
      <c r="QS47" s="66"/>
      <c r="QT47" s="66"/>
      <c r="QU47" s="66"/>
      <c r="QV47" s="66"/>
      <c r="QW47" s="66"/>
      <c r="QX47" s="66"/>
      <c r="QY47" s="66"/>
      <c r="QZ47" s="66"/>
      <c r="RA47" s="66"/>
      <c r="RB47" s="66"/>
      <c r="RC47" s="66"/>
      <c r="RD47" s="66"/>
      <c r="RE47" s="66"/>
      <c r="RF47" s="66"/>
      <c r="RG47" s="66"/>
      <c r="RH47" s="66"/>
      <c r="RI47" s="66"/>
      <c r="RJ47" s="66"/>
      <c r="RK47" s="66"/>
      <c r="RL47" s="66"/>
      <c r="RM47" s="66"/>
      <c r="RN47" s="66"/>
      <c r="RO47" s="66"/>
      <c r="RP47" s="66"/>
      <c r="RQ47" s="66"/>
      <c r="RR47" s="66"/>
      <c r="RS47" s="66"/>
      <c r="RT47" s="66"/>
      <c r="RU47" s="66"/>
      <c r="RV47" s="66"/>
      <c r="RW47" s="66"/>
      <c r="RX47" s="66"/>
      <c r="RY47" s="66"/>
      <c r="RZ47" s="66"/>
      <c r="SA47" s="66"/>
      <c r="SB47" s="66"/>
      <c r="SC47" s="66"/>
      <c r="SD47" s="66"/>
      <c r="SE47" s="66"/>
      <c r="SF47" s="66"/>
      <c r="SG47" s="66"/>
      <c r="SH47" s="66"/>
      <c r="SI47" s="66"/>
      <c r="SJ47" s="66"/>
      <c r="SK47" s="66"/>
      <c r="SL47" s="66"/>
      <c r="SM47" s="66"/>
      <c r="SN47" s="66"/>
      <c r="SO47" s="66"/>
      <c r="SP47" s="66"/>
      <c r="SQ47" s="66"/>
      <c r="SR47" s="66"/>
      <c r="SS47" s="66"/>
      <c r="ST47" s="66"/>
      <c r="SU47" s="66"/>
      <c r="SV47" s="66"/>
      <c r="SW47" s="66"/>
      <c r="SX47" s="66"/>
      <c r="SY47" s="66"/>
      <c r="SZ47" s="66"/>
      <c r="TA47" s="66"/>
      <c r="TB47" s="66"/>
      <c r="TC47" s="66"/>
      <c r="TD47" s="66"/>
      <c r="TE47" s="66"/>
      <c r="TF47" s="66"/>
      <c r="TG47" s="66"/>
      <c r="TH47" s="66"/>
      <c r="TI47" s="66"/>
      <c r="TJ47" s="66"/>
      <c r="TK47" s="66"/>
      <c r="TL47" s="66"/>
      <c r="TM47" s="66"/>
      <c r="TN47" s="66"/>
      <c r="TO47" s="66"/>
      <c r="TP47" s="66"/>
      <c r="TQ47" s="66"/>
      <c r="TR47" s="66"/>
      <c r="TS47" s="66"/>
      <c r="TT47" s="66"/>
      <c r="TU47" s="66"/>
      <c r="TV47" s="66"/>
      <c r="TW47" s="66"/>
      <c r="TX47" s="66"/>
      <c r="TY47" s="66"/>
      <c r="TZ47" s="66"/>
      <c r="UA47" s="66"/>
      <c r="UB47" s="66"/>
      <c r="UC47" s="66"/>
      <c r="UD47" s="66"/>
      <c r="UE47" s="66"/>
      <c r="UF47" s="66"/>
      <c r="UG47" s="66"/>
      <c r="UH47" s="66"/>
      <c r="UI47" s="66"/>
      <c r="UJ47" s="66"/>
      <c r="UK47" s="66"/>
      <c r="UL47" s="66"/>
      <c r="UM47" s="66"/>
      <c r="UN47" s="66"/>
      <c r="UO47" s="66"/>
      <c r="UP47" s="66"/>
      <c r="UQ47" s="66"/>
      <c r="UR47" s="66"/>
      <c r="US47" s="66"/>
      <c r="UT47" s="66"/>
      <c r="UU47" s="66"/>
      <c r="UV47" s="66"/>
      <c r="UW47" s="66"/>
      <c r="UX47" s="66"/>
      <c r="UY47" s="66"/>
      <c r="UZ47" s="66"/>
      <c r="VA47" s="66"/>
      <c r="VB47" s="66"/>
      <c r="VC47" s="66"/>
      <c r="VD47" s="66"/>
      <c r="VE47" s="66"/>
      <c r="VF47" s="66"/>
      <c r="VG47" s="66"/>
      <c r="VH47" s="66"/>
      <c r="VI47" s="66"/>
      <c r="VJ47" s="66"/>
      <c r="VK47" s="66"/>
      <c r="VL47" s="66"/>
      <c r="VM47" s="66"/>
      <c r="VN47" s="66"/>
      <c r="VO47" s="66"/>
      <c r="VP47" s="66"/>
      <c r="VQ47" s="66"/>
      <c r="VR47" s="66"/>
      <c r="VS47" s="66"/>
      <c r="VT47" s="66"/>
      <c r="VU47" s="66"/>
      <c r="VV47" s="66"/>
      <c r="VW47" s="66"/>
      <c r="VX47" s="66"/>
      <c r="VY47" s="66"/>
      <c r="VZ47" s="66"/>
      <c r="WA47" s="66"/>
      <c r="WB47" s="66"/>
      <c r="WC47" s="66"/>
      <c r="WD47" s="66"/>
      <c r="WE47" s="66"/>
      <c r="WF47" s="66"/>
      <c r="WG47" s="66"/>
      <c r="WH47" s="66"/>
      <c r="WI47" s="66"/>
      <c r="WJ47" s="66"/>
      <c r="WK47" s="66"/>
      <c r="WL47" s="66"/>
      <c r="WM47" s="66"/>
      <c r="WN47" s="66"/>
      <c r="WO47" s="66"/>
      <c r="WP47" s="66"/>
      <c r="WQ47" s="66"/>
      <c r="WR47" s="66"/>
      <c r="WS47" s="66"/>
      <c r="WT47" s="66"/>
      <c r="WU47" s="66"/>
      <c r="WV47" s="66"/>
      <c r="WW47" s="66"/>
      <c r="WX47" s="66"/>
      <c r="WY47" s="66"/>
      <c r="WZ47" s="66"/>
      <c r="XA47" s="66"/>
      <c r="XB47" s="66"/>
      <c r="XC47" s="66"/>
      <c r="XD47" s="66"/>
      <c r="XE47" s="66"/>
      <c r="XF47" s="66"/>
      <c r="XG47" s="66"/>
      <c r="XH47" s="66"/>
      <c r="XI47" s="66"/>
      <c r="XJ47" s="66"/>
      <c r="XK47" s="66"/>
      <c r="XL47" s="66"/>
      <c r="XM47" s="66"/>
      <c r="XN47" s="66"/>
      <c r="XO47" s="66"/>
      <c r="XP47" s="66"/>
      <c r="XQ47" s="66"/>
      <c r="XR47" s="66"/>
      <c r="XS47" s="66"/>
      <c r="XT47" s="66"/>
      <c r="XU47" s="66"/>
      <c r="XV47" s="66"/>
      <c r="XW47" s="66"/>
      <c r="XX47" s="66"/>
      <c r="XY47" s="66"/>
      <c r="XZ47" s="66"/>
      <c r="YA47" s="66"/>
      <c r="YB47" s="66"/>
      <c r="YC47" s="66"/>
      <c r="YD47" s="66"/>
      <c r="YE47" s="66"/>
      <c r="YF47" s="66"/>
      <c r="YG47" s="66"/>
      <c r="YH47" s="66"/>
      <c r="YI47" s="66"/>
      <c r="YJ47" s="66"/>
      <c r="YK47" s="66"/>
      <c r="YL47" s="66"/>
      <c r="YM47" s="66"/>
      <c r="YN47" s="66"/>
      <c r="YO47" s="66"/>
      <c r="YP47" s="66"/>
      <c r="YQ47" s="66"/>
      <c r="YR47" s="66"/>
      <c r="YS47" s="66"/>
      <c r="YT47" s="66"/>
      <c r="YU47" s="66"/>
      <c r="YV47" s="66"/>
      <c r="YW47" s="66"/>
      <c r="YX47" s="66"/>
      <c r="YY47" s="66"/>
      <c r="YZ47" s="66"/>
      <c r="ZA47" s="66"/>
      <c r="ZB47" s="66"/>
      <c r="ZC47" s="66"/>
      <c r="ZD47" s="66"/>
      <c r="ZE47" s="66"/>
      <c r="ZF47" s="66"/>
      <c r="ZG47" s="66"/>
      <c r="ZH47" s="66"/>
      <c r="ZI47" s="66"/>
      <c r="ZJ47" s="66"/>
      <c r="ZK47" s="66"/>
      <c r="ZL47" s="66"/>
      <c r="ZM47" s="66"/>
      <c r="ZN47" s="66"/>
      <c r="ZO47" s="66"/>
      <c r="ZP47" s="66"/>
      <c r="ZQ47" s="66"/>
      <c r="ZR47" s="66"/>
      <c r="ZS47" s="66"/>
      <c r="ZT47" s="66"/>
      <c r="ZU47" s="66"/>
      <c r="ZV47" s="66"/>
      <c r="ZW47" s="66"/>
      <c r="ZX47" s="66"/>
    </row>
    <row r="48" spans="1:700" s="20" customFormat="1" ht="15.75" x14ac:dyDescent="0.25">
      <c r="A48" s="67"/>
      <c r="B48" s="68"/>
      <c r="C48" s="68"/>
      <c r="D48" s="69"/>
      <c r="E48" s="110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  <c r="CH48" s="66"/>
      <c r="CI48" s="66"/>
      <c r="CJ48" s="66"/>
      <c r="CK48" s="66"/>
      <c r="CL48" s="66"/>
      <c r="CM48" s="66"/>
      <c r="CN48" s="66"/>
      <c r="CO48" s="66"/>
      <c r="CP48" s="66"/>
      <c r="CQ48" s="66"/>
      <c r="CR48" s="66"/>
      <c r="CS48" s="66"/>
      <c r="CT48" s="66"/>
      <c r="CU48" s="66"/>
      <c r="CV48" s="66"/>
      <c r="CW48" s="66"/>
      <c r="CX48" s="66"/>
      <c r="CY48" s="66"/>
      <c r="CZ48" s="66"/>
      <c r="DA48" s="66"/>
      <c r="DB48" s="66"/>
      <c r="DC48" s="66"/>
      <c r="DD48" s="66"/>
      <c r="DE48" s="66"/>
      <c r="DF48" s="66"/>
      <c r="DG48" s="66"/>
      <c r="DH48" s="66"/>
      <c r="DI48" s="66"/>
      <c r="DJ48" s="66"/>
      <c r="DK48" s="66"/>
      <c r="DL48" s="66"/>
      <c r="DM48" s="66"/>
      <c r="DN48" s="66"/>
      <c r="DO48" s="66"/>
      <c r="DP48" s="66"/>
      <c r="DQ48" s="66"/>
      <c r="DR48" s="66"/>
      <c r="DS48" s="66"/>
      <c r="DT48" s="66"/>
      <c r="DU48" s="66"/>
      <c r="DV48" s="66"/>
      <c r="DW48" s="66"/>
      <c r="DX48" s="66"/>
      <c r="DY48" s="66"/>
      <c r="DZ48" s="66"/>
      <c r="EA48" s="66"/>
      <c r="EB48" s="66"/>
      <c r="EC48" s="66"/>
      <c r="ED48" s="66"/>
      <c r="EE48" s="66"/>
      <c r="EF48" s="66"/>
      <c r="EG48" s="66"/>
      <c r="EH48" s="66"/>
      <c r="EI48" s="66"/>
      <c r="EJ48" s="66"/>
      <c r="EK48" s="66"/>
      <c r="EL48" s="66"/>
      <c r="EM48" s="66"/>
      <c r="EN48" s="66"/>
      <c r="EO48" s="66"/>
      <c r="EP48" s="66"/>
      <c r="EQ48" s="66"/>
      <c r="ER48" s="66"/>
      <c r="ES48" s="66"/>
      <c r="ET48" s="66"/>
      <c r="EU48" s="66"/>
      <c r="EV48" s="66"/>
      <c r="EW48" s="66"/>
      <c r="EX48" s="66"/>
      <c r="EY48" s="66"/>
      <c r="EZ48" s="66"/>
      <c r="FA48" s="66"/>
      <c r="FB48" s="66"/>
      <c r="FC48" s="66"/>
      <c r="FD48" s="66"/>
      <c r="FE48" s="66"/>
      <c r="FF48" s="66"/>
      <c r="FG48" s="66"/>
      <c r="FH48" s="66"/>
      <c r="FI48" s="66"/>
      <c r="FJ48" s="66"/>
      <c r="FK48" s="66"/>
      <c r="FL48" s="66"/>
      <c r="FM48" s="66"/>
      <c r="FN48" s="66"/>
      <c r="FO48" s="66"/>
      <c r="FP48" s="66"/>
      <c r="FQ48" s="66"/>
      <c r="FR48" s="66"/>
      <c r="FS48" s="66"/>
      <c r="FT48" s="66"/>
      <c r="FU48" s="66"/>
      <c r="FV48" s="66"/>
      <c r="FW48" s="66"/>
      <c r="FX48" s="66"/>
      <c r="FY48" s="66"/>
      <c r="FZ48" s="66"/>
      <c r="GA48" s="66"/>
      <c r="GB48" s="66"/>
      <c r="GC48" s="66"/>
      <c r="GD48" s="66"/>
      <c r="GE48" s="66"/>
      <c r="GF48" s="66"/>
      <c r="GG48" s="66"/>
      <c r="GH48" s="66"/>
      <c r="GI48" s="66"/>
      <c r="GJ48" s="66"/>
      <c r="GK48" s="66"/>
      <c r="GL48" s="66"/>
      <c r="GM48" s="66"/>
      <c r="GN48" s="66"/>
      <c r="GO48" s="66"/>
      <c r="GP48" s="66"/>
      <c r="GQ48" s="66"/>
      <c r="GR48" s="66"/>
      <c r="GS48" s="66"/>
      <c r="GT48" s="66"/>
      <c r="GU48" s="66"/>
      <c r="GV48" s="66"/>
      <c r="GW48" s="66"/>
      <c r="GX48" s="66"/>
      <c r="GY48" s="66"/>
      <c r="GZ48" s="66"/>
      <c r="HA48" s="66"/>
      <c r="HB48" s="66"/>
      <c r="HC48" s="66"/>
      <c r="HD48" s="66"/>
      <c r="HE48" s="66"/>
      <c r="HF48" s="66"/>
      <c r="HG48" s="66"/>
      <c r="HH48" s="66"/>
      <c r="HI48" s="66"/>
      <c r="HJ48" s="66"/>
      <c r="HK48" s="66"/>
      <c r="HL48" s="66"/>
      <c r="HM48" s="66"/>
      <c r="HN48" s="66"/>
      <c r="HO48" s="66"/>
      <c r="HP48" s="66"/>
      <c r="HQ48" s="66"/>
      <c r="HR48" s="66"/>
      <c r="HS48" s="66"/>
      <c r="HT48" s="66"/>
      <c r="HU48" s="66"/>
      <c r="HV48" s="66"/>
      <c r="HW48" s="66"/>
      <c r="HX48" s="66"/>
      <c r="HY48" s="66"/>
      <c r="HZ48" s="66"/>
      <c r="IA48" s="66"/>
      <c r="IB48" s="66"/>
      <c r="IC48" s="66"/>
      <c r="ID48" s="66"/>
      <c r="IE48" s="66"/>
      <c r="IF48" s="66"/>
      <c r="IG48" s="66"/>
      <c r="IH48" s="66"/>
      <c r="II48" s="66"/>
      <c r="IJ48" s="66"/>
      <c r="IK48" s="66"/>
      <c r="IL48" s="66"/>
      <c r="IM48" s="66"/>
      <c r="IN48" s="66"/>
      <c r="IO48" s="66"/>
      <c r="IP48" s="66"/>
      <c r="IQ48" s="66"/>
      <c r="IR48" s="66"/>
      <c r="IS48" s="66"/>
      <c r="IT48" s="66"/>
      <c r="IU48" s="66"/>
      <c r="IV48" s="66"/>
      <c r="IW48" s="66"/>
      <c r="IX48" s="66"/>
      <c r="IY48" s="66"/>
      <c r="IZ48" s="66"/>
      <c r="JA48" s="66"/>
      <c r="JB48" s="66"/>
      <c r="JC48" s="66"/>
      <c r="JD48" s="66"/>
      <c r="JE48" s="66"/>
      <c r="JF48" s="66"/>
      <c r="JG48" s="66"/>
      <c r="JH48" s="66"/>
      <c r="JI48" s="66"/>
      <c r="JJ48" s="66"/>
      <c r="JK48" s="66"/>
      <c r="JL48" s="66"/>
      <c r="JM48" s="66"/>
      <c r="JN48" s="66"/>
      <c r="JO48" s="66"/>
      <c r="JP48" s="66"/>
      <c r="JQ48" s="66"/>
      <c r="JR48" s="66"/>
      <c r="JS48" s="66"/>
      <c r="JT48" s="66"/>
      <c r="JU48" s="66"/>
      <c r="JV48" s="66"/>
      <c r="JW48" s="66"/>
      <c r="JX48" s="66"/>
      <c r="JY48" s="66"/>
      <c r="JZ48" s="66"/>
      <c r="KA48" s="66"/>
      <c r="KB48" s="66"/>
      <c r="KC48" s="66"/>
      <c r="KD48" s="66"/>
      <c r="KE48" s="66"/>
      <c r="KF48" s="66"/>
      <c r="KG48" s="66"/>
      <c r="KH48" s="66"/>
      <c r="KI48" s="66"/>
      <c r="KJ48" s="66"/>
      <c r="KK48" s="66"/>
      <c r="KL48" s="66"/>
      <c r="KM48" s="66"/>
      <c r="KN48" s="66"/>
      <c r="KO48" s="66"/>
      <c r="KP48" s="66"/>
      <c r="KQ48" s="66"/>
      <c r="KR48" s="66"/>
      <c r="KS48" s="66"/>
      <c r="KT48" s="66"/>
      <c r="KU48" s="66"/>
      <c r="KV48" s="66"/>
      <c r="KW48" s="66"/>
      <c r="KX48" s="66"/>
      <c r="KY48" s="66"/>
      <c r="KZ48" s="66"/>
      <c r="LA48" s="66"/>
      <c r="LB48" s="66"/>
      <c r="LC48" s="66"/>
      <c r="LD48" s="66"/>
      <c r="LE48" s="66"/>
      <c r="LF48" s="66"/>
      <c r="LG48" s="66"/>
      <c r="LH48" s="66"/>
      <c r="LI48" s="66"/>
      <c r="LJ48" s="66"/>
      <c r="LK48" s="66"/>
      <c r="LL48" s="66"/>
      <c r="LM48" s="66"/>
      <c r="LN48" s="66"/>
      <c r="LO48" s="66"/>
      <c r="LP48" s="66"/>
      <c r="LQ48" s="66"/>
      <c r="LR48" s="66"/>
      <c r="LS48" s="66"/>
      <c r="LT48" s="66"/>
      <c r="LU48" s="66"/>
      <c r="LV48" s="66"/>
      <c r="LW48" s="66"/>
      <c r="LX48" s="66"/>
      <c r="LY48" s="66"/>
      <c r="LZ48" s="66"/>
      <c r="MA48" s="66"/>
      <c r="MB48" s="66"/>
      <c r="MC48" s="66"/>
      <c r="MD48" s="66"/>
      <c r="ME48" s="66"/>
      <c r="MF48" s="66"/>
      <c r="MG48" s="66"/>
      <c r="MH48" s="66"/>
      <c r="MI48" s="66"/>
      <c r="MJ48" s="66"/>
      <c r="MK48" s="66"/>
      <c r="ML48" s="66"/>
      <c r="MM48" s="66"/>
      <c r="MN48" s="66"/>
      <c r="MO48" s="66"/>
      <c r="MP48" s="66"/>
      <c r="MQ48" s="66"/>
      <c r="MR48" s="66"/>
      <c r="MS48" s="66"/>
      <c r="MT48" s="66"/>
      <c r="MU48" s="66"/>
      <c r="MV48" s="66"/>
      <c r="MW48" s="66"/>
      <c r="MX48" s="66"/>
      <c r="MY48" s="66"/>
      <c r="MZ48" s="66"/>
      <c r="NA48" s="66"/>
      <c r="NB48" s="66"/>
      <c r="NC48" s="66"/>
      <c r="ND48" s="66"/>
      <c r="NE48" s="66"/>
      <c r="NF48" s="66"/>
      <c r="NG48" s="66"/>
      <c r="NH48" s="66"/>
      <c r="NI48" s="66"/>
      <c r="NJ48" s="66"/>
      <c r="NK48" s="66"/>
      <c r="NL48" s="66"/>
      <c r="NM48" s="66"/>
      <c r="NN48" s="66"/>
      <c r="NO48" s="66"/>
      <c r="NP48" s="66"/>
      <c r="NQ48" s="66"/>
      <c r="NR48" s="66"/>
      <c r="NS48" s="66"/>
      <c r="NT48" s="66"/>
      <c r="NU48" s="66"/>
      <c r="NV48" s="66"/>
      <c r="NW48" s="66"/>
      <c r="NX48" s="66"/>
      <c r="NY48" s="66"/>
      <c r="NZ48" s="66"/>
      <c r="OA48" s="66"/>
      <c r="OB48" s="66"/>
      <c r="OC48" s="66"/>
      <c r="OD48" s="66"/>
      <c r="OE48" s="66"/>
      <c r="OF48" s="66"/>
      <c r="OG48" s="66"/>
      <c r="OH48" s="66"/>
      <c r="OI48" s="66"/>
      <c r="OJ48" s="66"/>
      <c r="OK48" s="66"/>
      <c r="OL48" s="66"/>
      <c r="OM48" s="66"/>
      <c r="ON48" s="66"/>
      <c r="OO48" s="66"/>
      <c r="OP48" s="66"/>
      <c r="OQ48" s="66"/>
      <c r="OR48" s="66"/>
      <c r="OS48" s="66"/>
      <c r="OT48" s="66"/>
      <c r="OU48" s="66"/>
      <c r="OV48" s="66"/>
      <c r="OW48" s="66"/>
      <c r="OX48" s="66"/>
      <c r="OY48" s="66"/>
      <c r="OZ48" s="66"/>
      <c r="PA48" s="66"/>
      <c r="PB48" s="66"/>
      <c r="PC48" s="66"/>
      <c r="PD48" s="66"/>
      <c r="PE48" s="66"/>
      <c r="PF48" s="66"/>
      <c r="PG48" s="66"/>
      <c r="PH48" s="66"/>
      <c r="PI48" s="66"/>
      <c r="PJ48" s="66"/>
      <c r="PK48" s="66"/>
      <c r="PL48" s="66"/>
      <c r="PM48" s="66"/>
      <c r="PN48" s="66"/>
      <c r="PO48" s="66"/>
      <c r="PP48" s="66"/>
      <c r="PQ48" s="66"/>
      <c r="PR48" s="66"/>
      <c r="PS48" s="66"/>
      <c r="PT48" s="66"/>
      <c r="PU48" s="66"/>
      <c r="PV48" s="66"/>
      <c r="PW48" s="66"/>
      <c r="PX48" s="66"/>
      <c r="PY48" s="66"/>
      <c r="PZ48" s="66"/>
      <c r="QA48" s="66"/>
      <c r="QB48" s="66"/>
      <c r="QC48" s="66"/>
      <c r="QD48" s="66"/>
      <c r="QE48" s="66"/>
      <c r="QF48" s="66"/>
      <c r="QG48" s="66"/>
      <c r="QH48" s="66"/>
      <c r="QI48" s="66"/>
      <c r="QJ48" s="66"/>
      <c r="QK48" s="66"/>
      <c r="QL48" s="66"/>
      <c r="QM48" s="66"/>
      <c r="QN48" s="66"/>
      <c r="QO48" s="66"/>
      <c r="QP48" s="66"/>
      <c r="QQ48" s="66"/>
      <c r="QR48" s="66"/>
      <c r="QS48" s="66"/>
      <c r="QT48" s="66"/>
      <c r="QU48" s="66"/>
      <c r="QV48" s="66"/>
      <c r="QW48" s="66"/>
      <c r="QX48" s="66"/>
      <c r="QY48" s="66"/>
      <c r="QZ48" s="66"/>
      <c r="RA48" s="66"/>
      <c r="RB48" s="66"/>
      <c r="RC48" s="66"/>
      <c r="RD48" s="66"/>
      <c r="RE48" s="66"/>
      <c r="RF48" s="66"/>
      <c r="RG48" s="66"/>
      <c r="RH48" s="66"/>
      <c r="RI48" s="66"/>
      <c r="RJ48" s="66"/>
      <c r="RK48" s="66"/>
      <c r="RL48" s="66"/>
      <c r="RM48" s="66"/>
      <c r="RN48" s="66"/>
      <c r="RO48" s="66"/>
      <c r="RP48" s="66"/>
      <c r="RQ48" s="66"/>
      <c r="RR48" s="66"/>
      <c r="RS48" s="66"/>
      <c r="RT48" s="66"/>
      <c r="RU48" s="66"/>
      <c r="RV48" s="66"/>
      <c r="RW48" s="66"/>
      <c r="RX48" s="66"/>
      <c r="RY48" s="66"/>
      <c r="RZ48" s="66"/>
      <c r="SA48" s="66"/>
      <c r="SB48" s="66"/>
      <c r="SC48" s="66"/>
      <c r="SD48" s="66"/>
      <c r="SE48" s="66"/>
      <c r="SF48" s="66"/>
      <c r="SG48" s="66"/>
      <c r="SH48" s="66"/>
      <c r="SI48" s="66"/>
      <c r="SJ48" s="66"/>
      <c r="SK48" s="66"/>
      <c r="SL48" s="66"/>
      <c r="SM48" s="66"/>
      <c r="SN48" s="66"/>
      <c r="SO48" s="66"/>
      <c r="SP48" s="66"/>
      <c r="SQ48" s="66"/>
      <c r="SR48" s="66"/>
      <c r="SS48" s="66"/>
      <c r="ST48" s="66"/>
      <c r="SU48" s="66"/>
      <c r="SV48" s="66"/>
      <c r="SW48" s="66"/>
      <c r="SX48" s="66"/>
      <c r="SY48" s="66"/>
      <c r="SZ48" s="66"/>
      <c r="TA48" s="66"/>
      <c r="TB48" s="66"/>
      <c r="TC48" s="66"/>
      <c r="TD48" s="66"/>
      <c r="TE48" s="66"/>
      <c r="TF48" s="66"/>
      <c r="TG48" s="66"/>
      <c r="TH48" s="66"/>
      <c r="TI48" s="66"/>
      <c r="TJ48" s="66"/>
      <c r="TK48" s="66"/>
      <c r="TL48" s="66"/>
      <c r="TM48" s="66"/>
      <c r="TN48" s="66"/>
      <c r="TO48" s="66"/>
      <c r="TP48" s="66"/>
      <c r="TQ48" s="66"/>
      <c r="TR48" s="66"/>
      <c r="TS48" s="66"/>
      <c r="TT48" s="66"/>
      <c r="TU48" s="66"/>
      <c r="TV48" s="66"/>
      <c r="TW48" s="66"/>
      <c r="TX48" s="66"/>
      <c r="TY48" s="66"/>
      <c r="TZ48" s="66"/>
      <c r="UA48" s="66"/>
      <c r="UB48" s="66"/>
      <c r="UC48" s="66"/>
      <c r="UD48" s="66"/>
      <c r="UE48" s="66"/>
      <c r="UF48" s="66"/>
      <c r="UG48" s="66"/>
      <c r="UH48" s="66"/>
      <c r="UI48" s="66"/>
      <c r="UJ48" s="66"/>
      <c r="UK48" s="66"/>
      <c r="UL48" s="66"/>
      <c r="UM48" s="66"/>
      <c r="UN48" s="66"/>
      <c r="UO48" s="66"/>
      <c r="UP48" s="66"/>
      <c r="UQ48" s="66"/>
      <c r="UR48" s="66"/>
      <c r="US48" s="66"/>
      <c r="UT48" s="66"/>
      <c r="UU48" s="66"/>
      <c r="UV48" s="66"/>
      <c r="UW48" s="66"/>
      <c r="UX48" s="66"/>
      <c r="UY48" s="66"/>
      <c r="UZ48" s="66"/>
      <c r="VA48" s="66"/>
      <c r="VB48" s="66"/>
      <c r="VC48" s="66"/>
      <c r="VD48" s="66"/>
      <c r="VE48" s="66"/>
      <c r="VF48" s="66"/>
      <c r="VG48" s="66"/>
      <c r="VH48" s="66"/>
      <c r="VI48" s="66"/>
      <c r="VJ48" s="66"/>
      <c r="VK48" s="66"/>
      <c r="VL48" s="66"/>
      <c r="VM48" s="66"/>
      <c r="VN48" s="66"/>
      <c r="VO48" s="66"/>
      <c r="VP48" s="66"/>
      <c r="VQ48" s="66"/>
      <c r="VR48" s="66"/>
      <c r="VS48" s="66"/>
      <c r="VT48" s="66"/>
      <c r="VU48" s="66"/>
      <c r="VV48" s="66"/>
      <c r="VW48" s="66"/>
      <c r="VX48" s="66"/>
      <c r="VY48" s="66"/>
      <c r="VZ48" s="66"/>
      <c r="WA48" s="66"/>
      <c r="WB48" s="66"/>
      <c r="WC48" s="66"/>
      <c r="WD48" s="66"/>
      <c r="WE48" s="66"/>
      <c r="WF48" s="66"/>
      <c r="WG48" s="66"/>
      <c r="WH48" s="66"/>
      <c r="WI48" s="66"/>
      <c r="WJ48" s="66"/>
      <c r="WK48" s="66"/>
      <c r="WL48" s="66"/>
      <c r="WM48" s="66"/>
      <c r="WN48" s="66"/>
      <c r="WO48" s="66"/>
      <c r="WP48" s="66"/>
      <c r="WQ48" s="66"/>
      <c r="WR48" s="66"/>
      <c r="WS48" s="66"/>
      <c r="WT48" s="66"/>
      <c r="WU48" s="66"/>
      <c r="WV48" s="66"/>
      <c r="WW48" s="66"/>
      <c r="WX48" s="66"/>
      <c r="WY48" s="66"/>
      <c r="WZ48" s="66"/>
      <c r="XA48" s="66"/>
      <c r="XB48" s="66"/>
      <c r="XC48" s="66"/>
      <c r="XD48" s="66"/>
      <c r="XE48" s="66"/>
      <c r="XF48" s="66"/>
      <c r="XG48" s="66"/>
      <c r="XH48" s="66"/>
      <c r="XI48" s="66"/>
      <c r="XJ48" s="66"/>
      <c r="XK48" s="66"/>
      <c r="XL48" s="66"/>
      <c r="XM48" s="66"/>
      <c r="XN48" s="66"/>
      <c r="XO48" s="66"/>
      <c r="XP48" s="66"/>
      <c r="XQ48" s="66"/>
      <c r="XR48" s="66"/>
      <c r="XS48" s="66"/>
      <c r="XT48" s="66"/>
      <c r="XU48" s="66"/>
      <c r="XV48" s="66"/>
      <c r="XW48" s="66"/>
      <c r="XX48" s="66"/>
      <c r="XY48" s="66"/>
      <c r="XZ48" s="66"/>
      <c r="YA48" s="66"/>
      <c r="YB48" s="66"/>
      <c r="YC48" s="66"/>
      <c r="YD48" s="66"/>
      <c r="YE48" s="66"/>
      <c r="YF48" s="66"/>
      <c r="YG48" s="66"/>
      <c r="YH48" s="66"/>
      <c r="YI48" s="66"/>
      <c r="YJ48" s="66"/>
      <c r="YK48" s="66"/>
      <c r="YL48" s="66"/>
      <c r="YM48" s="66"/>
      <c r="YN48" s="66"/>
      <c r="YO48" s="66"/>
      <c r="YP48" s="66"/>
      <c r="YQ48" s="66"/>
      <c r="YR48" s="66"/>
      <c r="YS48" s="66"/>
      <c r="YT48" s="66"/>
      <c r="YU48" s="66"/>
      <c r="YV48" s="66"/>
      <c r="YW48" s="66"/>
      <c r="YX48" s="66"/>
      <c r="YY48" s="66"/>
      <c r="YZ48" s="66"/>
      <c r="ZA48" s="66"/>
      <c r="ZB48" s="66"/>
      <c r="ZC48" s="66"/>
      <c r="ZD48" s="66"/>
      <c r="ZE48" s="66"/>
      <c r="ZF48" s="66"/>
      <c r="ZG48" s="66"/>
      <c r="ZH48" s="66"/>
      <c r="ZI48" s="66"/>
      <c r="ZJ48" s="66"/>
      <c r="ZK48" s="66"/>
      <c r="ZL48" s="66"/>
      <c r="ZM48" s="66"/>
      <c r="ZN48" s="66"/>
      <c r="ZO48" s="66"/>
      <c r="ZP48" s="66"/>
      <c r="ZQ48" s="66"/>
      <c r="ZR48" s="66"/>
      <c r="ZS48" s="66"/>
      <c r="ZT48" s="66"/>
      <c r="ZU48" s="66"/>
      <c r="ZV48" s="66"/>
      <c r="ZW48" s="66"/>
      <c r="ZX48" s="66"/>
    </row>
    <row r="49" spans="1:700" s="20" customFormat="1" ht="15.75" x14ac:dyDescent="0.25">
      <c r="A49" s="67"/>
      <c r="B49" s="68"/>
      <c r="C49" s="68"/>
      <c r="D49" s="69"/>
      <c r="E49" s="110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  <c r="CH49" s="66"/>
      <c r="CI49" s="66"/>
      <c r="CJ49" s="66"/>
      <c r="CK49" s="66"/>
      <c r="CL49" s="66"/>
      <c r="CM49" s="66"/>
      <c r="CN49" s="66"/>
      <c r="CO49" s="66"/>
      <c r="CP49" s="66"/>
      <c r="CQ49" s="66"/>
      <c r="CR49" s="66"/>
      <c r="CS49" s="66"/>
      <c r="CT49" s="66"/>
      <c r="CU49" s="66"/>
      <c r="CV49" s="66"/>
      <c r="CW49" s="66"/>
      <c r="CX49" s="66"/>
      <c r="CY49" s="66"/>
      <c r="CZ49" s="66"/>
      <c r="DA49" s="66"/>
      <c r="DB49" s="66"/>
      <c r="DC49" s="66"/>
      <c r="DD49" s="66"/>
      <c r="DE49" s="66"/>
      <c r="DF49" s="66"/>
      <c r="DG49" s="66"/>
      <c r="DH49" s="66"/>
      <c r="DI49" s="66"/>
      <c r="DJ49" s="66"/>
      <c r="DK49" s="66"/>
      <c r="DL49" s="66"/>
      <c r="DM49" s="66"/>
      <c r="DN49" s="66"/>
      <c r="DO49" s="66"/>
      <c r="DP49" s="66"/>
      <c r="DQ49" s="66"/>
      <c r="DR49" s="66"/>
      <c r="DS49" s="66"/>
      <c r="DT49" s="66"/>
      <c r="DU49" s="66"/>
      <c r="DV49" s="66"/>
      <c r="DW49" s="66"/>
      <c r="DX49" s="66"/>
      <c r="DY49" s="66"/>
      <c r="DZ49" s="66"/>
      <c r="EA49" s="66"/>
      <c r="EB49" s="66"/>
      <c r="EC49" s="66"/>
      <c r="ED49" s="66"/>
      <c r="EE49" s="66"/>
      <c r="EF49" s="66"/>
      <c r="EG49" s="66"/>
      <c r="EH49" s="66"/>
      <c r="EI49" s="66"/>
      <c r="EJ49" s="66"/>
      <c r="EK49" s="66"/>
      <c r="EL49" s="66"/>
      <c r="EM49" s="66"/>
      <c r="EN49" s="66"/>
      <c r="EO49" s="66"/>
      <c r="EP49" s="66"/>
      <c r="EQ49" s="66"/>
      <c r="ER49" s="66"/>
      <c r="ES49" s="66"/>
      <c r="ET49" s="66"/>
      <c r="EU49" s="66"/>
      <c r="EV49" s="66"/>
      <c r="EW49" s="66"/>
      <c r="EX49" s="66"/>
      <c r="EY49" s="66"/>
      <c r="EZ49" s="66"/>
      <c r="FA49" s="66"/>
      <c r="FB49" s="66"/>
      <c r="FC49" s="66"/>
      <c r="FD49" s="66"/>
      <c r="FE49" s="66"/>
      <c r="FF49" s="66"/>
      <c r="FG49" s="66"/>
      <c r="FH49" s="66"/>
      <c r="FI49" s="66"/>
      <c r="FJ49" s="66"/>
      <c r="FK49" s="66"/>
      <c r="FL49" s="66"/>
      <c r="FM49" s="66"/>
      <c r="FN49" s="66"/>
      <c r="FO49" s="66"/>
      <c r="FP49" s="66"/>
      <c r="FQ49" s="66"/>
      <c r="FR49" s="66"/>
      <c r="FS49" s="66"/>
      <c r="FT49" s="66"/>
      <c r="FU49" s="66"/>
      <c r="FV49" s="66"/>
      <c r="FW49" s="66"/>
      <c r="FX49" s="66"/>
      <c r="FY49" s="66"/>
      <c r="FZ49" s="66"/>
      <c r="GA49" s="66"/>
      <c r="GB49" s="66"/>
      <c r="GC49" s="66"/>
      <c r="GD49" s="66"/>
      <c r="GE49" s="66"/>
      <c r="GF49" s="66"/>
      <c r="GG49" s="66"/>
      <c r="GH49" s="66"/>
      <c r="GI49" s="66"/>
      <c r="GJ49" s="66"/>
      <c r="GK49" s="66"/>
      <c r="GL49" s="66"/>
      <c r="GM49" s="66"/>
      <c r="GN49" s="66"/>
      <c r="GO49" s="66"/>
      <c r="GP49" s="66"/>
      <c r="GQ49" s="66"/>
      <c r="GR49" s="66"/>
      <c r="GS49" s="66"/>
      <c r="GT49" s="66"/>
      <c r="GU49" s="66"/>
      <c r="GV49" s="66"/>
      <c r="GW49" s="66"/>
      <c r="GX49" s="66"/>
      <c r="GY49" s="66"/>
      <c r="GZ49" s="66"/>
      <c r="HA49" s="66"/>
      <c r="HB49" s="66"/>
      <c r="HC49" s="66"/>
      <c r="HD49" s="66"/>
      <c r="HE49" s="66"/>
      <c r="HF49" s="66"/>
      <c r="HG49" s="66"/>
      <c r="HH49" s="66"/>
      <c r="HI49" s="66"/>
      <c r="HJ49" s="66"/>
      <c r="HK49" s="66"/>
      <c r="HL49" s="66"/>
      <c r="HM49" s="66"/>
      <c r="HN49" s="66"/>
      <c r="HO49" s="66"/>
      <c r="HP49" s="66"/>
      <c r="HQ49" s="66"/>
      <c r="HR49" s="66"/>
      <c r="HS49" s="66"/>
      <c r="HT49" s="66"/>
      <c r="HU49" s="66"/>
      <c r="HV49" s="66"/>
      <c r="HW49" s="66"/>
      <c r="HX49" s="66"/>
      <c r="HY49" s="66"/>
      <c r="HZ49" s="66"/>
      <c r="IA49" s="66"/>
      <c r="IB49" s="66"/>
      <c r="IC49" s="66"/>
      <c r="ID49" s="66"/>
      <c r="IE49" s="66"/>
      <c r="IF49" s="66"/>
      <c r="IG49" s="66"/>
      <c r="IH49" s="66"/>
      <c r="II49" s="66"/>
      <c r="IJ49" s="66"/>
      <c r="IK49" s="66"/>
      <c r="IL49" s="66"/>
      <c r="IM49" s="66"/>
      <c r="IN49" s="66"/>
      <c r="IO49" s="66"/>
      <c r="IP49" s="66"/>
      <c r="IQ49" s="66"/>
      <c r="IR49" s="66"/>
      <c r="IS49" s="66"/>
      <c r="IT49" s="66"/>
      <c r="IU49" s="66"/>
      <c r="IV49" s="66"/>
      <c r="IW49" s="66"/>
      <c r="IX49" s="66"/>
      <c r="IY49" s="66"/>
      <c r="IZ49" s="66"/>
      <c r="JA49" s="66"/>
      <c r="JB49" s="66"/>
      <c r="JC49" s="66"/>
      <c r="JD49" s="66"/>
      <c r="JE49" s="66"/>
      <c r="JF49" s="66"/>
      <c r="JG49" s="66"/>
      <c r="JH49" s="66"/>
      <c r="JI49" s="66"/>
      <c r="JJ49" s="66"/>
      <c r="JK49" s="66"/>
      <c r="JL49" s="66"/>
      <c r="JM49" s="66"/>
      <c r="JN49" s="66"/>
      <c r="JO49" s="66"/>
      <c r="JP49" s="66"/>
      <c r="JQ49" s="66"/>
      <c r="JR49" s="66"/>
      <c r="JS49" s="66"/>
      <c r="JT49" s="66"/>
      <c r="JU49" s="66"/>
      <c r="JV49" s="66"/>
      <c r="JW49" s="66"/>
      <c r="JX49" s="66"/>
      <c r="JY49" s="66"/>
      <c r="JZ49" s="66"/>
      <c r="KA49" s="66"/>
      <c r="KB49" s="66"/>
      <c r="KC49" s="66"/>
      <c r="KD49" s="66"/>
      <c r="KE49" s="66"/>
      <c r="KF49" s="66"/>
      <c r="KG49" s="66"/>
      <c r="KH49" s="66"/>
      <c r="KI49" s="66"/>
      <c r="KJ49" s="66"/>
      <c r="KK49" s="66"/>
      <c r="KL49" s="66"/>
      <c r="KM49" s="66"/>
      <c r="KN49" s="66"/>
      <c r="KO49" s="66"/>
      <c r="KP49" s="66"/>
      <c r="KQ49" s="66"/>
      <c r="KR49" s="66"/>
      <c r="KS49" s="66"/>
      <c r="KT49" s="66"/>
      <c r="KU49" s="66"/>
      <c r="KV49" s="66"/>
      <c r="KW49" s="66"/>
      <c r="KX49" s="66"/>
      <c r="KY49" s="66"/>
      <c r="KZ49" s="66"/>
      <c r="LA49" s="66"/>
      <c r="LB49" s="66"/>
      <c r="LC49" s="66"/>
      <c r="LD49" s="66"/>
      <c r="LE49" s="66"/>
      <c r="LF49" s="66"/>
      <c r="LG49" s="66"/>
      <c r="LH49" s="66"/>
      <c r="LI49" s="66"/>
      <c r="LJ49" s="66"/>
      <c r="LK49" s="66"/>
      <c r="LL49" s="66"/>
      <c r="LM49" s="66"/>
      <c r="LN49" s="66"/>
      <c r="LO49" s="66"/>
      <c r="LP49" s="66"/>
      <c r="LQ49" s="66"/>
      <c r="LR49" s="66"/>
      <c r="LS49" s="66"/>
      <c r="LT49" s="66"/>
      <c r="LU49" s="66"/>
      <c r="LV49" s="66"/>
      <c r="LW49" s="66"/>
      <c r="LX49" s="66"/>
      <c r="LY49" s="66"/>
      <c r="LZ49" s="66"/>
      <c r="MA49" s="66"/>
      <c r="MB49" s="66"/>
      <c r="MC49" s="66"/>
      <c r="MD49" s="66"/>
      <c r="ME49" s="66"/>
      <c r="MF49" s="66"/>
      <c r="MG49" s="66"/>
      <c r="MH49" s="66"/>
      <c r="MI49" s="66"/>
      <c r="MJ49" s="66"/>
      <c r="MK49" s="66"/>
      <c r="ML49" s="66"/>
      <c r="MM49" s="66"/>
      <c r="MN49" s="66"/>
      <c r="MO49" s="66"/>
      <c r="MP49" s="66"/>
      <c r="MQ49" s="66"/>
      <c r="MR49" s="66"/>
      <c r="MS49" s="66"/>
      <c r="MT49" s="66"/>
      <c r="MU49" s="66"/>
      <c r="MV49" s="66"/>
      <c r="MW49" s="66"/>
      <c r="MX49" s="66"/>
      <c r="MY49" s="66"/>
      <c r="MZ49" s="66"/>
      <c r="NA49" s="66"/>
      <c r="NB49" s="66"/>
      <c r="NC49" s="66"/>
      <c r="ND49" s="66"/>
      <c r="NE49" s="66"/>
      <c r="NF49" s="66"/>
      <c r="NG49" s="66"/>
      <c r="NH49" s="66"/>
      <c r="NI49" s="66"/>
      <c r="NJ49" s="66"/>
      <c r="NK49" s="66"/>
      <c r="NL49" s="66"/>
      <c r="NM49" s="66"/>
      <c r="NN49" s="66"/>
      <c r="NO49" s="66"/>
      <c r="NP49" s="66"/>
      <c r="NQ49" s="66"/>
      <c r="NR49" s="66"/>
      <c r="NS49" s="66"/>
      <c r="NT49" s="66"/>
      <c r="NU49" s="66"/>
      <c r="NV49" s="66"/>
      <c r="NW49" s="66"/>
      <c r="NX49" s="66"/>
      <c r="NY49" s="66"/>
      <c r="NZ49" s="66"/>
      <c r="OA49" s="66"/>
      <c r="OB49" s="66"/>
      <c r="OC49" s="66"/>
      <c r="OD49" s="66"/>
      <c r="OE49" s="66"/>
      <c r="OF49" s="66"/>
      <c r="OG49" s="66"/>
      <c r="OH49" s="66"/>
      <c r="OI49" s="66"/>
      <c r="OJ49" s="66"/>
      <c r="OK49" s="66"/>
      <c r="OL49" s="66"/>
      <c r="OM49" s="66"/>
      <c r="ON49" s="66"/>
      <c r="OO49" s="66"/>
      <c r="OP49" s="66"/>
      <c r="OQ49" s="66"/>
      <c r="OR49" s="66"/>
      <c r="OS49" s="66"/>
      <c r="OT49" s="66"/>
      <c r="OU49" s="66"/>
      <c r="OV49" s="66"/>
      <c r="OW49" s="66"/>
      <c r="OX49" s="66"/>
      <c r="OY49" s="66"/>
      <c r="OZ49" s="66"/>
      <c r="PA49" s="66"/>
      <c r="PB49" s="66"/>
      <c r="PC49" s="66"/>
      <c r="PD49" s="66"/>
      <c r="PE49" s="66"/>
      <c r="PF49" s="66"/>
      <c r="PG49" s="66"/>
      <c r="PH49" s="66"/>
      <c r="PI49" s="66"/>
      <c r="PJ49" s="66"/>
      <c r="PK49" s="66"/>
      <c r="PL49" s="66"/>
      <c r="PM49" s="66"/>
      <c r="PN49" s="66"/>
      <c r="PO49" s="66"/>
      <c r="PP49" s="66"/>
      <c r="PQ49" s="66"/>
      <c r="PR49" s="66"/>
      <c r="PS49" s="66"/>
      <c r="PT49" s="66"/>
      <c r="PU49" s="66"/>
      <c r="PV49" s="66"/>
      <c r="PW49" s="66"/>
      <c r="PX49" s="66"/>
      <c r="PY49" s="66"/>
      <c r="PZ49" s="66"/>
      <c r="QA49" s="66"/>
      <c r="QB49" s="66"/>
      <c r="QC49" s="66"/>
      <c r="QD49" s="66"/>
      <c r="QE49" s="66"/>
      <c r="QF49" s="66"/>
      <c r="QG49" s="66"/>
      <c r="QH49" s="66"/>
      <c r="QI49" s="66"/>
      <c r="QJ49" s="66"/>
      <c r="QK49" s="66"/>
      <c r="QL49" s="66"/>
      <c r="QM49" s="66"/>
      <c r="QN49" s="66"/>
      <c r="QO49" s="66"/>
      <c r="QP49" s="66"/>
      <c r="QQ49" s="66"/>
      <c r="QR49" s="66"/>
      <c r="QS49" s="66"/>
      <c r="QT49" s="66"/>
      <c r="QU49" s="66"/>
      <c r="QV49" s="66"/>
      <c r="QW49" s="66"/>
      <c r="QX49" s="66"/>
      <c r="QY49" s="66"/>
      <c r="QZ49" s="66"/>
      <c r="RA49" s="66"/>
      <c r="RB49" s="66"/>
      <c r="RC49" s="66"/>
      <c r="RD49" s="66"/>
      <c r="RE49" s="66"/>
      <c r="RF49" s="66"/>
      <c r="RG49" s="66"/>
      <c r="RH49" s="66"/>
      <c r="RI49" s="66"/>
      <c r="RJ49" s="66"/>
      <c r="RK49" s="66"/>
      <c r="RL49" s="66"/>
      <c r="RM49" s="66"/>
      <c r="RN49" s="66"/>
      <c r="RO49" s="66"/>
      <c r="RP49" s="66"/>
      <c r="RQ49" s="66"/>
      <c r="RR49" s="66"/>
      <c r="RS49" s="66"/>
      <c r="RT49" s="66"/>
      <c r="RU49" s="66"/>
      <c r="RV49" s="66"/>
      <c r="RW49" s="66"/>
      <c r="RX49" s="66"/>
      <c r="RY49" s="66"/>
      <c r="RZ49" s="66"/>
      <c r="SA49" s="66"/>
      <c r="SB49" s="66"/>
      <c r="SC49" s="66"/>
      <c r="SD49" s="66"/>
      <c r="SE49" s="66"/>
      <c r="SF49" s="66"/>
      <c r="SG49" s="66"/>
      <c r="SH49" s="66"/>
      <c r="SI49" s="66"/>
      <c r="SJ49" s="66"/>
      <c r="SK49" s="66"/>
      <c r="SL49" s="66"/>
      <c r="SM49" s="66"/>
      <c r="SN49" s="66"/>
      <c r="SO49" s="66"/>
      <c r="SP49" s="66"/>
      <c r="SQ49" s="66"/>
      <c r="SR49" s="66"/>
      <c r="SS49" s="66"/>
      <c r="ST49" s="66"/>
      <c r="SU49" s="66"/>
      <c r="SV49" s="66"/>
      <c r="SW49" s="66"/>
      <c r="SX49" s="66"/>
      <c r="SY49" s="66"/>
      <c r="SZ49" s="66"/>
      <c r="TA49" s="66"/>
      <c r="TB49" s="66"/>
      <c r="TC49" s="66"/>
      <c r="TD49" s="66"/>
      <c r="TE49" s="66"/>
      <c r="TF49" s="66"/>
      <c r="TG49" s="66"/>
      <c r="TH49" s="66"/>
      <c r="TI49" s="66"/>
      <c r="TJ49" s="66"/>
      <c r="TK49" s="66"/>
      <c r="TL49" s="66"/>
      <c r="TM49" s="66"/>
      <c r="TN49" s="66"/>
      <c r="TO49" s="66"/>
      <c r="TP49" s="66"/>
      <c r="TQ49" s="66"/>
      <c r="TR49" s="66"/>
      <c r="TS49" s="66"/>
      <c r="TT49" s="66"/>
      <c r="TU49" s="66"/>
      <c r="TV49" s="66"/>
      <c r="TW49" s="66"/>
      <c r="TX49" s="66"/>
      <c r="TY49" s="66"/>
      <c r="TZ49" s="66"/>
      <c r="UA49" s="66"/>
      <c r="UB49" s="66"/>
      <c r="UC49" s="66"/>
      <c r="UD49" s="66"/>
      <c r="UE49" s="66"/>
      <c r="UF49" s="66"/>
      <c r="UG49" s="66"/>
      <c r="UH49" s="66"/>
      <c r="UI49" s="66"/>
      <c r="UJ49" s="66"/>
      <c r="UK49" s="66"/>
      <c r="UL49" s="66"/>
      <c r="UM49" s="66"/>
      <c r="UN49" s="66"/>
      <c r="UO49" s="66"/>
      <c r="UP49" s="66"/>
      <c r="UQ49" s="66"/>
      <c r="UR49" s="66"/>
      <c r="US49" s="66"/>
      <c r="UT49" s="66"/>
      <c r="UU49" s="66"/>
      <c r="UV49" s="66"/>
      <c r="UW49" s="66"/>
      <c r="UX49" s="66"/>
      <c r="UY49" s="66"/>
      <c r="UZ49" s="66"/>
      <c r="VA49" s="66"/>
      <c r="VB49" s="66"/>
      <c r="VC49" s="66"/>
      <c r="VD49" s="66"/>
      <c r="VE49" s="66"/>
      <c r="VF49" s="66"/>
      <c r="VG49" s="66"/>
      <c r="VH49" s="66"/>
      <c r="VI49" s="66"/>
      <c r="VJ49" s="66"/>
      <c r="VK49" s="66"/>
      <c r="VL49" s="66"/>
      <c r="VM49" s="66"/>
      <c r="VN49" s="66"/>
      <c r="VO49" s="66"/>
      <c r="VP49" s="66"/>
      <c r="VQ49" s="66"/>
      <c r="VR49" s="66"/>
      <c r="VS49" s="66"/>
      <c r="VT49" s="66"/>
      <c r="VU49" s="66"/>
      <c r="VV49" s="66"/>
      <c r="VW49" s="66"/>
      <c r="VX49" s="66"/>
      <c r="VY49" s="66"/>
      <c r="VZ49" s="66"/>
      <c r="WA49" s="66"/>
      <c r="WB49" s="66"/>
      <c r="WC49" s="66"/>
      <c r="WD49" s="66"/>
      <c r="WE49" s="66"/>
      <c r="WF49" s="66"/>
      <c r="WG49" s="66"/>
      <c r="WH49" s="66"/>
      <c r="WI49" s="66"/>
      <c r="WJ49" s="66"/>
      <c r="WK49" s="66"/>
      <c r="WL49" s="66"/>
      <c r="WM49" s="66"/>
      <c r="WN49" s="66"/>
      <c r="WO49" s="66"/>
      <c r="WP49" s="66"/>
      <c r="WQ49" s="66"/>
      <c r="WR49" s="66"/>
      <c r="WS49" s="66"/>
      <c r="WT49" s="66"/>
      <c r="WU49" s="66"/>
      <c r="WV49" s="66"/>
      <c r="WW49" s="66"/>
      <c r="WX49" s="66"/>
      <c r="WY49" s="66"/>
      <c r="WZ49" s="66"/>
      <c r="XA49" s="66"/>
      <c r="XB49" s="66"/>
      <c r="XC49" s="66"/>
      <c r="XD49" s="66"/>
      <c r="XE49" s="66"/>
      <c r="XF49" s="66"/>
      <c r="XG49" s="66"/>
      <c r="XH49" s="66"/>
      <c r="XI49" s="66"/>
      <c r="XJ49" s="66"/>
      <c r="XK49" s="66"/>
      <c r="XL49" s="66"/>
      <c r="XM49" s="66"/>
      <c r="XN49" s="66"/>
      <c r="XO49" s="66"/>
      <c r="XP49" s="66"/>
      <c r="XQ49" s="66"/>
      <c r="XR49" s="66"/>
      <c r="XS49" s="66"/>
      <c r="XT49" s="66"/>
      <c r="XU49" s="66"/>
      <c r="XV49" s="66"/>
      <c r="XW49" s="66"/>
      <c r="XX49" s="66"/>
      <c r="XY49" s="66"/>
      <c r="XZ49" s="66"/>
      <c r="YA49" s="66"/>
      <c r="YB49" s="66"/>
      <c r="YC49" s="66"/>
      <c r="YD49" s="66"/>
      <c r="YE49" s="66"/>
      <c r="YF49" s="66"/>
      <c r="YG49" s="66"/>
      <c r="YH49" s="66"/>
      <c r="YI49" s="66"/>
      <c r="YJ49" s="66"/>
      <c r="YK49" s="66"/>
      <c r="YL49" s="66"/>
      <c r="YM49" s="66"/>
      <c r="YN49" s="66"/>
      <c r="YO49" s="66"/>
      <c r="YP49" s="66"/>
      <c r="YQ49" s="66"/>
      <c r="YR49" s="66"/>
      <c r="YS49" s="66"/>
      <c r="YT49" s="66"/>
      <c r="YU49" s="66"/>
      <c r="YV49" s="66"/>
      <c r="YW49" s="66"/>
      <c r="YX49" s="66"/>
      <c r="YY49" s="66"/>
      <c r="YZ49" s="66"/>
      <c r="ZA49" s="66"/>
      <c r="ZB49" s="66"/>
      <c r="ZC49" s="66"/>
      <c r="ZD49" s="66"/>
      <c r="ZE49" s="66"/>
      <c r="ZF49" s="66"/>
      <c r="ZG49" s="66"/>
      <c r="ZH49" s="66"/>
      <c r="ZI49" s="66"/>
      <c r="ZJ49" s="66"/>
      <c r="ZK49" s="66"/>
      <c r="ZL49" s="66"/>
      <c r="ZM49" s="66"/>
      <c r="ZN49" s="66"/>
      <c r="ZO49" s="66"/>
      <c r="ZP49" s="66"/>
      <c r="ZQ49" s="66"/>
      <c r="ZR49" s="66"/>
      <c r="ZS49" s="66"/>
      <c r="ZT49" s="66"/>
      <c r="ZU49" s="66"/>
      <c r="ZV49" s="66"/>
      <c r="ZW49" s="66"/>
      <c r="ZX49" s="66"/>
    </row>
    <row r="50" spans="1:700" s="20" customFormat="1" ht="15.75" x14ac:dyDescent="0.25">
      <c r="A50" s="70"/>
      <c r="B50" s="71"/>
      <c r="C50" s="71"/>
      <c r="D50" s="109"/>
      <c r="E50" s="111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  <c r="CH50" s="66"/>
      <c r="CI50" s="66"/>
      <c r="CJ50" s="66"/>
      <c r="CK50" s="66"/>
      <c r="CL50" s="66"/>
      <c r="CM50" s="66"/>
      <c r="CN50" s="66"/>
      <c r="CO50" s="66"/>
      <c r="CP50" s="66"/>
      <c r="CQ50" s="66"/>
      <c r="CR50" s="66"/>
      <c r="CS50" s="66"/>
      <c r="CT50" s="66"/>
      <c r="CU50" s="66"/>
      <c r="CV50" s="66"/>
      <c r="CW50" s="66"/>
      <c r="CX50" s="66"/>
      <c r="CY50" s="66"/>
      <c r="CZ50" s="66"/>
      <c r="DA50" s="66"/>
      <c r="DB50" s="66"/>
      <c r="DC50" s="66"/>
      <c r="DD50" s="66"/>
      <c r="DE50" s="66"/>
      <c r="DF50" s="66"/>
      <c r="DG50" s="66"/>
      <c r="DH50" s="66"/>
      <c r="DI50" s="66"/>
      <c r="DJ50" s="66"/>
      <c r="DK50" s="66"/>
      <c r="DL50" s="66"/>
      <c r="DM50" s="66"/>
      <c r="DN50" s="66"/>
      <c r="DO50" s="66"/>
      <c r="DP50" s="66"/>
      <c r="DQ50" s="66"/>
      <c r="DR50" s="66"/>
      <c r="DS50" s="66"/>
      <c r="DT50" s="66"/>
      <c r="DU50" s="66"/>
      <c r="DV50" s="66"/>
      <c r="DW50" s="66"/>
      <c r="DX50" s="66"/>
      <c r="DY50" s="66"/>
      <c r="DZ50" s="66"/>
      <c r="EA50" s="66"/>
      <c r="EB50" s="66"/>
      <c r="EC50" s="66"/>
      <c r="ED50" s="66"/>
      <c r="EE50" s="66"/>
      <c r="EF50" s="66"/>
      <c r="EG50" s="66"/>
      <c r="EH50" s="66"/>
      <c r="EI50" s="66"/>
      <c r="EJ50" s="66"/>
      <c r="EK50" s="66"/>
      <c r="EL50" s="66"/>
      <c r="EM50" s="66"/>
      <c r="EN50" s="66"/>
      <c r="EO50" s="66"/>
      <c r="EP50" s="66"/>
      <c r="EQ50" s="66"/>
      <c r="ER50" s="66"/>
      <c r="ES50" s="66"/>
      <c r="ET50" s="66"/>
      <c r="EU50" s="66"/>
      <c r="EV50" s="66"/>
      <c r="EW50" s="66"/>
      <c r="EX50" s="66"/>
      <c r="EY50" s="66"/>
      <c r="EZ50" s="66"/>
      <c r="FA50" s="66"/>
      <c r="FB50" s="66"/>
      <c r="FC50" s="66"/>
      <c r="FD50" s="66"/>
      <c r="FE50" s="66"/>
      <c r="FF50" s="66"/>
      <c r="FG50" s="66"/>
      <c r="FH50" s="66"/>
      <c r="FI50" s="66"/>
      <c r="FJ50" s="66"/>
      <c r="FK50" s="66"/>
      <c r="FL50" s="66"/>
      <c r="FM50" s="66"/>
      <c r="FN50" s="66"/>
      <c r="FO50" s="66"/>
      <c r="FP50" s="66"/>
      <c r="FQ50" s="66"/>
      <c r="FR50" s="66"/>
      <c r="FS50" s="66"/>
      <c r="FT50" s="66"/>
      <c r="FU50" s="66"/>
      <c r="FV50" s="66"/>
      <c r="FW50" s="66"/>
      <c r="FX50" s="66"/>
      <c r="FY50" s="66"/>
      <c r="FZ50" s="66"/>
      <c r="GA50" s="66"/>
      <c r="GB50" s="66"/>
      <c r="GC50" s="66"/>
      <c r="GD50" s="66"/>
      <c r="GE50" s="66"/>
      <c r="GF50" s="66"/>
      <c r="GG50" s="66"/>
      <c r="GH50" s="66"/>
      <c r="GI50" s="66"/>
      <c r="GJ50" s="66"/>
      <c r="GK50" s="66"/>
      <c r="GL50" s="66"/>
      <c r="GM50" s="66"/>
      <c r="GN50" s="66"/>
      <c r="GO50" s="66"/>
      <c r="GP50" s="66"/>
      <c r="GQ50" s="66"/>
      <c r="GR50" s="66"/>
      <c r="GS50" s="66"/>
      <c r="GT50" s="66"/>
      <c r="GU50" s="66"/>
      <c r="GV50" s="66"/>
      <c r="GW50" s="66"/>
      <c r="GX50" s="66"/>
      <c r="GY50" s="66"/>
      <c r="GZ50" s="66"/>
      <c r="HA50" s="66"/>
      <c r="HB50" s="66"/>
      <c r="HC50" s="66"/>
      <c r="HD50" s="66"/>
      <c r="HE50" s="66"/>
      <c r="HF50" s="66"/>
      <c r="HG50" s="66"/>
      <c r="HH50" s="66"/>
      <c r="HI50" s="66"/>
      <c r="HJ50" s="66"/>
      <c r="HK50" s="66"/>
      <c r="HL50" s="66"/>
      <c r="HM50" s="66"/>
      <c r="HN50" s="66"/>
      <c r="HO50" s="66"/>
      <c r="HP50" s="66"/>
      <c r="HQ50" s="66"/>
      <c r="HR50" s="66"/>
      <c r="HS50" s="66"/>
      <c r="HT50" s="66"/>
      <c r="HU50" s="66"/>
      <c r="HV50" s="66"/>
      <c r="HW50" s="66"/>
      <c r="HX50" s="66"/>
      <c r="HY50" s="66"/>
      <c r="HZ50" s="66"/>
      <c r="IA50" s="66"/>
      <c r="IB50" s="66"/>
      <c r="IC50" s="66"/>
      <c r="ID50" s="66"/>
      <c r="IE50" s="66"/>
      <c r="IF50" s="66"/>
      <c r="IG50" s="66"/>
      <c r="IH50" s="66"/>
      <c r="II50" s="66"/>
      <c r="IJ50" s="66"/>
      <c r="IK50" s="66"/>
      <c r="IL50" s="66"/>
      <c r="IM50" s="66"/>
      <c r="IN50" s="66"/>
      <c r="IO50" s="66"/>
      <c r="IP50" s="66"/>
      <c r="IQ50" s="66"/>
      <c r="IR50" s="66"/>
      <c r="IS50" s="66"/>
      <c r="IT50" s="66"/>
      <c r="IU50" s="66"/>
      <c r="IV50" s="66"/>
      <c r="IW50" s="66"/>
      <c r="IX50" s="66"/>
      <c r="IY50" s="66"/>
      <c r="IZ50" s="66"/>
      <c r="JA50" s="66"/>
      <c r="JB50" s="66"/>
      <c r="JC50" s="66"/>
      <c r="JD50" s="66"/>
      <c r="JE50" s="66"/>
      <c r="JF50" s="66"/>
      <c r="JG50" s="66"/>
      <c r="JH50" s="66"/>
      <c r="JI50" s="66"/>
      <c r="JJ50" s="66"/>
      <c r="JK50" s="66"/>
      <c r="JL50" s="66"/>
      <c r="JM50" s="66"/>
      <c r="JN50" s="66"/>
      <c r="JO50" s="66"/>
      <c r="JP50" s="66"/>
      <c r="JQ50" s="66"/>
      <c r="JR50" s="66"/>
      <c r="JS50" s="66"/>
      <c r="JT50" s="66"/>
      <c r="JU50" s="66"/>
      <c r="JV50" s="66"/>
      <c r="JW50" s="66"/>
      <c r="JX50" s="66"/>
      <c r="JY50" s="66"/>
      <c r="JZ50" s="66"/>
      <c r="KA50" s="66"/>
      <c r="KB50" s="66"/>
      <c r="KC50" s="66"/>
      <c r="KD50" s="66"/>
      <c r="KE50" s="66"/>
      <c r="KF50" s="66"/>
      <c r="KG50" s="66"/>
      <c r="KH50" s="66"/>
      <c r="KI50" s="66"/>
      <c r="KJ50" s="66"/>
      <c r="KK50" s="66"/>
      <c r="KL50" s="66"/>
      <c r="KM50" s="66"/>
      <c r="KN50" s="66"/>
      <c r="KO50" s="66"/>
      <c r="KP50" s="66"/>
      <c r="KQ50" s="66"/>
      <c r="KR50" s="66"/>
      <c r="KS50" s="66"/>
      <c r="KT50" s="66"/>
      <c r="KU50" s="66"/>
      <c r="KV50" s="66"/>
      <c r="KW50" s="66"/>
      <c r="KX50" s="66"/>
      <c r="KY50" s="66"/>
      <c r="KZ50" s="66"/>
      <c r="LA50" s="66"/>
      <c r="LB50" s="66"/>
      <c r="LC50" s="66"/>
      <c r="LD50" s="66"/>
      <c r="LE50" s="66"/>
      <c r="LF50" s="66"/>
      <c r="LG50" s="66"/>
      <c r="LH50" s="66"/>
      <c r="LI50" s="66"/>
      <c r="LJ50" s="66"/>
      <c r="LK50" s="66"/>
      <c r="LL50" s="66"/>
      <c r="LM50" s="66"/>
      <c r="LN50" s="66"/>
      <c r="LO50" s="66"/>
      <c r="LP50" s="66"/>
      <c r="LQ50" s="66"/>
      <c r="LR50" s="66"/>
      <c r="LS50" s="66"/>
      <c r="LT50" s="66"/>
      <c r="LU50" s="66"/>
      <c r="LV50" s="66"/>
      <c r="LW50" s="66"/>
      <c r="LX50" s="66"/>
      <c r="LY50" s="66"/>
      <c r="LZ50" s="66"/>
      <c r="MA50" s="66"/>
      <c r="MB50" s="66"/>
      <c r="MC50" s="66"/>
      <c r="MD50" s="66"/>
      <c r="ME50" s="66"/>
      <c r="MF50" s="66"/>
      <c r="MG50" s="66"/>
      <c r="MH50" s="66"/>
      <c r="MI50" s="66"/>
      <c r="MJ50" s="66"/>
      <c r="MK50" s="66"/>
      <c r="ML50" s="66"/>
      <c r="MM50" s="66"/>
      <c r="MN50" s="66"/>
      <c r="MO50" s="66"/>
      <c r="MP50" s="66"/>
      <c r="MQ50" s="66"/>
      <c r="MR50" s="66"/>
      <c r="MS50" s="66"/>
      <c r="MT50" s="66"/>
      <c r="MU50" s="66"/>
      <c r="MV50" s="66"/>
      <c r="MW50" s="66"/>
      <c r="MX50" s="66"/>
      <c r="MY50" s="66"/>
      <c r="MZ50" s="66"/>
      <c r="NA50" s="66"/>
      <c r="NB50" s="66"/>
      <c r="NC50" s="66"/>
      <c r="ND50" s="66"/>
      <c r="NE50" s="66"/>
      <c r="NF50" s="66"/>
      <c r="NG50" s="66"/>
      <c r="NH50" s="66"/>
      <c r="NI50" s="66"/>
      <c r="NJ50" s="66"/>
      <c r="NK50" s="66"/>
      <c r="NL50" s="66"/>
      <c r="NM50" s="66"/>
      <c r="NN50" s="66"/>
      <c r="NO50" s="66"/>
      <c r="NP50" s="66"/>
      <c r="NQ50" s="66"/>
      <c r="NR50" s="66"/>
      <c r="NS50" s="66"/>
      <c r="NT50" s="66"/>
      <c r="NU50" s="66"/>
      <c r="NV50" s="66"/>
      <c r="NW50" s="66"/>
      <c r="NX50" s="66"/>
      <c r="NY50" s="66"/>
      <c r="NZ50" s="66"/>
      <c r="OA50" s="66"/>
      <c r="OB50" s="66"/>
      <c r="OC50" s="66"/>
      <c r="OD50" s="66"/>
      <c r="OE50" s="66"/>
      <c r="OF50" s="66"/>
      <c r="OG50" s="66"/>
      <c r="OH50" s="66"/>
      <c r="OI50" s="66"/>
      <c r="OJ50" s="66"/>
      <c r="OK50" s="66"/>
      <c r="OL50" s="66"/>
      <c r="OM50" s="66"/>
      <c r="ON50" s="66"/>
      <c r="OO50" s="66"/>
      <c r="OP50" s="66"/>
      <c r="OQ50" s="66"/>
      <c r="OR50" s="66"/>
      <c r="OS50" s="66"/>
      <c r="OT50" s="66"/>
      <c r="OU50" s="66"/>
      <c r="OV50" s="66"/>
      <c r="OW50" s="66"/>
      <c r="OX50" s="66"/>
      <c r="OY50" s="66"/>
      <c r="OZ50" s="66"/>
      <c r="PA50" s="66"/>
      <c r="PB50" s="66"/>
      <c r="PC50" s="66"/>
      <c r="PD50" s="66"/>
      <c r="PE50" s="66"/>
      <c r="PF50" s="66"/>
      <c r="PG50" s="66"/>
      <c r="PH50" s="66"/>
      <c r="PI50" s="66"/>
      <c r="PJ50" s="66"/>
      <c r="PK50" s="66"/>
      <c r="PL50" s="66"/>
      <c r="PM50" s="66"/>
      <c r="PN50" s="66"/>
      <c r="PO50" s="66"/>
      <c r="PP50" s="66"/>
      <c r="PQ50" s="66"/>
      <c r="PR50" s="66"/>
      <c r="PS50" s="66"/>
      <c r="PT50" s="66"/>
      <c r="PU50" s="66"/>
      <c r="PV50" s="66"/>
      <c r="PW50" s="66"/>
      <c r="PX50" s="66"/>
      <c r="PY50" s="66"/>
      <c r="PZ50" s="66"/>
      <c r="QA50" s="66"/>
      <c r="QB50" s="66"/>
      <c r="QC50" s="66"/>
      <c r="QD50" s="66"/>
      <c r="QE50" s="66"/>
      <c r="QF50" s="66"/>
      <c r="QG50" s="66"/>
      <c r="QH50" s="66"/>
      <c r="QI50" s="66"/>
      <c r="QJ50" s="66"/>
      <c r="QK50" s="66"/>
      <c r="QL50" s="66"/>
      <c r="QM50" s="66"/>
      <c r="QN50" s="66"/>
      <c r="QO50" s="66"/>
      <c r="QP50" s="66"/>
      <c r="QQ50" s="66"/>
      <c r="QR50" s="66"/>
      <c r="QS50" s="66"/>
      <c r="QT50" s="66"/>
      <c r="QU50" s="66"/>
      <c r="QV50" s="66"/>
      <c r="QW50" s="66"/>
      <c r="QX50" s="66"/>
      <c r="QY50" s="66"/>
      <c r="QZ50" s="66"/>
      <c r="RA50" s="66"/>
      <c r="RB50" s="66"/>
      <c r="RC50" s="66"/>
      <c r="RD50" s="66"/>
      <c r="RE50" s="66"/>
      <c r="RF50" s="66"/>
      <c r="RG50" s="66"/>
      <c r="RH50" s="66"/>
      <c r="RI50" s="66"/>
      <c r="RJ50" s="66"/>
      <c r="RK50" s="66"/>
      <c r="RL50" s="66"/>
      <c r="RM50" s="66"/>
      <c r="RN50" s="66"/>
      <c r="RO50" s="66"/>
      <c r="RP50" s="66"/>
      <c r="RQ50" s="66"/>
      <c r="RR50" s="66"/>
      <c r="RS50" s="66"/>
      <c r="RT50" s="66"/>
      <c r="RU50" s="66"/>
      <c r="RV50" s="66"/>
      <c r="RW50" s="66"/>
      <c r="RX50" s="66"/>
      <c r="RY50" s="66"/>
      <c r="RZ50" s="66"/>
      <c r="SA50" s="66"/>
      <c r="SB50" s="66"/>
      <c r="SC50" s="66"/>
      <c r="SD50" s="66"/>
      <c r="SE50" s="66"/>
      <c r="SF50" s="66"/>
      <c r="SG50" s="66"/>
      <c r="SH50" s="66"/>
      <c r="SI50" s="66"/>
      <c r="SJ50" s="66"/>
      <c r="SK50" s="66"/>
      <c r="SL50" s="66"/>
      <c r="SM50" s="66"/>
      <c r="SN50" s="66"/>
      <c r="SO50" s="66"/>
      <c r="SP50" s="66"/>
      <c r="SQ50" s="66"/>
      <c r="SR50" s="66"/>
      <c r="SS50" s="66"/>
      <c r="ST50" s="66"/>
      <c r="SU50" s="66"/>
      <c r="SV50" s="66"/>
      <c r="SW50" s="66"/>
      <c r="SX50" s="66"/>
      <c r="SY50" s="66"/>
      <c r="SZ50" s="66"/>
      <c r="TA50" s="66"/>
      <c r="TB50" s="66"/>
      <c r="TC50" s="66"/>
      <c r="TD50" s="66"/>
      <c r="TE50" s="66"/>
      <c r="TF50" s="66"/>
      <c r="TG50" s="66"/>
      <c r="TH50" s="66"/>
      <c r="TI50" s="66"/>
      <c r="TJ50" s="66"/>
      <c r="TK50" s="66"/>
      <c r="TL50" s="66"/>
      <c r="TM50" s="66"/>
      <c r="TN50" s="66"/>
      <c r="TO50" s="66"/>
      <c r="TP50" s="66"/>
      <c r="TQ50" s="66"/>
      <c r="TR50" s="66"/>
      <c r="TS50" s="66"/>
      <c r="TT50" s="66"/>
      <c r="TU50" s="66"/>
      <c r="TV50" s="66"/>
      <c r="TW50" s="66"/>
      <c r="TX50" s="66"/>
      <c r="TY50" s="66"/>
      <c r="TZ50" s="66"/>
      <c r="UA50" s="66"/>
      <c r="UB50" s="66"/>
      <c r="UC50" s="66"/>
      <c r="UD50" s="66"/>
      <c r="UE50" s="66"/>
      <c r="UF50" s="66"/>
      <c r="UG50" s="66"/>
      <c r="UH50" s="66"/>
      <c r="UI50" s="66"/>
      <c r="UJ50" s="66"/>
      <c r="UK50" s="66"/>
      <c r="UL50" s="66"/>
      <c r="UM50" s="66"/>
      <c r="UN50" s="66"/>
      <c r="UO50" s="66"/>
      <c r="UP50" s="66"/>
      <c r="UQ50" s="66"/>
      <c r="UR50" s="66"/>
      <c r="US50" s="66"/>
      <c r="UT50" s="66"/>
      <c r="UU50" s="66"/>
      <c r="UV50" s="66"/>
      <c r="UW50" s="66"/>
      <c r="UX50" s="66"/>
      <c r="UY50" s="66"/>
      <c r="UZ50" s="66"/>
      <c r="VA50" s="66"/>
      <c r="VB50" s="66"/>
      <c r="VC50" s="66"/>
      <c r="VD50" s="66"/>
      <c r="VE50" s="66"/>
      <c r="VF50" s="66"/>
      <c r="VG50" s="66"/>
      <c r="VH50" s="66"/>
      <c r="VI50" s="66"/>
      <c r="VJ50" s="66"/>
      <c r="VK50" s="66"/>
      <c r="VL50" s="66"/>
      <c r="VM50" s="66"/>
      <c r="VN50" s="66"/>
      <c r="VO50" s="66"/>
      <c r="VP50" s="66"/>
      <c r="VQ50" s="66"/>
      <c r="VR50" s="66"/>
      <c r="VS50" s="66"/>
      <c r="VT50" s="66"/>
      <c r="VU50" s="66"/>
      <c r="VV50" s="66"/>
      <c r="VW50" s="66"/>
      <c r="VX50" s="66"/>
      <c r="VY50" s="66"/>
      <c r="VZ50" s="66"/>
      <c r="WA50" s="66"/>
      <c r="WB50" s="66"/>
      <c r="WC50" s="66"/>
      <c r="WD50" s="66"/>
      <c r="WE50" s="66"/>
      <c r="WF50" s="66"/>
      <c r="WG50" s="66"/>
      <c r="WH50" s="66"/>
      <c r="WI50" s="66"/>
      <c r="WJ50" s="66"/>
      <c r="WK50" s="66"/>
      <c r="WL50" s="66"/>
      <c r="WM50" s="66"/>
      <c r="WN50" s="66"/>
      <c r="WO50" s="66"/>
      <c r="WP50" s="66"/>
      <c r="WQ50" s="66"/>
      <c r="WR50" s="66"/>
      <c r="WS50" s="66"/>
      <c r="WT50" s="66"/>
      <c r="WU50" s="66"/>
      <c r="WV50" s="66"/>
      <c r="WW50" s="66"/>
      <c r="WX50" s="66"/>
      <c r="WY50" s="66"/>
      <c r="WZ50" s="66"/>
      <c r="XA50" s="66"/>
      <c r="XB50" s="66"/>
      <c r="XC50" s="66"/>
      <c r="XD50" s="66"/>
      <c r="XE50" s="66"/>
      <c r="XF50" s="66"/>
      <c r="XG50" s="66"/>
      <c r="XH50" s="66"/>
      <c r="XI50" s="66"/>
      <c r="XJ50" s="66"/>
      <c r="XK50" s="66"/>
      <c r="XL50" s="66"/>
      <c r="XM50" s="66"/>
      <c r="XN50" s="66"/>
      <c r="XO50" s="66"/>
      <c r="XP50" s="66"/>
      <c r="XQ50" s="66"/>
      <c r="XR50" s="66"/>
      <c r="XS50" s="66"/>
      <c r="XT50" s="66"/>
      <c r="XU50" s="66"/>
      <c r="XV50" s="66"/>
      <c r="XW50" s="66"/>
      <c r="XX50" s="66"/>
      <c r="XY50" s="66"/>
      <c r="XZ50" s="66"/>
      <c r="YA50" s="66"/>
      <c r="YB50" s="66"/>
      <c r="YC50" s="66"/>
      <c r="YD50" s="66"/>
      <c r="YE50" s="66"/>
      <c r="YF50" s="66"/>
      <c r="YG50" s="66"/>
      <c r="YH50" s="66"/>
      <c r="YI50" s="66"/>
      <c r="YJ50" s="66"/>
      <c r="YK50" s="66"/>
      <c r="YL50" s="66"/>
      <c r="YM50" s="66"/>
      <c r="YN50" s="66"/>
      <c r="YO50" s="66"/>
      <c r="YP50" s="66"/>
      <c r="YQ50" s="66"/>
      <c r="YR50" s="66"/>
      <c r="YS50" s="66"/>
      <c r="YT50" s="66"/>
      <c r="YU50" s="66"/>
      <c r="YV50" s="66"/>
      <c r="YW50" s="66"/>
      <c r="YX50" s="66"/>
      <c r="YY50" s="66"/>
      <c r="YZ50" s="66"/>
      <c r="ZA50" s="66"/>
      <c r="ZB50" s="66"/>
      <c r="ZC50" s="66"/>
      <c r="ZD50" s="66"/>
      <c r="ZE50" s="66"/>
      <c r="ZF50" s="66"/>
      <c r="ZG50" s="66"/>
      <c r="ZH50" s="66"/>
      <c r="ZI50" s="66"/>
      <c r="ZJ50" s="66"/>
      <c r="ZK50" s="66"/>
      <c r="ZL50" s="66"/>
      <c r="ZM50" s="66"/>
      <c r="ZN50" s="66"/>
      <c r="ZO50" s="66"/>
      <c r="ZP50" s="66"/>
      <c r="ZQ50" s="66"/>
      <c r="ZR50" s="66"/>
      <c r="ZS50" s="66"/>
      <c r="ZT50" s="66"/>
      <c r="ZU50" s="66"/>
      <c r="ZV50" s="66"/>
      <c r="ZW50" s="66"/>
      <c r="ZX50" s="66"/>
    </row>
    <row r="51" spans="1:700" s="20" customFormat="1" ht="15.75" x14ac:dyDescent="0.25">
      <c r="A51" s="72"/>
      <c r="B51" s="73"/>
      <c r="C51" s="73"/>
      <c r="D51" s="108"/>
      <c r="E51" s="129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  <c r="CH51" s="66"/>
      <c r="CI51" s="66"/>
      <c r="CJ51" s="66"/>
      <c r="CK51" s="66"/>
      <c r="CL51" s="66"/>
      <c r="CM51" s="66"/>
      <c r="CN51" s="66"/>
      <c r="CO51" s="66"/>
      <c r="CP51" s="66"/>
      <c r="CQ51" s="66"/>
      <c r="CR51" s="66"/>
      <c r="CS51" s="66"/>
      <c r="CT51" s="66"/>
      <c r="CU51" s="66"/>
      <c r="CV51" s="66"/>
      <c r="CW51" s="66"/>
      <c r="CX51" s="66"/>
      <c r="CY51" s="66"/>
      <c r="CZ51" s="66"/>
      <c r="DA51" s="66"/>
      <c r="DB51" s="66"/>
      <c r="DC51" s="66"/>
      <c r="DD51" s="66"/>
      <c r="DE51" s="66"/>
      <c r="DF51" s="66"/>
      <c r="DG51" s="66"/>
      <c r="DH51" s="66"/>
      <c r="DI51" s="66"/>
      <c r="DJ51" s="66"/>
      <c r="DK51" s="66"/>
      <c r="DL51" s="66"/>
      <c r="DM51" s="66"/>
      <c r="DN51" s="66"/>
      <c r="DO51" s="66"/>
      <c r="DP51" s="66"/>
      <c r="DQ51" s="66"/>
      <c r="DR51" s="66"/>
      <c r="DS51" s="66"/>
      <c r="DT51" s="66"/>
      <c r="DU51" s="66"/>
      <c r="DV51" s="66"/>
      <c r="DW51" s="66"/>
      <c r="DX51" s="66"/>
      <c r="DY51" s="66"/>
      <c r="DZ51" s="66"/>
      <c r="EA51" s="66"/>
      <c r="EB51" s="66"/>
      <c r="EC51" s="66"/>
      <c r="ED51" s="66"/>
      <c r="EE51" s="66"/>
      <c r="EF51" s="66"/>
      <c r="EG51" s="66"/>
      <c r="EH51" s="66"/>
      <c r="EI51" s="66"/>
      <c r="EJ51" s="66"/>
      <c r="EK51" s="66"/>
      <c r="EL51" s="66"/>
      <c r="EM51" s="66"/>
      <c r="EN51" s="66"/>
      <c r="EO51" s="66"/>
      <c r="EP51" s="66"/>
      <c r="EQ51" s="66"/>
      <c r="ER51" s="66"/>
      <c r="ES51" s="66"/>
      <c r="ET51" s="66"/>
      <c r="EU51" s="66"/>
      <c r="EV51" s="66"/>
      <c r="EW51" s="66"/>
      <c r="EX51" s="66"/>
      <c r="EY51" s="66"/>
      <c r="EZ51" s="66"/>
      <c r="FA51" s="66"/>
      <c r="FB51" s="66"/>
      <c r="FC51" s="66"/>
      <c r="FD51" s="66"/>
      <c r="FE51" s="66"/>
      <c r="FF51" s="66"/>
      <c r="FG51" s="66"/>
      <c r="FH51" s="66"/>
      <c r="FI51" s="66"/>
      <c r="FJ51" s="66"/>
      <c r="FK51" s="66"/>
      <c r="FL51" s="66"/>
      <c r="FM51" s="66"/>
      <c r="FN51" s="66"/>
      <c r="FO51" s="66"/>
      <c r="FP51" s="66"/>
      <c r="FQ51" s="66"/>
      <c r="FR51" s="66"/>
      <c r="FS51" s="66"/>
      <c r="FT51" s="66"/>
      <c r="FU51" s="66"/>
      <c r="FV51" s="66"/>
      <c r="FW51" s="66"/>
      <c r="FX51" s="66"/>
      <c r="FY51" s="66"/>
      <c r="FZ51" s="66"/>
      <c r="GA51" s="66"/>
      <c r="GB51" s="66"/>
      <c r="GC51" s="66"/>
      <c r="GD51" s="66"/>
      <c r="GE51" s="66"/>
      <c r="GF51" s="66"/>
      <c r="GG51" s="66"/>
      <c r="GH51" s="66"/>
      <c r="GI51" s="66"/>
      <c r="GJ51" s="66"/>
      <c r="GK51" s="66"/>
      <c r="GL51" s="66"/>
      <c r="GM51" s="66"/>
      <c r="GN51" s="66"/>
      <c r="GO51" s="66"/>
      <c r="GP51" s="66"/>
      <c r="GQ51" s="66"/>
      <c r="GR51" s="66"/>
      <c r="GS51" s="66"/>
      <c r="GT51" s="66"/>
      <c r="GU51" s="66"/>
      <c r="GV51" s="66"/>
      <c r="GW51" s="66"/>
      <c r="GX51" s="66"/>
      <c r="GY51" s="66"/>
      <c r="GZ51" s="66"/>
      <c r="HA51" s="66"/>
      <c r="HB51" s="66"/>
      <c r="HC51" s="66"/>
      <c r="HD51" s="66"/>
      <c r="HE51" s="66"/>
      <c r="HF51" s="66"/>
      <c r="HG51" s="66"/>
      <c r="HH51" s="66"/>
      <c r="HI51" s="66"/>
      <c r="HJ51" s="66"/>
      <c r="HK51" s="66"/>
      <c r="HL51" s="66"/>
      <c r="HM51" s="66"/>
      <c r="HN51" s="66"/>
      <c r="HO51" s="66"/>
      <c r="HP51" s="66"/>
      <c r="HQ51" s="66"/>
      <c r="HR51" s="66"/>
      <c r="HS51" s="66"/>
      <c r="HT51" s="66"/>
      <c r="HU51" s="66"/>
      <c r="HV51" s="66"/>
      <c r="HW51" s="66"/>
      <c r="HX51" s="66"/>
      <c r="HY51" s="66"/>
      <c r="HZ51" s="66"/>
      <c r="IA51" s="66"/>
      <c r="IB51" s="66"/>
      <c r="IC51" s="66"/>
      <c r="ID51" s="66"/>
      <c r="IE51" s="66"/>
      <c r="IF51" s="66"/>
      <c r="IG51" s="66"/>
      <c r="IH51" s="66"/>
      <c r="II51" s="66"/>
      <c r="IJ51" s="66"/>
      <c r="IK51" s="66"/>
      <c r="IL51" s="66"/>
      <c r="IM51" s="66"/>
      <c r="IN51" s="66"/>
      <c r="IO51" s="66"/>
      <c r="IP51" s="66"/>
      <c r="IQ51" s="66"/>
      <c r="IR51" s="66"/>
      <c r="IS51" s="66"/>
      <c r="IT51" s="66"/>
      <c r="IU51" s="66"/>
      <c r="IV51" s="66"/>
      <c r="IW51" s="66"/>
      <c r="IX51" s="66"/>
      <c r="IY51" s="66"/>
      <c r="IZ51" s="66"/>
      <c r="JA51" s="66"/>
      <c r="JB51" s="66"/>
      <c r="JC51" s="66"/>
      <c r="JD51" s="66"/>
      <c r="JE51" s="66"/>
      <c r="JF51" s="66"/>
      <c r="JG51" s="66"/>
      <c r="JH51" s="66"/>
      <c r="JI51" s="66"/>
      <c r="JJ51" s="66"/>
      <c r="JK51" s="66"/>
      <c r="JL51" s="66"/>
      <c r="JM51" s="66"/>
      <c r="JN51" s="66"/>
      <c r="JO51" s="66"/>
      <c r="JP51" s="66"/>
      <c r="JQ51" s="66"/>
      <c r="JR51" s="66"/>
      <c r="JS51" s="66"/>
      <c r="JT51" s="66"/>
      <c r="JU51" s="66"/>
      <c r="JV51" s="66"/>
      <c r="JW51" s="66"/>
      <c r="JX51" s="66"/>
      <c r="JY51" s="66"/>
      <c r="JZ51" s="66"/>
      <c r="KA51" s="66"/>
      <c r="KB51" s="66"/>
      <c r="KC51" s="66"/>
      <c r="KD51" s="66"/>
      <c r="KE51" s="66"/>
      <c r="KF51" s="66"/>
      <c r="KG51" s="66"/>
      <c r="KH51" s="66"/>
      <c r="KI51" s="66"/>
      <c r="KJ51" s="66"/>
      <c r="KK51" s="66"/>
      <c r="KL51" s="66"/>
      <c r="KM51" s="66"/>
      <c r="KN51" s="66"/>
      <c r="KO51" s="66"/>
      <c r="KP51" s="66"/>
      <c r="KQ51" s="66"/>
      <c r="KR51" s="66"/>
      <c r="KS51" s="66"/>
      <c r="KT51" s="66"/>
      <c r="KU51" s="66"/>
      <c r="KV51" s="66"/>
      <c r="KW51" s="66"/>
      <c r="KX51" s="66"/>
      <c r="KY51" s="66"/>
      <c r="KZ51" s="66"/>
      <c r="LA51" s="66"/>
      <c r="LB51" s="66"/>
      <c r="LC51" s="66"/>
      <c r="LD51" s="66"/>
      <c r="LE51" s="66"/>
      <c r="LF51" s="66"/>
      <c r="LG51" s="66"/>
      <c r="LH51" s="66"/>
      <c r="LI51" s="66"/>
      <c r="LJ51" s="66"/>
      <c r="LK51" s="66"/>
      <c r="LL51" s="66"/>
      <c r="LM51" s="66"/>
      <c r="LN51" s="66"/>
      <c r="LO51" s="66"/>
      <c r="LP51" s="66"/>
      <c r="LQ51" s="66"/>
      <c r="LR51" s="66"/>
      <c r="LS51" s="66"/>
      <c r="LT51" s="66"/>
      <c r="LU51" s="66"/>
      <c r="LV51" s="66"/>
      <c r="LW51" s="66"/>
      <c r="LX51" s="66"/>
      <c r="LY51" s="66"/>
      <c r="LZ51" s="66"/>
      <c r="MA51" s="66"/>
      <c r="MB51" s="66"/>
      <c r="MC51" s="66"/>
      <c r="MD51" s="66"/>
      <c r="ME51" s="66"/>
      <c r="MF51" s="66"/>
      <c r="MG51" s="66"/>
      <c r="MH51" s="66"/>
      <c r="MI51" s="66"/>
      <c r="MJ51" s="66"/>
      <c r="MK51" s="66"/>
      <c r="ML51" s="66"/>
      <c r="MM51" s="66"/>
      <c r="MN51" s="66"/>
      <c r="MO51" s="66"/>
      <c r="MP51" s="66"/>
      <c r="MQ51" s="66"/>
      <c r="MR51" s="66"/>
      <c r="MS51" s="66"/>
      <c r="MT51" s="66"/>
      <c r="MU51" s="66"/>
      <c r="MV51" s="66"/>
      <c r="MW51" s="66"/>
      <c r="MX51" s="66"/>
      <c r="MY51" s="66"/>
      <c r="MZ51" s="66"/>
      <c r="NA51" s="66"/>
      <c r="NB51" s="66"/>
      <c r="NC51" s="66"/>
      <c r="ND51" s="66"/>
      <c r="NE51" s="66"/>
      <c r="NF51" s="66"/>
      <c r="NG51" s="66"/>
      <c r="NH51" s="66"/>
      <c r="NI51" s="66"/>
      <c r="NJ51" s="66"/>
      <c r="NK51" s="66"/>
      <c r="NL51" s="66"/>
      <c r="NM51" s="66"/>
      <c r="NN51" s="66"/>
      <c r="NO51" s="66"/>
      <c r="NP51" s="66"/>
      <c r="NQ51" s="66"/>
      <c r="NR51" s="66"/>
      <c r="NS51" s="66"/>
      <c r="NT51" s="66"/>
      <c r="NU51" s="66"/>
      <c r="NV51" s="66"/>
      <c r="NW51" s="66"/>
      <c r="NX51" s="66"/>
      <c r="NY51" s="66"/>
      <c r="NZ51" s="66"/>
      <c r="OA51" s="66"/>
      <c r="OB51" s="66"/>
      <c r="OC51" s="66"/>
      <c r="OD51" s="66"/>
      <c r="OE51" s="66"/>
      <c r="OF51" s="66"/>
      <c r="OG51" s="66"/>
      <c r="OH51" s="66"/>
      <c r="OI51" s="66"/>
      <c r="OJ51" s="66"/>
      <c r="OK51" s="66"/>
      <c r="OL51" s="66"/>
      <c r="OM51" s="66"/>
      <c r="ON51" s="66"/>
      <c r="OO51" s="66"/>
      <c r="OP51" s="66"/>
      <c r="OQ51" s="66"/>
      <c r="OR51" s="66"/>
      <c r="OS51" s="66"/>
      <c r="OT51" s="66"/>
      <c r="OU51" s="66"/>
      <c r="OV51" s="66"/>
      <c r="OW51" s="66"/>
      <c r="OX51" s="66"/>
      <c r="OY51" s="66"/>
      <c r="OZ51" s="66"/>
      <c r="PA51" s="66"/>
      <c r="PB51" s="66"/>
      <c r="PC51" s="66"/>
      <c r="PD51" s="66"/>
      <c r="PE51" s="66"/>
      <c r="PF51" s="66"/>
      <c r="PG51" s="66"/>
      <c r="PH51" s="66"/>
      <c r="PI51" s="66"/>
      <c r="PJ51" s="66"/>
      <c r="PK51" s="66"/>
      <c r="PL51" s="66"/>
      <c r="PM51" s="66"/>
      <c r="PN51" s="66"/>
      <c r="PO51" s="66"/>
      <c r="PP51" s="66"/>
      <c r="PQ51" s="66"/>
      <c r="PR51" s="66"/>
      <c r="PS51" s="66"/>
      <c r="PT51" s="66"/>
      <c r="PU51" s="66"/>
      <c r="PV51" s="66"/>
      <c r="PW51" s="66"/>
      <c r="PX51" s="66"/>
      <c r="PY51" s="66"/>
      <c r="PZ51" s="66"/>
      <c r="QA51" s="66"/>
      <c r="QB51" s="66"/>
      <c r="QC51" s="66"/>
      <c r="QD51" s="66"/>
      <c r="QE51" s="66"/>
      <c r="QF51" s="66"/>
      <c r="QG51" s="66"/>
      <c r="QH51" s="66"/>
      <c r="QI51" s="66"/>
      <c r="QJ51" s="66"/>
      <c r="QK51" s="66"/>
      <c r="QL51" s="66"/>
      <c r="QM51" s="66"/>
      <c r="QN51" s="66"/>
      <c r="QO51" s="66"/>
      <c r="QP51" s="66"/>
      <c r="QQ51" s="66"/>
      <c r="QR51" s="66"/>
      <c r="QS51" s="66"/>
      <c r="QT51" s="66"/>
      <c r="QU51" s="66"/>
      <c r="QV51" s="66"/>
      <c r="QW51" s="66"/>
      <c r="QX51" s="66"/>
      <c r="QY51" s="66"/>
      <c r="QZ51" s="66"/>
      <c r="RA51" s="66"/>
      <c r="RB51" s="66"/>
      <c r="RC51" s="66"/>
      <c r="RD51" s="66"/>
      <c r="RE51" s="66"/>
      <c r="RF51" s="66"/>
      <c r="RG51" s="66"/>
      <c r="RH51" s="66"/>
      <c r="RI51" s="66"/>
      <c r="RJ51" s="66"/>
      <c r="RK51" s="66"/>
      <c r="RL51" s="66"/>
      <c r="RM51" s="66"/>
      <c r="RN51" s="66"/>
      <c r="RO51" s="66"/>
      <c r="RP51" s="66"/>
      <c r="RQ51" s="66"/>
      <c r="RR51" s="66"/>
      <c r="RS51" s="66"/>
      <c r="RT51" s="66"/>
      <c r="RU51" s="66"/>
      <c r="RV51" s="66"/>
      <c r="RW51" s="66"/>
      <c r="RX51" s="66"/>
      <c r="RY51" s="66"/>
      <c r="RZ51" s="66"/>
      <c r="SA51" s="66"/>
      <c r="SB51" s="66"/>
      <c r="SC51" s="66"/>
      <c r="SD51" s="66"/>
      <c r="SE51" s="66"/>
      <c r="SF51" s="66"/>
      <c r="SG51" s="66"/>
      <c r="SH51" s="66"/>
      <c r="SI51" s="66"/>
      <c r="SJ51" s="66"/>
      <c r="SK51" s="66"/>
      <c r="SL51" s="66"/>
      <c r="SM51" s="66"/>
      <c r="SN51" s="66"/>
      <c r="SO51" s="66"/>
      <c r="SP51" s="66"/>
      <c r="SQ51" s="66"/>
      <c r="SR51" s="66"/>
      <c r="SS51" s="66"/>
      <c r="ST51" s="66"/>
      <c r="SU51" s="66"/>
      <c r="SV51" s="66"/>
      <c r="SW51" s="66"/>
      <c r="SX51" s="66"/>
      <c r="SY51" s="66"/>
      <c r="SZ51" s="66"/>
      <c r="TA51" s="66"/>
      <c r="TB51" s="66"/>
      <c r="TC51" s="66"/>
      <c r="TD51" s="66"/>
      <c r="TE51" s="66"/>
      <c r="TF51" s="66"/>
      <c r="TG51" s="66"/>
      <c r="TH51" s="66"/>
      <c r="TI51" s="66"/>
      <c r="TJ51" s="66"/>
      <c r="TK51" s="66"/>
      <c r="TL51" s="66"/>
      <c r="TM51" s="66"/>
      <c r="TN51" s="66"/>
      <c r="TO51" s="66"/>
      <c r="TP51" s="66"/>
      <c r="TQ51" s="66"/>
      <c r="TR51" s="66"/>
      <c r="TS51" s="66"/>
      <c r="TT51" s="66"/>
      <c r="TU51" s="66"/>
      <c r="TV51" s="66"/>
      <c r="TW51" s="66"/>
      <c r="TX51" s="66"/>
      <c r="TY51" s="66"/>
      <c r="TZ51" s="66"/>
      <c r="UA51" s="66"/>
      <c r="UB51" s="66"/>
      <c r="UC51" s="66"/>
      <c r="UD51" s="66"/>
      <c r="UE51" s="66"/>
      <c r="UF51" s="66"/>
      <c r="UG51" s="66"/>
      <c r="UH51" s="66"/>
      <c r="UI51" s="66"/>
      <c r="UJ51" s="66"/>
      <c r="UK51" s="66"/>
      <c r="UL51" s="66"/>
      <c r="UM51" s="66"/>
      <c r="UN51" s="66"/>
      <c r="UO51" s="66"/>
      <c r="UP51" s="66"/>
      <c r="UQ51" s="66"/>
      <c r="UR51" s="66"/>
      <c r="US51" s="66"/>
      <c r="UT51" s="66"/>
      <c r="UU51" s="66"/>
      <c r="UV51" s="66"/>
      <c r="UW51" s="66"/>
      <c r="UX51" s="66"/>
      <c r="UY51" s="66"/>
      <c r="UZ51" s="66"/>
      <c r="VA51" s="66"/>
      <c r="VB51" s="66"/>
      <c r="VC51" s="66"/>
      <c r="VD51" s="66"/>
      <c r="VE51" s="66"/>
      <c r="VF51" s="66"/>
      <c r="VG51" s="66"/>
      <c r="VH51" s="66"/>
      <c r="VI51" s="66"/>
      <c r="VJ51" s="66"/>
      <c r="VK51" s="66"/>
      <c r="VL51" s="66"/>
      <c r="VM51" s="66"/>
      <c r="VN51" s="66"/>
      <c r="VO51" s="66"/>
      <c r="VP51" s="66"/>
      <c r="VQ51" s="66"/>
      <c r="VR51" s="66"/>
      <c r="VS51" s="66"/>
      <c r="VT51" s="66"/>
      <c r="VU51" s="66"/>
      <c r="VV51" s="66"/>
      <c r="VW51" s="66"/>
      <c r="VX51" s="66"/>
      <c r="VY51" s="66"/>
      <c r="VZ51" s="66"/>
      <c r="WA51" s="66"/>
      <c r="WB51" s="66"/>
      <c r="WC51" s="66"/>
      <c r="WD51" s="66"/>
      <c r="WE51" s="66"/>
      <c r="WF51" s="66"/>
      <c r="WG51" s="66"/>
      <c r="WH51" s="66"/>
      <c r="WI51" s="66"/>
      <c r="WJ51" s="66"/>
      <c r="WK51" s="66"/>
      <c r="WL51" s="66"/>
      <c r="WM51" s="66"/>
      <c r="WN51" s="66"/>
      <c r="WO51" s="66"/>
      <c r="WP51" s="66"/>
      <c r="WQ51" s="66"/>
      <c r="WR51" s="66"/>
      <c r="WS51" s="66"/>
      <c r="WT51" s="66"/>
      <c r="WU51" s="66"/>
      <c r="WV51" s="66"/>
      <c r="WW51" s="66"/>
      <c r="WX51" s="66"/>
      <c r="WY51" s="66"/>
      <c r="WZ51" s="66"/>
      <c r="XA51" s="66"/>
      <c r="XB51" s="66"/>
      <c r="XC51" s="66"/>
      <c r="XD51" s="66"/>
      <c r="XE51" s="66"/>
      <c r="XF51" s="66"/>
      <c r="XG51" s="66"/>
      <c r="XH51" s="66"/>
      <c r="XI51" s="66"/>
      <c r="XJ51" s="66"/>
      <c r="XK51" s="66"/>
      <c r="XL51" s="66"/>
      <c r="XM51" s="66"/>
      <c r="XN51" s="66"/>
      <c r="XO51" s="66"/>
      <c r="XP51" s="66"/>
      <c r="XQ51" s="66"/>
      <c r="XR51" s="66"/>
      <c r="XS51" s="66"/>
      <c r="XT51" s="66"/>
      <c r="XU51" s="66"/>
      <c r="XV51" s="66"/>
      <c r="XW51" s="66"/>
      <c r="XX51" s="66"/>
      <c r="XY51" s="66"/>
      <c r="XZ51" s="66"/>
      <c r="YA51" s="66"/>
      <c r="YB51" s="66"/>
      <c r="YC51" s="66"/>
      <c r="YD51" s="66"/>
      <c r="YE51" s="66"/>
      <c r="YF51" s="66"/>
      <c r="YG51" s="66"/>
      <c r="YH51" s="66"/>
      <c r="YI51" s="66"/>
      <c r="YJ51" s="66"/>
      <c r="YK51" s="66"/>
      <c r="YL51" s="66"/>
      <c r="YM51" s="66"/>
      <c r="YN51" s="66"/>
      <c r="YO51" s="66"/>
      <c r="YP51" s="66"/>
      <c r="YQ51" s="66"/>
      <c r="YR51" s="66"/>
      <c r="YS51" s="66"/>
      <c r="YT51" s="66"/>
      <c r="YU51" s="66"/>
      <c r="YV51" s="66"/>
      <c r="YW51" s="66"/>
      <c r="YX51" s="66"/>
      <c r="YY51" s="66"/>
      <c r="YZ51" s="66"/>
      <c r="ZA51" s="66"/>
      <c r="ZB51" s="66"/>
      <c r="ZC51" s="66"/>
      <c r="ZD51" s="66"/>
      <c r="ZE51" s="66"/>
      <c r="ZF51" s="66"/>
      <c r="ZG51" s="66"/>
      <c r="ZH51" s="66"/>
      <c r="ZI51" s="66"/>
      <c r="ZJ51" s="66"/>
      <c r="ZK51" s="66"/>
      <c r="ZL51" s="66"/>
      <c r="ZM51" s="66"/>
      <c r="ZN51" s="66"/>
      <c r="ZO51" s="66"/>
      <c r="ZP51" s="66"/>
      <c r="ZQ51" s="66"/>
      <c r="ZR51" s="66"/>
      <c r="ZS51" s="66"/>
      <c r="ZT51" s="66"/>
      <c r="ZU51" s="66"/>
      <c r="ZV51" s="66"/>
      <c r="ZW51" s="66"/>
      <c r="ZX51" s="66"/>
    </row>
    <row r="52" spans="1:700" s="20" customFormat="1" ht="15.75" x14ac:dyDescent="0.25">
      <c r="A52" s="67"/>
      <c r="B52" s="68"/>
      <c r="C52" s="68"/>
      <c r="D52" s="69"/>
      <c r="E52" s="110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  <c r="CH52" s="66"/>
      <c r="CI52" s="66"/>
      <c r="CJ52" s="66"/>
      <c r="CK52" s="66"/>
      <c r="CL52" s="66"/>
      <c r="CM52" s="66"/>
      <c r="CN52" s="66"/>
      <c r="CO52" s="66"/>
      <c r="CP52" s="66"/>
      <c r="CQ52" s="66"/>
      <c r="CR52" s="66"/>
      <c r="CS52" s="66"/>
      <c r="CT52" s="66"/>
      <c r="CU52" s="66"/>
      <c r="CV52" s="66"/>
      <c r="CW52" s="66"/>
      <c r="CX52" s="66"/>
      <c r="CY52" s="66"/>
      <c r="CZ52" s="66"/>
      <c r="DA52" s="66"/>
      <c r="DB52" s="66"/>
      <c r="DC52" s="66"/>
      <c r="DD52" s="66"/>
      <c r="DE52" s="66"/>
      <c r="DF52" s="66"/>
      <c r="DG52" s="66"/>
      <c r="DH52" s="66"/>
      <c r="DI52" s="66"/>
      <c r="DJ52" s="66"/>
      <c r="DK52" s="66"/>
      <c r="DL52" s="66"/>
      <c r="DM52" s="66"/>
      <c r="DN52" s="66"/>
      <c r="DO52" s="66"/>
      <c r="DP52" s="66"/>
      <c r="DQ52" s="66"/>
      <c r="DR52" s="66"/>
      <c r="DS52" s="66"/>
      <c r="DT52" s="66"/>
      <c r="DU52" s="66"/>
      <c r="DV52" s="66"/>
      <c r="DW52" s="66"/>
      <c r="DX52" s="66"/>
      <c r="DY52" s="66"/>
      <c r="DZ52" s="66"/>
      <c r="EA52" s="66"/>
      <c r="EB52" s="66"/>
      <c r="EC52" s="66"/>
      <c r="ED52" s="66"/>
      <c r="EE52" s="66"/>
      <c r="EF52" s="66"/>
      <c r="EG52" s="66"/>
      <c r="EH52" s="66"/>
      <c r="EI52" s="66"/>
      <c r="EJ52" s="66"/>
      <c r="EK52" s="66"/>
      <c r="EL52" s="66"/>
      <c r="EM52" s="66"/>
      <c r="EN52" s="66"/>
      <c r="EO52" s="66"/>
      <c r="EP52" s="66"/>
      <c r="EQ52" s="66"/>
      <c r="ER52" s="66"/>
      <c r="ES52" s="66"/>
      <c r="ET52" s="66"/>
      <c r="EU52" s="66"/>
      <c r="EV52" s="66"/>
      <c r="EW52" s="66"/>
      <c r="EX52" s="66"/>
      <c r="EY52" s="66"/>
      <c r="EZ52" s="66"/>
      <c r="FA52" s="66"/>
      <c r="FB52" s="66"/>
      <c r="FC52" s="66"/>
      <c r="FD52" s="66"/>
      <c r="FE52" s="66"/>
      <c r="FF52" s="66"/>
      <c r="FG52" s="66"/>
      <c r="FH52" s="66"/>
      <c r="FI52" s="66"/>
      <c r="FJ52" s="66"/>
      <c r="FK52" s="66"/>
      <c r="FL52" s="66"/>
      <c r="FM52" s="66"/>
      <c r="FN52" s="66"/>
      <c r="FO52" s="66"/>
      <c r="FP52" s="66"/>
      <c r="FQ52" s="66"/>
      <c r="FR52" s="66"/>
      <c r="FS52" s="66"/>
      <c r="FT52" s="66"/>
      <c r="FU52" s="66"/>
      <c r="FV52" s="66"/>
      <c r="FW52" s="66"/>
      <c r="FX52" s="66"/>
      <c r="FY52" s="66"/>
      <c r="FZ52" s="66"/>
      <c r="GA52" s="66"/>
      <c r="GB52" s="66"/>
      <c r="GC52" s="66"/>
      <c r="GD52" s="66"/>
      <c r="GE52" s="66"/>
      <c r="GF52" s="66"/>
      <c r="GG52" s="66"/>
      <c r="GH52" s="66"/>
      <c r="GI52" s="66"/>
      <c r="GJ52" s="66"/>
      <c r="GK52" s="66"/>
      <c r="GL52" s="66"/>
      <c r="GM52" s="66"/>
      <c r="GN52" s="66"/>
      <c r="GO52" s="66"/>
      <c r="GP52" s="66"/>
      <c r="GQ52" s="66"/>
      <c r="GR52" s="66"/>
      <c r="GS52" s="66"/>
      <c r="GT52" s="66"/>
      <c r="GU52" s="66"/>
      <c r="GV52" s="66"/>
      <c r="GW52" s="66"/>
      <c r="GX52" s="66"/>
      <c r="GY52" s="66"/>
      <c r="GZ52" s="66"/>
      <c r="HA52" s="66"/>
      <c r="HB52" s="66"/>
      <c r="HC52" s="66"/>
      <c r="HD52" s="66"/>
      <c r="HE52" s="66"/>
      <c r="HF52" s="66"/>
      <c r="HG52" s="66"/>
      <c r="HH52" s="66"/>
      <c r="HI52" s="66"/>
      <c r="HJ52" s="66"/>
      <c r="HK52" s="66"/>
      <c r="HL52" s="66"/>
      <c r="HM52" s="66"/>
      <c r="HN52" s="66"/>
      <c r="HO52" s="66"/>
      <c r="HP52" s="66"/>
      <c r="HQ52" s="66"/>
      <c r="HR52" s="66"/>
      <c r="HS52" s="66"/>
      <c r="HT52" s="66"/>
      <c r="HU52" s="66"/>
      <c r="HV52" s="66"/>
      <c r="HW52" s="66"/>
      <c r="HX52" s="66"/>
      <c r="HY52" s="66"/>
      <c r="HZ52" s="66"/>
      <c r="IA52" s="66"/>
      <c r="IB52" s="66"/>
      <c r="IC52" s="66"/>
      <c r="ID52" s="66"/>
      <c r="IE52" s="66"/>
      <c r="IF52" s="66"/>
      <c r="IG52" s="66"/>
      <c r="IH52" s="66"/>
      <c r="II52" s="66"/>
      <c r="IJ52" s="66"/>
      <c r="IK52" s="66"/>
      <c r="IL52" s="66"/>
      <c r="IM52" s="66"/>
      <c r="IN52" s="66"/>
      <c r="IO52" s="66"/>
      <c r="IP52" s="66"/>
      <c r="IQ52" s="66"/>
      <c r="IR52" s="66"/>
      <c r="IS52" s="66"/>
      <c r="IT52" s="66"/>
      <c r="IU52" s="66"/>
      <c r="IV52" s="66"/>
      <c r="IW52" s="66"/>
      <c r="IX52" s="66"/>
      <c r="IY52" s="66"/>
      <c r="IZ52" s="66"/>
      <c r="JA52" s="66"/>
      <c r="JB52" s="66"/>
      <c r="JC52" s="66"/>
      <c r="JD52" s="66"/>
      <c r="JE52" s="66"/>
      <c r="JF52" s="66"/>
      <c r="JG52" s="66"/>
      <c r="JH52" s="66"/>
      <c r="JI52" s="66"/>
      <c r="JJ52" s="66"/>
      <c r="JK52" s="66"/>
      <c r="JL52" s="66"/>
      <c r="JM52" s="66"/>
      <c r="JN52" s="66"/>
      <c r="JO52" s="66"/>
      <c r="JP52" s="66"/>
      <c r="JQ52" s="66"/>
      <c r="JR52" s="66"/>
      <c r="JS52" s="66"/>
      <c r="JT52" s="66"/>
      <c r="JU52" s="66"/>
      <c r="JV52" s="66"/>
      <c r="JW52" s="66"/>
      <c r="JX52" s="66"/>
      <c r="JY52" s="66"/>
      <c r="JZ52" s="66"/>
      <c r="KA52" s="66"/>
      <c r="KB52" s="66"/>
      <c r="KC52" s="66"/>
      <c r="KD52" s="66"/>
      <c r="KE52" s="66"/>
      <c r="KF52" s="66"/>
      <c r="KG52" s="66"/>
      <c r="KH52" s="66"/>
      <c r="KI52" s="66"/>
      <c r="KJ52" s="66"/>
      <c r="KK52" s="66"/>
      <c r="KL52" s="66"/>
      <c r="KM52" s="66"/>
      <c r="KN52" s="66"/>
      <c r="KO52" s="66"/>
      <c r="KP52" s="66"/>
      <c r="KQ52" s="66"/>
      <c r="KR52" s="66"/>
      <c r="KS52" s="66"/>
      <c r="KT52" s="66"/>
      <c r="KU52" s="66"/>
      <c r="KV52" s="66"/>
      <c r="KW52" s="66"/>
      <c r="KX52" s="66"/>
      <c r="KY52" s="66"/>
      <c r="KZ52" s="66"/>
      <c r="LA52" s="66"/>
      <c r="LB52" s="66"/>
      <c r="LC52" s="66"/>
      <c r="LD52" s="66"/>
      <c r="LE52" s="66"/>
      <c r="LF52" s="66"/>
      <c r="LG52" s="66"/>
      <c r="LH52" s="66"/>
      <c r="LI52" s="66"/>
      <c r="LJ52" s="66"/>
      <c r="LK52" s="66"/>
      <c r="LL52" s="66"/>
      <c r="LM52" s="66"/>
      <c r="LN52" s="66"/>
      <c r="LO52" s="66"/>
      <c r="LP52" s="66"/>
      <c r="LQ52" s="66"/>
      <c r="LR52" s="66"/>
      <c r="LS52" s="66"/>
      <c r="LT52" s="66"/>
      <c r="LU52" s="66"/>
      <c r="LV52" s="66"/>
      <c r="LW52" s="66"/>
      <c r="LX52" s="66"/>
      <c r="LY52" s="66"/>
      <c r="LZ52" s="66"/>
      <c r="MA52" s="66"/>
      <c r="MB52" s="66"/>
      <c r="MC52" s="66"/>
      <c r="MD52" s="66"/>
      <c r="ME52" s="66"/>
      <c r="MF52" s="66"/>
      <c r="MG52" s="66"/>
      <c r="MH52" s="66"/>
      <c r="MI52" s="66"/>
      <c r="MJ52" s="66"/>
      <c r="MK52" s="66"/>
      <c r="ML52" s="66"/>
      <c r="MM52" s="66"/>
      <c r="MN52" s="66"/>
      <c r="MO52" s="66"/>
      <c r="MP52" s="66"/>
      <c r="MQ52" s="66"/>
      <c r="MR52" s="66"/>
      <c r="MS52" s="66"/>
      <c r="MT52" s="66"/>
      <c r="MU52" s="66"/>
      <c r="MV52" s="66"/>
      <c r="MW52" s="66"/>
      <c r="MX52" s="66"/>
      <c r="MY52" s="66"/>
      <c r="MZ52" s="66"/>
      <c r="NA52" s="66"/>
      <c r="NB52" s="66"/>
      <c r="NC52" s="66"/>
      <c r="ND52" s="66"/>
      <c r="NE52" s="66"/>
      <c r="NF52" s="66"/>
      <c r="NG52" s="66"/>
      <c r="NH52" s="66"/>
      <c r="NI52" s="66"/>
      <c r="NJ52" s="66"/>
      <c r="NK52" s="66"/>
      <c r="NL52" s="66"/>
      <c r="NM52" s="66"/>
      <c r="NN52" s="66"/>
      <c r="NO52" s="66"/>
      <c r="NP52" s="66"/>
      <c r="NQ52" s="66"/>
      <c r="NR52" s="66"/>
      <c r="NS52" s="66"/>
      <c r="NT52" s="66"/>
      <c r="NU52" s="66"/>
      <c r="NV52" s="66"/>
      <c r="NW52" s="66"/>
      <c r="NX52" s="66"/>
      <c r="NY52" s="66"/>
      <c r="NZ52" s="66"/>
      <c r="OA52" s="66"/>
      <c r="OB52" s="66"/>
      <c r="OC52" s="66"/>
      <c r="OD52" s="66"/>
      <c r="OE52" s="66"/>
      <c r="OF52" s="66"/>
      <c r="OG52" s="66"/>
      <c r="OH52" s="66"/>
      <c r="OI52" s="66"/>
      <c r="OJ52" s="66"/>
      <c r="OK52" s="66"/>
      <c r="OL52" s="66"/>
      <c r="OM52" s="66"/>
      <c r="ON52" s="66"/>
      <c r="OO52" s="66"/>
      <c r="OP52" s="66"/>
      <c r="OQ52" s="66"/>
      <c r="OR52" s="66"/>
      <c r="OS52" s="66"/>
      <c r="OT52" s="66"/>
      <c r="OU52" s="66"/>
      <c r="OV52" s="66"/>
      <c r="OW52" s="66"/>
      <c r="OX52" s="66"/>
      <c r="OY52" s="66"/>
      <c r="OZ52" s="66"/>
      <c r="PA52" s="66"/>
      <c r="PB52" s="66"/>
      <c r="PC52" s="66"/>
      <c r="PD52" s="66"/>
      <c r="PE52" s="66"/>
      <c r="PF52" s="66"/>
      <c r="PG52" s="66"/>
      <c r="PH52" s="66"/>
      <c r="PI52" s="66"/>
      <c r="PJ52" s="66"/>
      <c r="PK52" s="66"/>
      <c r="PL52" s="66"/>
      <c r="PM52" s="66"/>
      <c r="PN52" s="66"/>
      <c r="PO52" s="66"/>
      <c r="PP52" s="66"/>
      <c r="PQ52" s="66"/>
      <c r="PR52" s="66"/>
      <c r="PS52" s="66"/>
      <c r="PT52" s="66"/>
      <c r="PU52" s="66"/>
      <c r="PV52" s="66"/>
      <c r="PW52" s="66"/>
      <c r="PX52" s="66"/>
      <c r="PY52" s="66"/>
      <c r="PZ52" s="66"/>
      <c r="QA52" s="66"/>
      <c r="QB52" s="66"/>
      <c r="QC52" s="66"/>
      <c r="QD52" s="66"/>
      <c r="QE52" s="66"/>
      <c r="QF52" s="66"/>
      <c r="QG52" s="66"/>
      <c r="QH52" s="66"/>
      <c r="QI52" s="66"/>
      <c r="QJ52" s="66"/>
      <c r="QK52" s="66"/>
      <c r="QL52" s="66"/>
      <c r="QM52" s="66"/>
      <c r="QN52" s="66"/>
      <c r="QO52" s="66"/>
      <c r="QP52" s="66"/>
      <c r="QQ52" s="66"/>
      <c r="QR52" s="66"/>
      <c r="QS52" s="66"/>
      <c r="QT52" s="66"/>
      <c r="QU52" s="66"/>
      <c r="QV52" s="66"/>
      <c r="QW52" s="66"/>
      <c r="QX52" s="66"/>
      <c r="QY52" s="66"/>
      <c r="QZ52" s="66"/>
      <c r="RA52" s="66"/>
      <c r="RB52" s="66"/>
      <c r="RC52" s="66"/>
      <c r="RD52" s="66"/>
      <c r="RE52" s="66"/>
      <c r="RF52" s="66"/>
      <c r="RG52" s="66"/>
      <c r="RH52" s="66"/>
      <c r="RI52" s="66"/>
      <c r="RJ52" s="66"/>
      <c r="RK52" s="66"/>
      <c r="RL52" s="66"/>
      <c r="RM52" s="66"/>
      <c r="RN52" s="66"/>
      <c r="RO52" s="66"/>
      <c r="RP52" s="66"/>
      <c r="RQ52" s="66"/>
      <c r="RR52" s="66"/>
      <c r="RS52" s="66"/>
      <c r="RT52" s="66"/>
      <c r="RU52" s="66"/>
      <c r="RV52" s="66"/>
      <c r="RW52" s="66"/>
      <c r="RX52" s="66"/>
      <c r="RY52" s="66"/>
      <c r="RZ52" s="66"/>
      <c r="SA52" s="66"/>
      <c r="SB52" s="66"/>
      <c r="SC52" s="66"/>
      <c r="SD52" s="66"/>
      <c r="SE52" s="66"/>
      <c r="SF52" s="66"/>
      <c r="SG52" s="66"/>
      <c r="SH52" s="66"/>
      <c r="SI52" s="66"/>
      <c r="SJ52" s="66"/>
      <c r="SK52" s="66"/>
      <c r="SL52" s="66"/>
      <c r="SM52" s="66"/>
      <c r="SN52" s="66"/>
      <c r="SO52" s="66"/>
      <c r="SP52" s="66"/>
      <c r="SQ52" s="66"/>
      <c r="SR52" s="66"/>
      <c r="SS52" s="66"/>
      <c r="ST52" s="66"/>
      <c r="SU52" s="66"/>
      <c r="SV52" s="66"/>
      <c r="SW52" s="66"/>
      <c r="SX52" s="66"/>
      <c r="SY52" s="66"/>
      <c r="SZ52" s="66"/>
      <c r="TA52" s="66"/>
      <c r="TB52" s="66"/>
      <c r="TC52" s="66"/>
      <c r="TD52" s="66"/>
      <c r="TE52" s="66"/>
      <c r="TF52" s="66"/>
      <c r="TG52" s="66"/>
      <c r="TH52" s="66"/>
      <c r="TI52" s="66"/>
      <c r="TJ52" s="66"/>
      <c r="TK52" s="66"/>
      <c r="TL52" s="66"/>
      <c r="TM52" s="66"/>
      <c r="TN52" s="66"/>
      <c r="TO52" s="66"/>
      <c r="TP52" s="66"/>
      <c r="TQ52" s="66"/>
      <c r="TR52" s="66"/>
      <c r="TS52" s="66"/>
      <c r="TT52" s="66"/>
      <c r="TU52" s="66"/>
      <c r="TV52" s="66"/>
      <c r="TW52" s="66"/>
      <c r="TX52" s="66"/>
      <c r="TY52" s="66"/>
      <c r="TZ52" s="66"/>
      <c r="UA52" s="66"/>
      <c r="UB52" s="66"/>
      <c r="UC52" s="66"/>
      <c r="UD52" s="66"/>
      <c r="UE52" s="66"/>
      <c r="UF52" s="66"/>
      <c r="UG52" s="66"/>
      <c r="UH52" s="66"/>
      <c r="UI52" s="66"/>
      <c r="UJ52" s="66"/>
      <c r="UK52" s="66"/>
      <c r="UL52" s="66"/>
      <c r="UM52" s="66"/>
      <c r="UN52" s="66"/>
      <c r="UO52" s="66"/>
      <c r="UP52" s="66"/>
      <c r="UQ52" s="66"/>
      <c r="UR52" s="66"/>
      <c r="US52" s="66"/>
      <c r="UT52" s="66"/>
      <c r="UU52" s="66"/>
      <c r="UV52" s="66"/>
      <c r="UW52" s="66"/>
      <c r="UX52" s="66"/>
      <c r="UY52" s="66"/>
      <c r="UZ52" s="66"/>
      <c r="VA52" s="66"/>
      <c r="VB52" s="66"/>
      <c r="VC52" s="66"/>
      <c r="VD52" s="66"/>
      <c r="VE52" s="66"/>
      <c r="VF52" s="66"/>
      <c r="VG52" s="66"/>
      <c r="VH52" s="66"/>
      <c r="VI52" s="66"/>
      <c r="VJ52" s="66"/>
      <c r="VK52" s="66"/>
      <c r="VL52" s="66"/>
      <c r="VM52" s="66"/>
      <c r="VN52" s="66"/>
      <c r="VO52" s="66"/>
      <c r="VP52" s="66"/>
      <c r="VQ52" s="66"/>
      <c r="VR52" s="66"/>
      <c r="VS52" s="66"/>
      <c r="VT52" s="66"/>
      <c r="VU52" s="66"/>
      <c r="VV52" s="66"/>
      <c r="VW52" s="66"/>
      <c r="VX52" s="66"/>
      <c r="VY52" s="66"/>
      <c r="VZ52" s="66"/>
      <c r="WA52" s="66"/>
      <c r="WB52" s="66"/>
      <c r="WC52" s="66"/>
      <c r="WD52" s="66"/>
      <c r="WE52" s="66"/>
      <c r="WF52" s="66"/>
      <c r="WG52" s="66"/>
      <c r="WH52" s="66"/>
      <c r="WI52" s="66"/>
      <c r="WJ52" s="66"/>
      <c r="WK52" s="66"/>
      <c r="WL52" s="66"/>
      <c r="WM52" s="66"/>
      <c r="WN52" s="66"/>
      <c r="WO52" s="66"/>
      <c r="WP52" s="66"/>
      <c r="WQ52" s="66"/>
      <c r="WR52" s="66"/>
      <c r="WS52" s="66"/>
      <c r="WT52" s="66"/>
      <c r="WU52" s="66"/>
      <c r="WV52" s="66"/>
      <c r="WW52" s="66"/>
      <c r="WX52" s="66"/>
      <c r="WY52" s="66"/>
      <c r="WZ52" s="66"/>
      <c r="XA52" s="66"/>
      <c r="XB52" s="66"/>
      <c r="XC52" s="66"/>
      <c r="XD52" s="66"/>
      <c r="XE52" s="66"/>
      <c r="XF52" s="66"/>
      <c r="XG52" s="66"/>
      <c r="XH52" s="66"/>
      <c r="XI52" s="66"/>
      <c r="XJ52" s="66"/>
      <c r="XK52" s="66"/>
      <c r="XL52" s="66"/>
      <c r="XM52" s="66"/>
      <c r="XN52" s="66"/>
      <c r="XO52" s="66"/>
      <c r="XP52" s="66"/>
      <c r="XQ52" s="66"/>
      <c r="XR52" s="66"/>
      <c r="XS52" s="66"/>
      <c r="XT52" s="66"/>
      <c r="XU52" s="66"/>
      <c r="XV52" s="66"/>
      <c r="XW52" s="66"/>
      <c r="XX52" s="66"/>
      <c r="XY52" s="66"/>
      <c r="XZ52" s="66"/>
      <c r="YA52" s="66"/>
      <c r="YB52" s="66"/>
      <c r="YC52" s="66"/>
      <c r="YD52" s="66"/>
      <c r="YE52" s="66"/>
      <c r="YF52" s="66"/>
      <c r="YG52" s="66"/>
      <c r="YH52" s="66"/>
      <c r="YI52" s="66"/>
      <c r="YJ52" s="66"/>
      <c r="YK52" s="66"/>
      <c r="YL52" s="66"/>
      <c r="YM52" s="66"/>
      <c r="YN52" s="66"/>
      <c r="YO52" s="66"/>
      <c r="YP52" s="66"/>
      <c r="YQ52" s="66"/>
      <c r="YR52" s="66"/>
      <c r="YS52" s="66"/>
      <c r="YT52" s="66"/>
      <c r="YU52" s="66"/>
      <c r="YV52" s="66"/>
      <c r="YW52" s="66"/>
      <c r="YX52" s="66"/>
      <c r="YY52" s="66"/>
      <c r="YZ52" s="66"/>
      <c r="ZA52" s="66"/>
      <c r="ZB52" s="66"/>
      <c r="ZC52" s="66"/>
      <c r="ZD52" s="66"/>
      <c r="ZE52" s="66"/>
      <c r="ZF52" s="66"/>
      <c r="ZG52" s="66"/>
      <c r="ZH52" s="66"/>
      <c r="ZI52" s="66"/>
      <c r="ZJ52" s="66"/>
      <c r="ZK52" s="66"/>
      <c r="ZL52" s="66"/>
      <c r="ZM52" s="66"/>
      <c r="ZN52" s="66"/>
      <c r="ZO52" s="66"/>
      <c r="ZP52" s="66"/>
      <c r="ZQ52" s="66"/>
      <c r="ZR52" s="66"/>
      <c r="ZS52" s="66"/>
      <c r="ZT52" s="66"/>
      <c r="ZU52" s="66"/>
      <c r="ZV52" s="66"/>
      <c r="ZW52" s="66"/>
      <c r="ZX52" s="66"/>
    </row>
    <row r="53" spans="1:700" s="20" customFormat="1" ht="15.75" x14ac:dyDescent="0.25">
      <c r="A53" s="67"/>
      <c r="B53" s="68"/>
      <c r="C53" s="68"/>
      <c r="D53" s="69"/>
      <c r="E53" s="110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  <c r="CH53" s="66"/>
      <c r="CI53" s="66"/>
      <c r="CJ53" s="66"/>
      <c r="CK53" s="66"/>
      <c r="CL53" s="66"/>
      <c r="CM53" s="66"/>
      <c r="CN53" s="66"/>
      <c r="CO53" s="66"/>
      <c r="CP53" s="66"/>
      <c r="CQ53" s="66"/>
      <c r="CR53" s="66"/>
      <c r="CS53" s="66"/>
      <c r="CT53" s="66"/>
      <c r="CU53" s="66"/>
      <c r="CV53" s="66"/>
      <c r="CW53" s="66"/>
      <c r="CX53" s="66"/>
      <c r="CY53" s="66"/>
      <c r="CZ53" s="66"/>
      <c r="DA53" s="66"/>
      <c r="DB53" s="66"/>
      <c r="DC53" s="66"/>
      <c r="DD53" s="66"/>
      <c r="DE53" s="66"/>
      <c r="DF53" s="66"/>
      <c r="DG53" s="66"/>
      <c r="DH53" s="66"/>
      <c r="DI53" s="66"/>
      <c r="DJ53" s="66"/>
      <c r="DK53" s="66"/>
      <c r="DL53" s="66"/>
      <c r="DM53" s="66"/>
      <c r="DN53" s="66"/>
      <c r="DO53" s="66"/>
      <c r="DP53" s="66"/>
      <c r="DQ53" s="66"/>
      <c r="DR53" s="66"/>
      <c r="DS53" s="66"/>
      <c r="DT53" s="66"/>
      <c r="DU53" s="66"/>
      <c r="DV53" s="66"/>
      <c r="DW53" s="66"/>
      <c r="DX53" s="66"/>
      <c r="DY53" s="66"/>
      <c r="DZ53" s="66"/>
      <c r="EA53" s="66"/>
      <c r="EB53" s="66"/>
      <c r="EC53" s="66"/>
      <c r="ED53" s="66"/>
      <c r="EE53" s="66"/>
      <c r="EF53" s="66"/>
      <c r="EG53" s="66"/>
      <c r="EH53" s="66"/>
      <c r="EI53" s="66"/>
      <c r="EJ53" s="66"/>
      <c r="EK53" s="66"/>
      <c r="EL53" s="66"/>
      <c r="EM53" s="66"/>
      <c r="EN53" s="66"/>
      <c r="EO53" s="66"/>
      <c r="EP53" s="66"/>
      <c r="EQ53" s="66"/>
      <c r="ER53" s="66"/>
      <c r="ES53" s="66"/>
      <c r="ET53" s="66"/>
      <c r="EU53" s="66"/>
      <c r="EV53" s="66"/>
      <c r="EW53" s="66"/>
      <c r="EX53" s="66"/>
      <c r="EY53" s="66"/>
      <c r="EZ53" s="66"/>
      <c r="FA53" s="66"/>
      <c r="FB53" s="66"/>
      <c r="FC53" s="66"/>
      <c r="FD53" s="66"/>
      <c r="FE53" s="66"/>
      <c r="FF53" s="66"/>
      <c r="FG53" s="66"/>
      <c r="FH53" s="66"/>
      <c r="FI53" s="66"/>
      <c r="FJ53" s="66"/>
      <c r="FK53" s="66"/>
      <c r="FL53" s="66"/>
      <c r="FM53" s="66"/>
      <c r="FN53" s="66"/>
      <c r="FO53" s="66"/>
      <c r="FP53" s="66"/>
      <c r="FQ53" s="66"/>
      <c r="FR53" s="66"/>
      <c r="FS53" s="66"/>
      <c r="FT53" s="66"/>
      <c r="FU53" s="66"/>
      <c r="FV53" s="66"/>
      <c r="FW53" s="66"/>
      <c r="FX53" s="66"/>
      <c r="FY53" s="66"/>
      <c r="FZ53" s="66"/>
      <c r="GA53" s="66"/>
      <c r="GB53" s="66"/>
      <c r="GC53" s="66"/>
      <c r="GD53" s="66"/>
      <c r="GE53" s="66"/>
      <c r="GF53" s="66"/>
      <c r="GG53" s="66"/>
      <c r="GH53" s="66"/>
      <c r="GI53" s="66"/>
      <c r="GJ53" s="66"/>
      <c r="GK53" s="66"/>
      <c r="GL53" s="66"/>
      <c r="GM53" s="66"/>
      <c r="GN53" s="66"/>
      <c r="GO53" s="66"/>
      <c r="GP53" s="66"/>
      <c r="GQ53" s="66"/>
      <c r="GR53" s="66"/>
      <c r="GS53" s="66"/>
      <c r="GT53" s="66"/>
      <c r="GU53" s="66"/>
      <c r="GV53" s="66"/>
      <c r="GW53" s="66"/>
      <c r="GX53" s="66"/>
      <c r="GY53" s="66"/>
      <c r="GZ53" s="66"/>
      <c r="HA53" s="66"/>
      <c r="HB53" s="66"/>
      <c r="HC53" s="66"/>
      <c r="HD53" s="66"/>
      <c r="HE53" s="66"/>
      <c r="HF53" s="66"/>
      <c r="HG53" s="66"/>
      <c r="HH53" s="66"/>
      <c r="HI53" s="66"/>
      <c r="HJ53" s="66"/>
      <c r="HK53" s="66"/>
      <c r="HL53" s="66"/>
      <c r="HM53" s="66"/>
      <c r="HN53" s="66"/>
      <c r="HO53" s="66"/>
      <c r="HP53" s="66"/>
      <c r="HQ53" s="66"/>
      <c r="HR53" s="66"/>
      <c r="HS53" s="66"/>
      <c r="HT53" s="66"/>
      <c r="HU53" s="66"/>
      <c r="HV53" s="66"/>
      <c r="HW53" s="66"/>
      <c r="HX53" s="66"/>
      <c r="HY53" s="66"/>
      <c r="HZ53" s="66"/>
      <c r="IA53" s="66"/>
      <c r="IB53" s="66"/>
      <c r="IC53" s="66"/>
      <c r="ID53" s="66"/>
      <c r="IE53" s="66"/>
      <c r="IF53" s="66"/>
      <c r="IG53" s="66"/>
      <c r="IH53" s="66"/>
      <c r="II53" s="66"/>
      <c r="IJ53" s="66"/>
      <c r="IK53" s="66"/>
      <c r="IL53" s="66"/>
      <c r="IM53" s="66"/>
      <c r="IN53" s="66"/>
      <c r="IO53" s="66"/>
      <c r="IP53" s="66"/>
      <c r="IQ53" s="66"/>
      <c r="IR53" s="66"/>
      <c r="IS53" s="66"/>
      <c r="IT53" s="66"/>
      <c r="IU53" s="66"/>
      <c r="IV53" s="66"/>
      <c r="IW53" s="66"/>
      <c r="IX53" s="66"/>
      <c r="IY53" s="66"/>
      <c r="IZ53" s="66"/>
      <c r="JA53" s="66"/>
      <c r="JB53" s="66"/>
      <c r="JC53" s="66"/>
      <c r="JD53" s="66"/>
      <c r="JE53" s="66"/>
      <c r="JF53" s="66"/>
      <c r="JG53" s="66"/>
      <c r="JH53" s="66"/>
      <c r="JI53" s="66"/>
      <c r="JJ53" s="66"/>
      <c r="JK53" s="66"/>
      <c r="JL53" s="66"/>
      <c r="JM53" s="66"/>
      <c r="JN53" s="66"/>
      <c r="JO53" s="66"/>
      <c r="JP53" s="66"/>
      <c r="JQ53" s="66"/>
      <c r="JR53" s="66"/>
      <c r="JS53" s="66"/>
      <c r="JT53" s="66"/>
      <c r="JU53" s="66"/>
      <c r="JV53" s="66"/>
      <c r="JW53" s="66"/>
      <c r="JX53" s="66"/>
      <c r="JY53" s="66"/>
      <c r="JZ53" s="66"/>
      <c r="KA53" s="66"/>
      <c r="KB53" s="66"/>
      <c r="KC53" s="66"/>
      <c r="KD53" s="66"/>
      <c r="KE53" s="66"/>
      <c r="KF53" s="66"/>
      <c r="KG53" s="66"/>
      <c r="KH53" s="66"/>
      <c r="KI53" s="66"/>
      <c r="KJ53" s="66"/>
      <c r="KK53" s="66"/>
      <c r="KL53" s="66"/>
      <c r="KM53" s="66"/>
      <c r="KN53" s="66"/>
      <c r="KO53" s="66"/>
      <c r="KP53" s="66"/>
      <c r="KQ53" s="66"/>
      <c r="KR53" s="66"/>
      <c r="KS53" s="66"/>
      <c r="KT53" s="66"/>
      <c r="KU53" s="66"/>
      <c r="KV53" s="66"/>
      <c r="KW53" s="66"/>
      <c r="KX53" s="66"/>
      <c r="KY53" s="66"/>
      <c r="KZ53" s="66"/>
      <c r="LA53" s="66"/>
      <c r="LB53" s="66"/>
      <c r="LC53" s="66"/>
      <c r="LD53" s="66"/>
      <c r="LE53" s="66"/>
      <c r="LF53" s="66"/>
      <c r="LG53" s="66"/>
      <c r="LH53" s="66"/>
      <c r="LI53" s="66"/>
      <c r="LJ53" s="66"/>
      <c r="LK53" s="66"/>
      <c r="LL53" s="66"/>
      <c r="LM53" s="66"/>
      <c r="LN53" s="66"/>
      <c r="LO53" s="66"/>
      <c r="LP53" s="66"/>
      <c r="LQ53" s="66"/>
      <c r="LR53" s="66"/>
      <c r="LS53" s="66"/>
      <c r="LT53" s="66"/>
      <c r="LU53" s="66"/>
      <c r="LV53" s="66"/>
      <c r="LW53" s="66"/>
      <c r="LX53" s="66"/>
      <c r="LY53" s="66"/>
      <c r="LZ53" s="66"/>
      <c r="MA53" s="66"/>
      <c r="MB53" s="66"/>
      <c r="MC53" s="66"/>
      <c r="MD53" s="66"/>
      <c r="ME53" s="66"/>
      <c r="MF53" s="66"/>
      <c r="MG53" s="66"/>
      <c r="MH53" s="66"/>
      <c r="MI53" s="66"/>
      <c r="MJ53" s="66"/>
      <c r="MK53" s="66"/>
      <c r="ML53" s="66"/>
      <c r="MM53" s="66"/>
      <c r="MN53" s="66"/>
      <c r="MO53" s="66"/>
      <c r="MP53" s="66"/>
      <c r="MQ53" s="66"/>
      <c r="MR53" s="66"/>
      <c r="MS53" s="66"/>
      <c r="MT53" s="66"/>
      <c r="MU53" s="66"/>
      <c r="MV53" s="66"/>
      <c r="MW53" s="66"/>
      <c r="MX53" s="66"/>
      <c r="MY53" s="66"/>
      <c r="MZ53" s="66"/>
      <c r="NA53" s="66"/>
      <c r="NB53" s="66"/>
      <c r="NC53" s="66"/>
      <c r="ND53" s="66"/>
      <c r="NE53" s="66"/>
      <c r="NF53" s="66"/>
      <c r="NG53" s="66"/>
      <c r="NH53" s="66"/>
      <c r="NI53" s="66"/>
      <c r="NJ53" s="66"/>
      <c r="NK53" s="66"/>
      <c r="NL53" s="66"/>
      <c r="NM53" s="66"/>
      <c r="NN53" s="66"/>
      <c r="NO53" s="66"/>
      <c r="NP53" s="66"/>
      <c r="NQ53" s="66"/>
      <c r="NR53" s="66"/>
      <c r="NS53" s="66"/>
      <c r="NT53" s="66"/>
      <c r="NU53" s="66"/>
      <c r="NV53" s="66"/>
      <c r="NW53" s="66"/>
      <c r="NX53" s="66"/>
      <c r="NY53" s="66"/>
      <c r="NZ53" s="66"/>
      <c r="OA53" s="66"/>
      <c r="OB53" s="66"/>
      <c r="OC53" s="66"/>
      <c r="OD53" s="66"/>
      <c r="OE53" s="66"/>
      <c r="OF53" s="66"/>
      <c r="OG53" s="66"/>
      <c r="OH53" s="66"/>
      <c r="OI53" s="66"/>
      <c r="OJ53" s="66"/>
      <c r="OK53" s="66"/>
      <c r="OL53" s="66"/>
      <c r="OM53" s="66"/>
      <c r="ON53" s="66"/>
      <c r="OO53" s="66"/>
      <c r="OP53" s="66"/>
      <c r="OQ53" s="66"/>
      <c r="OR53" s="66"/>
      <c r="OS53" s="66"/>
      <c r="OT53" s="66"/>
      <c r="OU53" s="66"/>
      <c r="OV53" s="66"/>
      <c r="OW53" s="66"/>
      <c r="OX53" s="66"/>
      <c r="OY53" s="66"/>
      <c r="OZ53" s="66"/>
      <c r="PA53" s="66"/>
      <c r="PB53" s="66"/>
      <c r="PC53" s="66"/>
      <c r="PD53" s="66"/>
      <c r="PE53" s="66"/>
      <c r="PF53" s="66"/>
      <c r="PG53" s="66"/>
      <c r="PH53" s="66"/>
      <c r="PI53" s="66"/>
      <c r="PJ53" s="66"/>
      <c r="PK53" s="66"/>
      <c r="PL53" s="66"/>
      <c r="PM53" s="66"/>
      <c r="PN53" s="66"/>
      <c r="PO53" s="66"/>
      <c r="PP53" s="66"/>
      <c r="PQ53" s="66"/>
      <c r="PR53" s="66"/>
      <c r="PS53" s="66"/>
      <c r="PT53" s="66"/>
      <c r="PU53" s="66"/>
      <c r="PV53" s="66"/>
      <c r="PW53" s="66"/>
      <c r="PX53" s="66"/>
      <c r="PY53" s="66"/>
      <c r="PZ53" s="66"/>
      <c r="QA53" s="66"/>
      <c r="QB53" s="66"/>
      <c r="QC53" s="66"/>
      <c r="QD53" s="66"/>
      <c r="QE53" s="66"/>
      <c r="QF53" s="66"/>
      <c r="QG53" s="66"/>
      <c r="QH53" s="66"/>
      <c r="QI53" s="66"/>
      <c r="QJ53" s="66"/>
      <c r="QK53" s="66"/>
      <c r="QL53" s="66"/>
      <c r="QM53" s="66"/>
      <c r="QN53" s="66"/>
      <c r="QO53" s="66"/>
      <c r="QP53" s="66"/>
      <c r="QQ53" s="66"/>
      <c r="QR53" s="66"/>
      <c r="QS53" s="66"/>
      <c r="QT53" s="66"/>
      <c r="QU53" s="66"/>
      <c r="QV53" s="66"/>
      <c r="QW53" s="66"/>
      <c r="QX53" s="66"/>
      <c r="QY53" s="66"/>
      <c r="QZ53" s="66"/>
      <c r="RA53" s="66"/>
      <c r="RB53" s="66"/>
      <c r="RC53" s="66"/>
      <c r="RD53" s="66"/>
      <c r="RE53" s="66"/>
      <c r="RF53" s="66"/>
      <c r="RG53" s="66"/>
      <c r="RH53" s="66"/>
      <c r="RI53" s="66"/>
      <c r="RJ53" s="66"/>
      <c r="RK53" s="66"/>
      <c r="RL53" s="66"/>
      <c r="RM53" s="66"/>
      <c r="RN53" s="66"/>
      <c r="RO53" s="66"/>
      <c r="RP53" s="66"/>
      <c r="RQ53" s="66"/>
      <c r="RR53" s="66"/>
      <c r="RS53" s="66"/>
      <c r="RT53" s="66"/>
      <c r="RU53" s="66"/>
      <c r="RV53" s="66"/>
      <c r="RW53" s="66"/>
      <c r="RX53" s="66"/>
      <c r="RY53" s="66"/>
      <c r="RZ53" s="66"/>
      <c r="SA53" s="66"/>
      <c r="SB53" s="66"/>
      <c r="SC53" s="66"/>
      <c r="SD53" s="66"/>
      <c r="SE53" s="66"/>
      <c r="SF53" s="66"/>
      <c r="SG53" s="66"/>
      <c r="SH53" s="66"/>
      <c r="SI53" s="66"/>
      <c r="SJ53" s="66"/>
      <c r="SK53" s="66"/>
      <c r="SL53" s="66"/>
      <c r="SM53" s="66"/>
      <c r="SN53" s="66"/>
      <c r="SO53" s="66"/>
      <c r="SP53" s="66"/>
      <c r="SQ53" s="66"/>
      <c r="SR53" s="66"/>
      <c r="SS53" s="66"/>
      <c r="ST53" s="66"/>
      <c r="SU53" s="66"/>
      <c r="SV53" s="66"/>
      <c r="SW53" s="66"/>
      <c r="SX53" s="66"/>
      <c r="SY53" s="66"/>
      <c r="SZ53" s="66"/>
      <c r="TA53" s="66"/>
      <c r="TB53" s="66"/>
      <c r="TC53" s="66"/>
      <c r="TD53" s="66"/>
      <c r="TE53" s="66"/>
      <c r="TF53" s="66"/>
      <c r="TG53" s="66"/>
      <c r="TH53" s="66"/>
      <c r="TI53" s="66"/>
      <c r="TJ53" s="66"/>
      <c r="TK53" s="66"/>
      <c r="TL53" s="66"/>
      <c r="TM53" s="66"/>
      <c r="TN53" s="66"/>
      <c r="TO53" s="66"/>
      <c r="TP53" s="66"/>
      <c r="TQ53" s="66"/>
      <c r="TR53" s="66"/>
      <c r="TS53" s="66"/>
      <c r="TT53" s="66"/>
      <c r="TU53" s="66"/>
      <c r="TV53" s="66"/>
      <c r="TW53" s="66"/>
      <c r="TX53" s="66"/>
      <c r="TY53" s="66"/>
      <c r="TZ53" s="66"/>
      <c r="UA53" s="66"/>
      <c r="UB53" s="66"/>
      <c r="UC53" s="66"/>
      <c r="UD53" s="66"/>
      <c r="UE53" s="66"/>
      <c r="UF53" s="66"/>
      <c r="UG53" s="66"/>
      <c r="UH53" s="66"/>
      <c r="UI53" s="66"/>
      <c r="UJ53" s="66"/>
      <c r="UK53" s="66"/>
      <c r="UL53" s="66"/>
      <c r="UM53" s="66"/>
      <c r="UN53" s="66"/>
      <c r="UO53" s="66"/>
      <c r="UP53" s="66"/>
      <c r="UQ53" s="66"/>
      <c r="UR53" s="66"/>
      <c r="US53" s="66"/>
      <c r="UT53" s="66"/>
      <c r="UU53" s="66"/>
      <c r="UV53" s="66"/>
      <c r="UW53" s="66"/>
      <c r="UX53" s="66"/>
      <c r="UY53" s="66"/>
      <c r="UZ53" s="66"/>
      <c r="VA53" s="66"/>
      <c r="VB53" s="66"/>
      <c r="VC53" s="66"/>
      <c r="VD53" s="66"/>
      <c r="VE53" s="66"/>
      <c r="VF53" s="66"/>
      <c r="VG53" s="66"/>
      <c r="VH53" s="66"/>
      <c r="VI53" s="66"/>
      <c r="VJ53" s="66"/>
      <c r="VK53" s="66"/>
      <c r="VL53" s="66"/>
      <c r="VM53" s="66"/>
      <c r="VN53" s="66"/>
      <c r="VO53" s="66"/>
      <c r="VP53" s="66"/>
      <c r="VQ53" s="66"/>
      <c r="VR53" s="66"/>
      <c r="VS53" s="66"/>
      <c r="VT53" s="66"/>
      <c r="VU53" s="66"/>
      <c r="VV53" s="66"/>
      <c r="VW53" s="66"/>
      <c r="VX53" s="66"/>
      <c r="VY53" s="66"/>
      <c r="VZ53" s="66"/>
      <c r="WA53" s="66"/>
      <c r="WB53" s="66"/>
      <c r="WC53" s="66"/>
      <c r="WD53" s="66"/>
      <c r="WE53" s="66"/>
      <c r="WF53" s="66"/>
      <c r="WG53" s="66"/>
      <c r="WH53" s="66"/>
      <c r="WI53" s="66"/>
      <c r="WJ53" s="66"/>
      <c r="WK53" s="66"/>
      <c r="WL53" s="66"/>
      <c r="WM53" s="66"/>
      <c r="WN53" s="66"/>
      <c r="WO53" s="66"/>
      <c r="WP53" s="66"/>
      <c r="WQ53" s="66"/>
      <c r="WR53" s="66"/>
      <c r="WS53" s="66"/>
      <c r="WT53" s="66"/>
      <c r="WU53" s="66"/>
      <c r="WV53" s="66"/>
      <c r="WW53" s="66"/>
      <c r="WX53" s="66"/>
      <c r="WY53" s="66"/>
      <c r="WZ53" s="66"/>
      <c r="XA53" s="66"/>
      <c r="XB53" s="66"/>
      <c r="XC53" s="66"/>
      <c r="XD53" s="66"/>
      <c r="XE53" s="66"/>
      <c r="XF53" s="66"/>
      <c r="XG53" s="66"/>
      <c r="XH53" s="66"/>
      <c r="XI53" s="66"/>
      <c r="XJ53" s="66"/>
      <c r="XK53" s="66"/>
      <c r="XL53" s="66"/>
      <c r="XM53" s="66"/>
      <c r="XN53" s="66"/>
      <c r="XO53" s="66"/>
      <c r="XP53" s="66"/>
      <c r="XQ53" s="66"/>
      <c r="XR53" s="66"/>
      <c r="XS53" s="66"/>
      <c r="XT53" s="66"/>
      <c r="XU53" s="66"/>
      <c r="XV53" s="66"/>
      <c r="XW53" s="66"/>
      <c r="XX53" s="66"/>
      <c r="XY53" s="66"/>
      <c r="XZ53" s="66"/>
      <c r="YA53" s="66"/>
      <c r="YB53" s="66"/>
      <c r="YC53" s="66"/>
      <c r="YD53" s="66"/>
      <c r="YE53" s="66"/>
      <c r="YF53" s="66"/>
      <c r="YG53" s="66"/>
      <c r="YH53" s="66"/>
      <c r="YI53" s="66"/>
      <c r="YJ53" s="66"/>
      <c r="YK53" s="66"/>
      <c r="YL53" s="66"/>
      <c r="YM53" s="66"/>
      <c r="YN53" s="66"/>
      <c r="YO53" s="66"/>
      <c r="YP53" s="66"/>
      <c r="YQ53" s="66"/>
      <c r="YR53" s="66"/>
      <c r="YS53" s="66"/>
      <c r="YT53" s="66"/>
      <c r="YU53" s="66"/>
      <c r="YV53" s="66"/>
      <c r="YW53" s="66"/>
      <c r="YX53" s="66"/>
      <c r="YY53" s="66"/>
      <c r="YZ53" s="66"/>
      <c r="ZA53" s="66"/>
      <c r="ZB53" s="66"/>
      <c r="ZC53" s="66"/>
      <c r="ZD53" s="66"/>
      <c r="ZE53" s="66"/>
      <c r="ZF53" s="66"/>
      <c r="ZG53" s="66"/>
      <c r="ZH53" s="66"/>
      <c r="ZI53" s="66"/>
      <c r="ZJ53" s="66"/>
      <c r="ZK53" s="66"/>
      <c r="ZL53" s="66"/>
      <c r="ZM53" s="66"/>
      <c r="ZN53" s="66"/>
      <c r="ZO53" s="66"/>
      <c r="ZP53" s="66"/>
      <c r="ZQ53" s="66"/>
      <c r="ZR53" s="66"/>
      <c r="ZS53" s="66"/>
      <c r="ZT53" s="66"/>
      <c r="ZU53" s="66"/>
      <c r="ZV53" s="66"/>
      <c r="ZW53" s="66"/>
      <c r="ZX53" s="66"/>
    </row>
    <row r="54" spans="1:700" s="20" customFormat="1" ht="15.75" x14ac:dyDescent="0.25">
      <c r="A54" s="67"/>
      <c r="B54" s="68"/>
      <c r="C54" s="68"/>
      <c r="D54" s="69"/>
      <c r="E54" s="110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  <c r="CH54" s="66"/>
      <c r="CI54" s="66"/>
      <c r="CJ54" s="66"/>
      <c r="CK54" s="66"/>
      <c r="CL54" s="66"/>
      <c r="CM54" s="66"/>
      <c r="CN54" s="66"/>
      <c r="CO54" s="66"/>
      <c r="CP54" s="66"/>
      <c r="CQ54" s="66"/>
      <c r="CR54" s="66"/>
      <c r="CS54" s="66"/>
      <c r="CT54" s="66"/>
      <c r="CU54" s="66"/>
      <c r="CV54" s="66"/>
      <c r="CW54" s="66"/>
      <c r="CX54" s="66"/>
      <c r="CY54" s="66"/>
      <c r="CZ54" s="66"/>
      <c r="DA54" s="66"/>
      <c r="DB54" s="66"/>
      <c r="DC54" s="66"/>
      <c r="DD54" s="66"/>
      <c r="DE54" s="66"/>
      <c r="DF54" s="66"/>
      <c r="DG54" s="66"/>
      <c r="DH54" s="66"/>
      <c r="DI54" s="66"/>
      <c r="DJ54" s="66"/>
      <c r="DK54" s="66"/>
      <c r="DL54" s="66"/>
      <c r="DM54" s="66"/>
      <c r="DN54" s="66"/>
      <c r="DO54" s="66"/>
      <c r="DP54" s="66"/>
      <c r="DQ54" s="66"/>
      <c r="DR54" s="66"/>
      <c r="DS54" s="66"/>
      <c r="DT54" s="66"/>
      <c r="DU54" s="66"/>
      <c r="DV54" s="66"/>
      <c r="DW54" s="66"/>
      <c r="DX54" s="66"/>
      <c r="DY54" s="66"/>
      <c r="DZ54" s="66"/>
      <c r="EA54" s="66"/>
      <c r="EB54" s="66"/>
      <c r="EC54" s="66"/>
      <c r="ED54" s="66"/>
      <c r="EE54" s="66"/>
      <c r="EF54" s="66"/>
      <c r="EG54" s="66"/>
      <c r="EH54" s="66"/>
      <c r="EI54" s="66"/>
      <c r="EJ54" s="66"/>
      <c r="EK54" s="66"/>
      <c r="EL54" s="66"/>
      <c r="EM54" s="66"/>
      <c r="EN54" s="66"/>
      <c r="EO54" s="66"/>
      <c r="EP54" s="66"/>
      <c r="EQ54" s="66"/>
      <c r="ER54" s="66"/>
      <c r="ES54" s="66"/>
      <c r="ET54" s="66"/>
      <c r="EU54" s="66"/>
      <c r="EV54" s="66"/>
      <c r="EW54" s="66"/>
      <c r="EX54" s="66"/>
      <c r="EY54" s="66"/>
      <c r="EZ54" s="66"/>
      <c r="FA54" s="66"/>
      <c r="FB54" s="66"/>
      <c r="FC54" s="66"/>
      <c r="FD54" s="66"/>
      <c r="FE54" s="66"/>
      <c r="FF54" s="66"/>
      <c r="FG54" s="66"/>
      <c r="FH54" s="66"/>
      <c r="FI54" s="66"/>
      <c r="FJ54" s="66"/>
      <c r="FK54" s="66"/>
      <c r="FL54" s="66"/>
      <c r="FM54" s="66"/>
      <c r="FN54" s="66"/>
      <c r="FO54" s="66"/>
      <c r="FP54" s="66"/>
      <c r="FQ54" s="66"/>
      <c r="FR54" s="66"/>
      <c r="FS54" s="66"/>
      <c r="FT54" s="66"/>
      <c r="FU54" s="66"/>
      <c r="FV54" s="66"/>
      <c r="FW54" s="66"/>
      <c r="FX54" s="66"/>
      <c r="FY54" s="66"/>
      <c r="FZ54" s="66"/>
      <c r="GA54" s="66"/>
      <c r="GB54" s="66"/>
      <c r="GC54" s="66"/>
      <c r="GD54" s="66"/>
      <c r="GE54" s="66"/>
      <c r="GF54" s="66"/>
      <c r="GG54" s="66"/>
      <c r="GH54" s="66"/>
      <c r="GI54" s="66"/>
      <c r="GJ54" s="66"/>
      <c r="GK54" s="66"/>
      <c r="GL54" s="66"/>
      <c r="GM54" s="66"/>
      <c r="GN54" s="66"/>
      <c r="GO54" s="66"/>
      <c r="GP54" s="66"/>
      <c r="GQ54" s="66"/>
      <c r="GR54" s="66"/>
      <c r="GS54" s="66"/>
      <c r="GT54" s="66"/>
      <c r="GU54" s="66"/>
      <c r="GV54" s="66"/>
      <c r="GW54" s="66"/>
      <c r="GX54" s="66"/>
      <c r="GY54" s="66"/>
      <c r="GZ54" s="66"/>
      <c r="HA54" s="66"/>
      <c r="HB54" s="66"/>
      <c r="HC54" s="66"/>
      <c r="HD54" s="66"/>
      <c r="HE54" s="66"/>
      <c r="HF54" s="66"/>
      <c r="HG54" s="66"/>
      <c r="HH54" s="66"/>
      <c r="HI54" s="66"/>
      <c r="HJ54" s="66"/>
      <c r="HK54" s="66"/>
      <c r="HL54" s="66"/>
      <c r="HM54" s="66"/>
      <c r="HN54" s="66"/>
      <c r="HO54" s="66"/>
      <c r="HP54" s="66"/>
      <c r="HQ54" s="66"/>
      <c r="HR54" s="66"/>
      <c r="HS54" s="66"/>
      <c r="HT54" s="66"/>
      <c r="HU54" s="66"/>
      <c r="HV54" s="66"/>
      <c r="HW54" s="66"/>
      <c r="HX54" s="66"/>
      <c r="HY54" s="66"/>
      <c r="HZ54" s="66"/>
      <c r="IA54" s="66"/>
      <c r="IB54" s="66"/>
      <c r="IC54" s="66"/>
      <c r="ID54" s="66"/>
      <c r="IE54" s="66"/>
      <c r="IF54" s="66"/>
      <c r="IG54" s="66"/>
      <c r="IH54" s="66"/>
      <c r="II54" s="66"/>
      <c r="IJ54" s="66"/>
      <c r="IK54" s="66"/>
      <c r="IL54" s="66"/>
      <c r="IM54" s="66"/>
      <c r="IN54" s="66"/>
      <c r="IO54" s="66"/>
      <c r="IP54" s="66"/>
      <c r="IQ54" s="66"/>
      <c r="IR54" s="66"/>
      <c r="IS54" s="66"/>
      <c r="IT54" s="66"/>
      <c r="IU54" s="66"/>
      <c r="IV54" s="66"/>
      <c r="IW54" s="66"/>
      <c r="IX54" s="66"/>
      <c r="IY54" s="66"/>
      <c r="IZ54" s="66"/>
      <c r="JA54" s="66"/>
      <c r="JB54" s="66"/>
      <c r="JC54" s="66"/>
      <c r="JD54" s="66"/>
      <c r="JE54" s="66"/>
      <c r="JF54" s="66"/>
      <c r="JG54" s="66"/>
      <c r="JH54" s="66"/>
      <c r="JI54" s="66"/>
      <c r="JJ54" s="66"/>
      <c r="JK54" s="66"/>
      <c r="JL54" s="66"/>
      <c r="JM54" s="66"/>
      <c r="JN54" s="66"/>
      <c r="JO54" s="66"/>
      <c r="JP54" s="66"/>
      <c r="JQ54" s="66"/>
      <c r="JR54" s="66"/>
      <c r="JS54" s="66"/>
      <c r="JT54" s="66"/>
      <c r="JU54" s="66"/>
      <c r="JV54" s="66"/>
      <c r="JW54" s="66"/>
      <c r="JX54" s="66"/>
      <c r="JY54" s="66"/>
      <c r="JZ54" s="66"/>
      <c r="KA54" s="66"/>
      <c r="KB54" s="66"/>
      <c r="KC54" s="66"/>
      <c r="KD54" s="66"/>
      <c r="KE54" s="66"/>
      <c r="KF54" s="66"/>
      <c r="KG54" s="66"/>
      <c r="KH54" s="66"/>
      <c r="KI54" s="66"/>
      <c r="KJ54" s="66"/>
      <c r="KK54" s="66"/>
      <c r="KL54" s="66"/>
      <c r="KM54" s="66"/>
      <c r="KN54" s="66"/>
      <c r="KO54" s="66"/>
      <c r="KP54" s="66"/>
      <c r="KQ54" s="66"/>
      <c r="KR54" s="66"/>
      <c r="KS54" s="66"/>
      <c r="KT54" s="66"/>
      <c r="KU54" s="66"/>
      <c r="KV54" s="66"/>
      <c r="KW54" s="66"/>
      <c r="KX54" s="66"/>
      <c r="KY54" s="66"/>
      <c r="KZ54" s="66"/>
      <c r="LA54" s="66"/>
      <c r="LB54" s="66"/>
      <c r="LC54" s="66"/>
      <c r="LD54" s="66"/>
      <c r="LE54" s="66"/>
      <c r="LF54" s="66"/>
      <c r="LG54" s="66"/>
      <c r="LH54" s="66"/>
      <c r="LI54" s="66"/>
      <c r="LJ54" s="66"/>
      <c r="LK54" s="66"/>
      <c r="LL54" s="66"/>
      <c r="LM54" s="66"/>
      <c r="LN54" s="66"/>
      <c r="LO54" s="66"/>
      <c r="LP54" s="66"/>
      <c r="LQ54" s="66"/>
      <c r="LR54" s="66"/>
      <c r="LS54" s="66"/>
      <c r="LT54" s="66"/>
      <c r="LU54" s="66"/>
      <c r="LV54" s="66"/>
      <c r="LW54" s="66"/>
      <c r="LX54" s="66"/>
      <c r="LY54" s="66"/>
      <c r="LZ54" s="66"/>
      <c r="MA54" s="66"/>
      <c r="MB54" s="66"/>
      <c r="MC54" s="66"/>
      <c r="MD54" s="66"/>
      <c r="ME54" s="66"/>
      <c r="MF54" s="66"/>
      <c r="MG54" s="66"/>
      <c r="MH54" s="66"/>
      <c r="MI54" s="66"/>
      <c r="MJ54" s="66"/>
      <c r="MK54" s="66"/>
      <c r="ML54" s="66"/>
      <c r="MM54" s="66"/>
      <c r="MN54" s="66"/>
      <c r="MO54" s="66"/>
      <c r="MP54" s="66"/>
      <c r="MQ54" s="66"/>
      <c r="MR54" s="66"/>
      <c r="MS54" s="66"/>
      <c r="MT54" s="66"/>
      <c r="MU54" s="66"/>
      <c r="MV54" s="66"/>
      <c r="MW54" s="66"/>
      <c r="MX54" s="66"/>
      <c r="MY54" s="66"/>
      <c r="MZ54" s="66"/>
      <c r="NA54" s="66"/>
      <c r="NB54" s="66"/>
      <c r="NC54" s="66"/>
      <c r="ND54" s="66"/>
      <c r="NE54" s="66"/>
      <c r="NF54" s="66"/>
      <c r="NG54" s="66"/>
      <c r="NH54" s="66"/>
      <c r="NI54" s="66"/>
      <c r="NJ54" s="66"/>
      <c r="NK54" s="66"/>
      <c r="NL54" s="66"/>
      <c r="NM54" s="66"/>
      <c r="NN54" s="66"/>
      <c r="NO54" s="66"/>
      <c r="NP54" s="66"/>
      <c r="NQ54" s="66"/>
      <c r="NR54" s="66"/>
      <c r="NS54" s="66"/>
      <c r="NT54" s="66"/>
      <c r="NU54" s="66"/>
      <c r="NV54" s="66"/>
      <c r="NW54" s="66"/>
      <c r="NX54" s="66"/>
      <c r="NY54" s="66"/>
      <c r="NZ54" s="66"/>
      <c r="OA54" s="66"/>
      <c r="OB54" s="66"/>
      <c r="OC54" s="66"/>
      <c r="OD54" s="66"/>
      <c r="OE54" s="66"/>
      <c r="OF54" s="66"/>
      <c r="OG54" s="66"/>
      <c r="OH54" s="66"/>
      <c r="OI54" s="66"/>
      <c r="OJ54" s="66"/>
      <c r="OK54" s="66"/>
      <c r="OL54" s="66"/>
      <c r="OM54" s="66"/>
      <c r="ON54" s="66"/>
      <c r="OO54" s="66"/>
      <c r="OP54" s="66"/>
      <c r="OQ54" s="66"/>
      <c r="OR54" s="66"/>
      <c r="OS54" s="66"/>
      <c r="OT54" s="66"/>
      <c r="OU54" s="66"/>
      <c r="OV54" s="66"/>
      <c r="OW54" s="66"/>
      <c r="OX54" s="66"/>
      <c r="OY54" s="66"/>
      <c r="OZ54" s="66"/>
      <c r="PA54" s="66"/>
      <c r="PB54" s="66"/>
      <c r="PC54" s="66"/>
      <c r="PD54" s="66"/>
      <c r="PE54" s="66"/>
      <c r="PF54" s="66"/>
      <c r="PG54" s="66"/>
      <c r="PH54" s="66"/>
      <c r="PI54" s="66"/>
      <c r="PJ54" s="66"/>
      <c r="PK54" s="66"/>
      <c r="PL54" s="66"/>
      <c r="PM54" s="66"/>
      <c r="PN54" s="66"/>
      <c r="PO54" s="66"/>
      <c r="PP54" s="66"/>
      <c r="PQ54" s="66"/>
      <c r="PR54" s="66"/>
      <c r="PS54" s="66"/>
      <c r="PT54" s="66"/>
      <c r="PU54" s="66"/>
      <c r="PV54" s="66"/>
      <c r="PW54" s="66"/>
      <c r="PX54" s="66"/>
      <c r="PY54" s="66"/>
      <c r="PZ54" s="66"/>
      <c r="QA54" s="66"/>
      <c r="QB54" s="66"/>
      <c r="QC54" s="66"/>
      <c r="QD54" s="66"/>
      <c r="QE54" s="66"/>
      <c r="QF54" s="66"/>
      <c r="QG54" s="66"/>
      <c r="QH54" s="66"/>
      <c r="QI54" s="66"/>
      <c r="QJ54" s="66"/>
      <c r="QK54" s="66"/>
      <c r="QL54" s="66"/>
      <c r="QM54" s="66"/>
      <c r="QN54" s="66"/>
      <c r="QO54" s="66"/>
      <c r="QP54" s="66"/>
      <c r="QQ54" s="66"/>
      <c r="QR54" s="66"/>
      <c r="QS54" s="66"/>
      <c r="QT54" s="66"/>
      <c r="QU54" s="66"/>
      <c r="QV54" s="66"/>
      <c r="QW54" s="66"/>
      <c r="QX54" s="66"/>
      <c r="QY54" s="66"/>
      <c r="QZ54" s="66"/>
      <c r="RA54" s="66"/>
      <c r="RB54" s="66"/>
      <c r="RC54" s="66"/>
      <c r="RD54" s="66"/>
      <c r="RE54" s="66"/>
      <c r="RF54" s="66"/>
      <c r="RG54" s="66"/>
      <c r="RH54" s="66"/>
      <c r="RI54" s="66"/>
      <c r="RJ54" s="66"/>
      <c r="RK54" s="66"/>
      <c r="RL54" s="66"/>
      <c r="RM54" s="66"/>
      <c r="RN54" s="66"/>
      <c r="RO54" s="66"/>
      <c r="RP54" s="66"/>
      <c r="RQ54" s="66"/>
      <c r="RR54" s="66"/>
      <c r="RS54" s="66"/>
      <c r="RT54" s="66"/>
      <c r="RU54" s="66"/>
      <c r="RV54" s="66"/>
      <c r="RW54" s="66"/>
      <c r="RX54" s="66"/>
      <c r="RY54" s="66"/>
      <c r="RZ54" s="66"/>
      <c r="SA54" s="66"/>
      <c r="SB54" s="66"/>
      <c r="SC54" s="66"/>
      <c r="SD54" s="66"/>
      <c r="SE54" s="66"/>
      <c r="SF54" s="66"/>
      <c r="SG54" s="66"/>
      <c r="SH54" s="66"/>
      <c r="SI54" s="66"/>
      <c r="SJ54" s="66"/>
      <c r="SK54" s="66"/>
      <c r="SL54" s="66"/>
      <c r="SM54" s="66"/>
      <c r="SN54" s="66"/>
      <c r="SO54" s="66"/>
      <c r="SP54" s="66"/>
      <c r="SQ54" s="66"/>
      <c r="SR54" s="66"/>
      <c r="SS54" s="66"/>
      <c r="ST54" s="66"/>
      <c r="SU54" s="66"/>
      <c r="SV54" s="66"/>
      <c r="SW54" s="66"/>
      <c r="SX54" s="66"/>
      <c r="SY54" s="66"/>
      <c r="SZ54" s="66"/>
      <c r="TA54" s="66"/>
      <c r="TB54" s="66"/>
      <c r="TC54" s="66"/>
      <c r="TD54" s="66"/>
      <c r="TE54" s="66"/>
      <c r="TF54" s="66"/>
      <c r="TG54" s="66"/>
      <c r="TH54" s="66"/>
      <c r="TI54" s="66"/>
      <c r="TJ54" s="66"/>
      <c r="TK54" s="66"/>
      <c r="TL54" s="66"/>
      <c r="TM54" s="66"/>
      <c r="TN54" s="66"/>
      <c r="TO54" s="66"/>
      <c r="TP54" s="66"/>
      <c r="TQ54" s="66"/>
      <c r="TR54" s="66"/>
      <c r="TS54" s="66"/>
      <c r="TT54" s="66"/>
      <c r="TU54" s="66"/>
      <c r="TV54" s="66"/>
      <c r="TW54" s="66"/>
      <c r="TX54" s="66"/>
      <c r="TY54" s="66"/>
      <c r="TZ54" s="66"/>
      <c r="UA54" s="66"/>
      <c r="UB54" s="66"/>
      <c r="UC54" s="66"/>
      <c r="UD54" s="66"/>
      <c r="UE54" s="66"/>
      <c r="UF54" s="66"/>
      <c r="UG54" s="66"/>
      <c r="UH54" s="66"/>
      <c r="UI54" s="66"/>
      <c r="UJ54" s="66"/>
      <c r="UK54" s="66"/>
      <c r="UL54" s="66"/>
      <c r="UM54" s="66"/>
      <c r="UN54" s="66"/>
      <c r="UO54" s="66"/>
      <c r="UP54" s="66"/>
      <c r="UQ54" s="66"/>
      <c r="UR54" s="66"/>
      <c r="US54" s="66"/>
      <c r="UT54" s="66"/>
      <c r="UU54" s="66"/>
      <c r="UV54" s="66"/>
      <c r="UW54" s="66"/>
      <c r="UX54" s="66"/>
      <c r="UY54" s="66"/>
      <c r="UZ54" s="66"/>
      <c r="VA54" s="66"/>
      <c r="VB54" s="66"/>
      <c r="VC54" s="66"/>
      <c r="VD54" s="66"/>
      <c r="VE54" s="66"/>
      <c r="VF54" s="66"/>
      <c r="VG54" s="66"/>
      <c r="VH54" s="66"/>
      <c r="VI54" s="66"/>
      <c r="VJ54" s="66"/>
      <c r="VK54" s="66"/>
      <c r="VL54" s="66"/>
      <c r="VM54" s="66"/>
      <c r="VN54" s="66"/>
      <c r="VO54" s="66"/>
      <c r="VP54" s="66"/>
      <c r="VQ54" s="66"/>
      <c r="VR54" s="66"/>
      <c r="VS54" s="66"/>
      <c r="VT54" s="66"/>
      <c r="VU54" s="66"/>
      <c r="VV54" s="66"/>
      <c r="VW54" s="66"/>
      <c r="VX54" s="66"/>
      <c r="VY54" s="66"/>
      <c r="VZ54" s="66"/>
      <c r="WA54" s="66"/>
      <c r="WB54" s="66"/>
      <c r="WC54" s="66"/>
      <c r="WD54" s="66"/>
      <c r="WE54" s="66"/>
      <c r="WF54" s="66"/>
      <c r="WG54" s="66"/>
      <c r="WH54" s="66"/>
      <c r="WI54" s="66"/>
      <c r="WJ54" s="66"/>
      <c r="WK54" s="66"/>
      <c r="WL54" s="66"/>
      <c r="WM54" s="66"/>
      <c r="WN54" s="66"/>
      <c r="WO54" s="66"/>
      <c r="WP54" s="66"/>
      <c r="WQ54" s="66"/>
      <c r="WR54" s="66"/>
      <c r="WS54" s="66"/>
      <c r="WT54" s="66"/>
      <c r="WU54" s="66"/>
      <c r="WV54" s="66"/>
      <c r="WW54" s="66"/>
      <c r="WX54" s="66"/>
      <c r="WY54" s="66"/>
      <c r="WZ54" s="66"/>
      <c r="XA54" s="66"/>
      <c r="XB54" s="66"/>
      <c r="XC54" s="66"/>
      <c r="XD54" s="66"/>
      <c r="XE54" s="66"/>
      <c r="XF54" s="66"/>
      <c r="XG54" s="66"/>
      <c r="XH54" s="66"/>
      <c r="XI54" s="66"/>
      <c r="XJ54" s="66"/>
      <c r="XK54" s="66"/>
      <c r="XL54" s="66"/>
      <c r="XM54" s="66"/>
      <c r="XN54" s="66"/>
      <c r="XO54" s="66"/>
      <c r="XP54" s="66"/>
      <c r="XQ54" s="66"/>
      <c r="XR54" s="66"/>
      <c r="XS54" s="66"/>
      <c r="XT54" s="66"/>
      <c r="XU54" s="66"/>
      <c r="XV54" s="66"/>
      <c r="XW54" s="66"/>
      <c r="XX54" s="66"/>
      <c r="XY54" s="66"/>
      <c r="XZ54" s="66"/>
      <c r="YA54" s="66"/>
      <c r="YB54" s="66"/>
      <c r="YC54" s="66"/>
      <c r="YD54" s="66"/>
      <c r="YE54" s="66"/>
      <c r="YF54" s="66"/>
      <c r="YG54" s="66"/>
      <c r="YH54" s="66"/>
      <c r="YI54" s="66"/>
      <c r="YJ54" s="66"/>
      <c r="YK54" s="66"/>
      <c r="YL54" s="66"/>
      <c r="YM54" s="66"/>
      <c r="YN54" s="66"/>
      <c r="YO54" s="66"/>
      <c r="YP54" s="66"/>
      <c r="YQ54" s="66"/>
      <c r="YR54" s="66"/>
      <c r="YS54" s="66"/>
      <c r="YT54" s="66"/>
      <c r="YU54" s="66"/>
      <c r="YV54" s="66"/>
      <c r="YW54" s="66"/>
      <c r="YX54" s="66"/>
      <c r="YY54" s="66"/>
      <c r="YZ54" s="66"/>
      <c r="ZA54" s="66"/>
      <c r="ZB54" s="66"/>
      <c r="ZC54" s="66"/>
      <c r="ZD54" s="66"/>
      <c r="ZE54" s="66"/>
      <c r="ZF54" s="66"/>
      <c r="ZG54" s="66"/>
      <c r="ZH54" s="66"/>
      <c r="ZI54" s="66"/>
      <c r="ZJ54" s="66"/>
      <c r="ZK54" s="66"/>
      <c r="ZL54" s="66"/>
      <c r="ZM54" s="66"/>
      <c r="ZN54" s="66"/>
      <c r="ZO54" s="66"/>
      <c r="ZP54" s="66"/>
      <c r="ZQ54" s="66"/>
      <c r="ZR54" s="66"/>
      <c r="ZS54" s="66"/>
      <c r="ZT54" s="66"/>
      <c r="ZU54" s="66"/>
      <c r="ZV54" s="66"/>
      <c r="ZW54" s="66"/>
      <c r="ZX54" s="66"/>
    </row>
    <row r="55" spans="1:700" s="20" customFormat="1" ht="15.75" x14ac:dyDescent="0.25">
      <c r="A55" s="137"/>
      <c r="B55" s="138"/>
      <c r="C55" s="138"/>
      <c r="D55" s="139"/>
      <c r="E55" s="129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  <c r="CH55" s="66"/>
      <c r="CI55" s="66"/>
      <c r="CJ55" s="66"/>
      <c r="CK55" s="66"/>
      <c r="CL55" s="66"/>
      <c r="CM55" s="66"/>
      <c r="CN55" s="66"/>
      <c r="CO55" s="66"/>
      <c r="CP55" s="66"/>
      <c r="CQ55" s="66"/>
      <c r="CR55" s="66"/>
      <c r="CS55" s="66"/>
      <c r="CT55" s="66"/>
      <c r="CU55" s="66"/>
      <c r="CV55" s="66"/>
      <c r="CW55" s="66"/>
      <c r="CX55" s="66"/>
      <c r="CY55" s="66"/>
      <c r="CZ55" s="66"/>
      <c r="DA55" s="66"/>
      <c r="DB55" s="66"/>
      <c r="DC55" s="66"/>
      <c r="DD55" s="66"/>
      <c r="DE55" s="66"/>
      <c r="DF55" s="66"/>
      <c r="DG55" s="66"/>
      <c r="DH55" s="66"/>
      <c r="DI55" s="66"/>
      <c r="DJ55" s="66"/>
      <c r="DK55" s="66"/>
      <c r="DL55" s="66"/>
      <c r="DM55" s="66"/>
      <c r="DN55" s="66"/>
      <c r="DO55" s="66"/>
      <c r="DP55" s="66"/>
      <c r="DQ55" s="66"/>
      <c r="DR55" s="66"/>
      <c r="DS55" s="66"/>
      <c r="DT55" s="66"/>
      <c r="DU55" s="66"/>
      <c r="DV55" s="66"/>
      <c r="DW55" s="66"/>
      <c r="DX55" s="66"/>
      <c r="DY55" s="66"/>
      <c r="DZ55" s="66"/>
      <c r="EA55" s="66"/>
      <c r="EB55" s="66"/>
      <c r="EC55" s="66"/>
      <c r="ED55" s="66"/>
      <c r="EE55" s="66"/>
      <c r="EF55" s="66"/>
      <c r="EG55" s="66"/>
      <c r="EH55" s="66"/>
      <c r="EI55" s="66"/>
      <c r="EJ55" s="66"/>
      <c r="EK55" s="66"/>
      <c r="EL55" s="66"/>
      <c r="EM55" s="66"/>
      <c r="EN55" s="66"/>
      <c r="EO55" s="66"/>
      <c r="EP55" s="66"/>
      <c r="EQ55" s="66"/>
      <c r="ER55" s="66"/>
      <c r="ES55" s="66"/>
      <c r="ET55" s="66"/>
      <c r="EU55" s="66"/>
      <c r="EV55" s="66"/>
      <c r="EW55" s="66"/>
      <c r="EX55" s="66"/>
      <c r="EY55" s="66"/>
      <c r="EZ55" s="66"/>
      <c r="FA55" s="66"/>
      <c r="FB55" s="66"/>
      <c r="FC55" s="66"/>
      <c r="FD55" s="66"/>
      <c r="FE55" s="66"/>
      <c r="FF55" s="66"/>
      <c r="FG55" s="66"/>
      <c r="FH55" s="66"/>
      <c r="FI55" s="66"/>
      <c r="FJ55" s="66"/>
      <c r="FK55" s="66"/>
      <c r="FL55" s="66"/>
      <c r="FM55" s="66"/>
      <c r="FN55" s="66"/>
      <c r="FO55" s="66"/>
      <c r="FP55" s="66"/>
      <c r="FQ55" s="66"/>
      <c r="FR55" s="66"/>
      <c r="FS55" s="66"/>
      <c r="FT55" s="66"/>
      <c r="FU55" s="66"/>
      <c r="FV55" s="66"/>
      <c r="FW55" s="66"/>
      <c r="FX55" s="66"/>
      <c r="FY55" s="66"/>
      <c r="FZ55" s="66"/>
      <c r="GA55" s="66"/>
      <c r="GB55" s="66"/>
      <c r="GC55" s="66"/>
      <c r="GD55" s="66"/>
      <c r="GE55" s="66"/>
      <c r="GF55" s="66"/>
      <c r="GG55" s="66"/>
      <c r="GH55" s="66"/>
      <c r="GI55" s="66"/>
      <c r="GJ55" s="66"/>
      <c r="GK55" s="66"/>
      <c r="GL55" s="66"/>
      <c r="GM55" s="66"/>
      <c r="GN55" s="66"/>
      <c r="GO55" s="66"/>
      <c r="GP55" s="66"/>
      <c r="GQ55" s="66"/>
      <c r="GR55" s="66"/>
      <c r="GS55" s="66"/>
      <c r="GT55" s="66"/>
      <c r="GU55" s="66"/>
      <c r="GV55" s="66"/>
      <c r="GW55" s="66"/>
      <c r="GX55" s="66"/>
      <c r="GY55" s="66"/>
      <c r="GZ55" s="66"/>
      <c r="HA55" s="66"/>
      <c r="HB55" s="66"/>
      <c r="HC55" s="66"/>
      <c r="HD55" s="66"/>
      <c r="HE55" s="66"/>
      <c r="HF55" s="66"/>
      <c r="HG55" s="66"/>
      <c r="HH55" s="66"/>
      <c r="HI55" s="66"/>
      <c r="HJ55" s="66"/>
      <c r="HK55" s="66"/>
      <c r="HL55" s="66"/>
      <c r="HM55" s="66"/>
      <c r="HN55" s="66"/>
      <c r="HO55" s="66"/>
      <c r="HP55" s="66"/>
      <c r="HQ55" s="66"/>
      <c r="HR55" s="66"/>
      <c r="HS55" s="66"/>
      <c r="HT55" s="66"/>
      <c r="HU55" s="66"/>
      <c r="HV55" s="66"/>
      <c r="HW55" s="66"/>
      <c r="HX55" s="66"/>
      <c r="HY55" s="66"/>
      <c r="HZ55" s="66"/>
      <c r="IA55" s="66"/>
      <c r="IB55" s="66"/>
      <c r="IC55" s="66"/>
      <c r="ID55" s="66"/>
      <c r="IE55" s="66"/>
      <c r="IF55" s="66"/>
      <c r="IG55" s="66"/>
      <c r="IH55" s="66"/>
      <c r="II55" s="66"/>
      <c r="IJ55" s="66"/>
      <c r="IK55" s="66"/>
      <c r="IL55" s="66"/>
      <c r="IM55" s="66"/>
      <c r="IN55" s="66"/>
      <c r="IO55" s="66"/>
      <c r="IP55" s="66"/>
      <c r="IQ55" s="66"/>
      <c r="IR55" s="66"/>
      <c r="IS55" s="66"/>
      <c r="IT55" s="66"/>
      <c r="IU55" s="66"/>
      <c r="IV55" s="66"/>
      <c r="IW55" s="66"/>
      <c r="IX55" s="66"/>
      <c r="IY55" s="66"/>
      <c r="IZ55" s="66"/>
      <c r="JA55" s="66"/>
      <c r="JB55" s="66"/>
      <c r="JC55" s="66"/>
      <c r="JD55" s="66"/>
      <c r="JE55" s="66"/>
      <c r="JF55" s="66"/>
      <c r="JG55" s="66"/>
      <c r="JH55" s="66"/>
      <c r="JI55" s="66"/>
      <c r="JJ55" s="66"/>
      <c r="JK55" s="66"/>
      <c r="JL55" s="66"/>
      <c r="JM55" s="66"/>
      <c r="JN55" s="66"/>
      <c r="JO55" s="66"/>
      <c r="JP55" s="66"/>
      <c r="JQ55" s="66"/>
      <c r="JR55" s="66"/>
      <c r="JS55" s="66"/>
      <c r="JT55" s="66"/>
      <c r="JU55" s="66"/>
      <c r="JV55" s="66"/>
      <c r="JW55" s="66"/>
      <c r="JX55" s="66"/>
      <c r="JY55" s="66"/>
      <c r="JZ55" s="66"/>
      <c r="KA55" s="66"/>
      <c r="KB55" s="66"/>
      <c r="KC55" s="66"/>
      <c r="KD55" s="66"/>
      <c r="KE55" s="66"/>
      <c r="KF55" s="66"/>
      <c r="KG55" s="66"/>
      <c r="KH55" s="66"/>
      <c r="KI55" s="66"/>
      <c r="KJ55" s="66"/>
      <c r="KK55" s="66"/>
      <c r="KL55" s="66"/>
      <c r="KM55" s="66"/>
      <c r="KN55" s="66"/>
      <c r="KO55" s="66"/>
      <c r="KP55" s="66"/>
      <c r="KQ55" s="66"/>
      <c r="KR55" s="66"/>
      <c r="KS55" s="66"/>
      <c r="KT55" s="66"/>
      <c r="KU55" s="66"/>
      <c r="KV55" s="66"/>
      <c r="KW55" s="66"/>
      <c r="KX55" s="66"/>
      <c r="KY55" s="66"/>
      <c r="KZ55" s="66"/>
      <c r="LA55" s="66"/>
      <c r="LB55" s="66"/>
      <c r="LC55" s="66"/>
      <c r="LD55" s="66"/>
      <c r="LE55" s="66"/>
      <c r="LF55" s="66"/>
      <c r="LG55" s="66"/>
      <c r="LH55" s="66"/>
      <c r="LI55" s="66"/>
      <c r="LJ55" s="66"/>
      <c r="LK55" s="66"/>
      <c r="LL55" s="66"/>
      <c r="LM55" s="66"/>
      <c r="LN55" s="66"/>
      <c r="LO55" s="66"/>
      <c r="LP55" s="66"/>
      <c r="LQ55" s="66"/>
      <c r="LR55" s="66"/>
      <c r="LS55" s="66"/>
      <c r="LT55" s="66"/>
      <c r="LU55" s="66"/>
      <c r="LV55" s="66"/>
      <c r="LW55" s="66"/>
      <c r="LX55" s="66"/>
      <c r="LY55" s="66"/>
      <c r="LZ55" s="66"/>
      <c r="MA55" s="66"/>
      <c r="MB55" s="66"/>
      <c r="MC55" s="66"/>
      <c r="MD55" s="66"/>
      <c r="ME55" s="66"/>
      <c r="MF55" s="66"/>
      <c r="MG55" s="66"/>
      <c r="MH55" s="66"/>
      <c r="MI55" s="66"/>
      <c r="MJ55" s="66"/>
      <c r="MK55" s="66"/>
      <c r="ML55" s="66"/>
      <c r="MM55" s="66"/>
      <c r="MN55" s="66"/>
      <c r="MO55" s="66"/>
      <c r="MP55" s="66"/>
      <c r="MQ55" s="66"/>
      <c r="MR55" s="66"/>
      <c r="MS55" s="66"/>
      <c r="MT55" s="66"/>
      <c r="MU55" s="66"/>
      <c r="MV55" s="66"/>
      <c r="MW55" s="66"/>
      <c r="MX55" s="66"/>
      <c r="MY55" s="66"/>
      <c r="MZ55" s="66"/>
      <c r="NA55" s="66"/>
      <c r="NB55" s="66"/>
      <c r="NC55" s="66"/>
      <c r="ND55" s="66"/>
      <c r="NE55" s="66"/>
      <c r="NF55" s="66"/>
      <c r="NG55" s="66"/>
      <c r="NH55" s="66"/>
      <c r="NI55" s="66"/>
      <c r="NJ55" s="66"/>
      <c r="NK55" s="66"/>
      <c r="NL55" s="66"/>
      <c r="NM55" s="66"/>
      <c r="NN55" s="66"/>
      <c r="NO55" s="66"/>
      <c r="NP55" s="66"/>
      <c r="NQ55" s="66"/>
      <c r="NR55" s="66"/>
      <c r="NS55" s="66"/>
      <c r="NT55" s="66"/>
      <c r="NU55" s="66"/>
      <c r="NV55" s="66"/>
      <c r="NW55" s="66"/>
      <c r="NX55" s="66"/>
      <c r="NY55" s="66"/>
      <c r="NZ55" s="66"/>
      <c r="OA55" s="66"/>
      <c r="OB55" s="66"/>
      <c r="OC55" s="66"/>
      <c r="OD55" s="66"/>
      <c r="OE55" s="66"/>
      <c r="OF55" s="66"/>
      <c r="OG55" s="66"/>
      <c r="OH55" s="66"/>
      <c r="OI55" s="66"/>
      <c r="OJ55" s="66"/>
      <c r="OK55" s="66"/>
      <c r="OL55" s="66"/>
      <c r="OM55" s="66"/>
      <c r="ON55" s="66"/>
      <c r="OO55" s="66"/>
      <c r="OP55" s="66"/>
      <c r="OQ55" s="66"/>
      <c r="OR55" s="66"/>
      <c r="OS55" s="66"/>
      <c r="OT55" s="66"/>
      <c r="OU55" s="66"/>
      <c r="OV55" s="66"/>
      <c r="OW55" s="66"/>
      <c r="OX55" s="66"/>
      <c r="OY55" s="66"/>
      <c r="OZ55" s="66"/>
      <c r="PA55" s="66"/>
      <c r="PB55" s="66"/>
      <c r="PC55" s="66"/>
      <c r="PD55" s="66"/>
      <c r="PE55" s="66"/>
      <c r="PF55" s="66"/>
      <c r="PG55" s="66"/>
      <c r="PH55" s="66"/>
      <c r="PI55" s="66"/>
      <c r="PJ55" s="66"/>
      <c r="PK55" s="66"/>
      <c r="PL55" s="66"/>
      <c r="PM55" s="66"/>
      <c r="PN55" s="66"/>
      <c r="PO55" s="66"/>
      <c r="PP55" s="66"/>
      <c r="PQ55" s="66"/>
      <c r="PR55" s="66"/>
      <c r="PS55" s="66"/>
      <c r="PT55" s="66"/>
      <c r="PU55" s="66"/>
      <c r="PV55" s="66"/>
      <c r="PW55" s="66"/>
      <c r="PX55" s="66"/>
      <c r="PY55" s="66"/>
      <c r="PZ55" s="66"/>
      <c r="QA55" s="66"/>
      <c r="QB55" s="66"/>
      <c r="QC55" s="66"/>
      <c r="QD55" s="66"/>
      <c r="QE55" s="66"/>
      <c r="QF55" s="66"/>
      <c r="QG55" s="66"/>
      <c r="QH55" s="66"/>
      <c r="QI55" s="66"/>
      <c r="QJ55" s="66"/>
      <c r="QK55" s="66"/>
      <c r="QL55" s="66"/>
      <c r="QM55" s="66"/>
      <c r="QN55" s="66"/>
      <c r="QO55" s="66"/>
      <c r="QP55" s="66"/>
      <c r="QQ55" s="66"/>
      <c r="QR55" s="66"/>
      <c r="QS55" s="66"/>
      <c r="QT55" s="66"/>
      <c r="QU55" s="66"/>
      <c r="QV55" s="66"/>
      <c r="QW55" s="66"/>
      <c r="QX55" s="66"/>
      <c r="QY55" s="66"/>
      <c r="QZ55" s="66"/>
      <c r="RA55" s="66"/>
      <c r="RB55" s="66"/>
      <c r="RC55" s="66"/>
      <c r="RD55" s="66"/>
      <c r="RE55" s="66"/>
      <c r="RF55" s="66"/>
      <c r="RG55" s="66"/>
      <c r="RH55" s="66"/>
      <c r="RI55" s="66"/>
      <c r="RJ55" s="66"/>
      <c r="RK55" s="66"/>
      <c r="RL55" s="66"/>
      <c r="RM55" s="66"/>
      <c r="RN55" s="66"/>
      <c r="RO55" s="66"/>
      <c r="RP55" s="66"/>
      <c r="RQ55" s="66"/>
      <c r="RR55" s="66"/>
      <c r="RS55" s="66"/>
      <c r="RT55" s="66"/>
      <c r="RU55" s="66"/>
      <c r="RV55" s="66"/>
      <c r="RW55" s="66"/>
      <c r="RX55" s="66"/>
      <c r="RY55" s="66"/>
      <c r="RZ55" s="66"/>
      <c r="SA55" s="66"/>
      <c r="SB55" s="66"/>
      <c r="SC55" s="66"/>
      <c r="SD55" s="66"/>
      <c r="SE55" s="66"/>
      <c r="SF55" s="66"/>
      <c r="SG55" s="66"/>
      <c r="SH55" s="66"/>
      <c r="SI55" s="66"/>
      <c r="SJ55" s="66"/>
      <c r="SK55" s="66"/>
      <c r="SL55" s="66"/>
      <c r="SM55" s="66"/>
      <c r="SN55" s="66"/>
      <c r="SO55" s="66"/>
      <c r="SP55" s="66"/>
      <c r="SQ55" s="66"/>
      <c r="SR55" s="66"/>
      <c r="SS55" s="66"/>
      <c r="ST55" s="66"/>
      <c r="SU55" s="66"/>
      <c r="SV55" s="66"/>
      <c r="SW55" s="66"/>
      <c r="SX55" s="66"/>
      <c r="SY55" s="66"/>
      <c r="SZ55" s="66"/>
      <c r="TA55" s="66"/>
      <c r="TB55" s="66"/>
      <c r="TC55" s="66"/>
      <c r="TD55" s="66"/>
      <c r="TE55" s="66"/>
      <c r="TF55" s="66"/>
      <c r="TG55" s="66"/>
      <c r="TH55" s="66"/>
      <c r="TI55" s="66"/>
      <c r="TJ55" s="66"/>
      <c r="TK55" s="66"/>
      <c r="TL55" s="66"/>
      <c r="TM55" s="66"/>
      <c r="TN55" s="66"/>
      <c r="TO55" s="66"/>
      <c r="TP55" s="66"/>
      <c r="TQ55" s="66"/>
      <c r="TR55" s="66"/>
      <c r="TS55" s="66"/>
      <c r="TT55" s="66"/>
      <c r="TU55" s="66"/>
      <c r="TV55" s="66"/>
      <c r="TW55" s="66"/>
      <c r="TX55" s="66"/>
      <c r="TY55" s="66"/>
      <c r="TZ55" s="66"/>
      <c r="UA55" s="66"/>
      <c r="UB55" s="66"/>
      <c r="UC55" s="66"/>
      <c r="UD55" s="66"/>
      <c r="UE55" s="66"/>
      <c r="UF55" s="66"/>
      <c r="UG55" s="66"/>
      <c r="UH55" s="66"/>
      <c r="UI55" s="66"/>
      <c r="UJ55" s="66"/>
      <c r="UK55" s="66"/>
      <c r="UL55" s="66"/>
      <c r="UM55" s="66"/>
      <c r="UN55" s="66"/>
      <c r="UO55" s="66"/>
      <c r="UP55" s="66"/>
      <c r="UQ55" s="66"/>
      <c r="UR55" s="66"/>
      <c r="US55" s="66"/>
      <c r="UT55" s="66"/>
      <c r="UU55" s="66"/>
      <c r="UV55" s="66"/>
      <c r="UW55" s="66"/>
      <c r="UX55" s="66"/>
      <c r="UY55" s="66"/>
      <c r="UZ55" s="66"/>
      <c r="VA55" s="66"/>
      <c r="VB55" s="66"/>
      <c r="VC55" s="66"/>
      <c r="VD55" s="66"/>
      <c r="VE55" s="66"/>
      <c r="VF55" s="66"/>
      <c r="VG55" s="66"/>
      <c r="VH55" s="66"/>
      <c r="VI55" s="66"/>
      <c r="VJ55" s="66"/>
      <c r="VK55" s="66"/>
      <c r="VL55" s="66"/>
      <c r="VM55" s="66"/>
      <c r="VN55" s="66"/>
      <c r="VO55" s="66"/>
      <c r="VP55" s="66"/>
      <c r="VQ55" s="66"/>
      <c r="VR55" s="66"/>
      <c r="VS55" s="66"/>
      <c r="VT55" s="66"/>
      <c r="VU55" s="66"/>
      <c r="VV55" s="66"/>
      <c r="VW55" s="66"/>
      <c r="VX55" s="66"/>
      <c r="VY55" s="66"/>
      <c r="VZ55" s="66"/>
      <c r="WA55" s="66"/>
      <c r="WB55" s="66"/>
      <c r="WC55" s="66"/>
      <c r="WD55" s="66"/>
      <c r="WE55" s="66"/>
      <c r="WF55" s="66"/>
      <c r="WG55" s="66"/>
      <c r="WH55" s="66"/>
      <c r="WI55" s="66"/>
      <c r="WJ55" s="66"/>
      <c r="WK55" s="66"/>
      <c r="WL55" s="66"/>
      <c r="WM55" s="66"/>
      <c r="WN55" s="66"/>
      <c r="WO55" s="66"/>
      <c r="WP55" s="66"/>
      <c r="WQ55" s="66"/>
      <c r="WR55" s="66"/>
      <c r="WS55" s="66"/>
      <c r="WT55" s="66"/>
      <c r="WU55" s="66"/>
      <c r="WV55" s="66"/>
      <c r="WW55" s="66"/>
      <c r="WX55" s="66"/>
      <c r="WY55" s="66"/>
      <c r="WZ55" s="66"/>
      <c r="XA55" s="66"/>
      <c r="XB55" s="66"/>
      <c r="XC55" s="66"/>
      <c r="XD55" s="66"/>
      <c r="XE55" s="66"/>
      <c r="XF55" s="66"/>
      <c r="XG55" s="66"/>
      <c r="XH55" s="66"/>
      <c r="XI55" s="66"/>
      <c r="XJ55" s="66"/>
      <c r="XK55" s="66"/>
      <c r="XL55" s="66"/>
      <c r="XM55" s="66"/>
      <c r="XN55" s="66"/>
      <c r="XO55" s="66"/>
      <c r="XP55" s="66"/>
      <c r="XQ55" s="66"/>
      <c r="XR55" s="66"/>
      <c r="XS55" s="66"/>
      <c r="XT55" s="66"/>
      <c r="XU55" s="66"/>
      <c r="XV55" s="66"/>
      <c r="XW55" s="66"/>
      <c r="XX55" s="66"/>
      <c r="XY55" s="66"/>
      <c r="XZ55" s="66"/>
      <c r="YA55" s="66"/>
      <c r="YB55" s="66"/>
      <c r="YC55" s="66"/>
      <c r="YD55" s="66"/>
      <c r="YE55" s="66"/>
      <c r="YF55" s="66"/>
      <c r="YG55" s="66"/>
      <c r="YH55" s="66"/>
      <c r="YI55" s="66"/>
      <c r="YJ55" s="66"/>
      <c r="YK55" s="66"/>
      <c r="YL55" s="66"/>
      <c r="YM55" s="66"/>
      <c r="YN55" s="66"/>
      <c r="YO55" s="66"/>
      <c r="YP55" s="66"/>
      <c r="YQ55" s="66"/>
      <c r="YR55" s="66"/>
      <c r="YS55" s="66"/>
      <c r="YT55" s="66"/>
      <c r="YU55" s="66"/>
      <c r="YV55" s="66"/>
      <c r="YW55" s="66"/>
      <c r="YX55" s="66"/>
      <c r="YY55" s="66"/>
      <c r="YZ55" s="66"/>
      <c r="ZA55" s="66"/>
      <c r="ZB55" s="66"/>
      <c r="ZC55" s="66"/>
      <c r="ZD55" s="66"/>
      <c r="ZE55" s="66"/>
      <c r="ZF55" s="66"/>
      <c r="ZG55" s="66"/>
      <c r="ZH55" s="66"/>
      <c r="ZI55" s="66"/>
      <c r="ZJ55" s="66"/>
      <c r="ZK55" s="66"/>
      <c r="ZL55" s="66"/>
      <c r="ZM55" s="66"/>
      <c r="ZN55" s="66"/>
      <c r="ZO55" s="66"/>
      <c r="ZP55" s="66"/>
      <c r="ZQ55" s="66"/>
      <c r="ZR55" s="66"/>
      <c r="ZS55" s="66"/>
      <c r="ZT55" s="66"/>
      <c r="ZU55" s="66"/>
      <c r="ZV55" s="66"/>
      <c r="ZW55" s="66"/>
      <c r="ZX55" s="66"/>
    </row>
    <row r="56" spans="1:700" s="20" customFormat="1" ht="15.75" x14ac:dyDescent="0.25">
      <c r="A56" s="70"/>
      <c r="B56" s="71"/>
      <c r="C56" s="71"/>
      <c r="D56" s="109"/>
      <c r="E56" s="111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  <c r="CH56" s="66"/>
      <c r="CI56" s="66"/>
      <c r="CJ56" s="66"/>
      <c r="CK56" s="66"/>
      <c r="CL56" s="66"/>
      <c r="CM56" s="66"/>
      <c r="CN56" s="66"/>
      <c r="CO56" s="66"/>
      <c r="CP56" s="66"/>
      <c r="CQ56" s="66"/>
      <c r="CR56" s="66"/>
      <c r="CS56" s="66"/>
      <c r="CT56" s="66"/>
      <c r="CU56" s="66"/>
      <c r="CV56" s="66"/>
      <c r="CW56" s="66"/>
      <c r="CX56" s="66"/>
      <c r="CY56" s="66"/>
      <c r="CZ56" s="66"/>
      <c r="DA56" s="66"/>
      <c r="DB56" s="66"/>
      <c r="DC56" s="66"/>
      <c r="DD56" s="66"/>
      <c r="DE56" s="66"/>
      <c r="DF56" s="66"/>
      <c r="DG56" s="66"/>
      <c r="DH56" s="66"/>
      <c r="DI56" s="66"/>
      <c r="DJ56" s="66"/>
      <c r="DK56" s="66"/>
      <c r="DL56" s="66"/>
      <c r="DM56" s="66"/>
      <c r="DN56" s="66"/>
      <c r="DO56" s="66"/>
      <c r="DP56" s="66"/>
      <c r="DQ56" s="66"/>
      <c r="DR56" s="66"/>
      <c r="DS56" s="66"/>
      <c r="DT56" s="66"/>
      <c r="DU56" s="66"/>
      <c r="DV56" s="66"/>
      <c r="DW56" s="66"/>
      <c r="DX56" s="66"/>
      <c r="DY56" s="66"/>
      <c r="DZ56" s="66"/>
      <c r="EA56" s="66"/>
      <c r="EB56" s="66"/>
      <c r="EC56" s="66"/>
      <c r="ED56" s="66"/>
      <c r="EE56" s="66"/>
      <c r="EF56" s="66"/>
      <c r="EG56" s="66"/>
      <c r="EH56" s="66"/>
      <c r="EI56" s="66"/>
      <c r="EJ56" s="66"/>
      <c r="EK56" s="66"/>
      <c r="EL56" s="66"/>
      <c r="EM56" s="66"/>
      <c r="EN56" s="66"/>
      <c r="EO56" s="66"/>
      <c r="EP56" s="66"/>
      <c r="EQ56" s="66"/>
      <c r="ER56" s="66"/>
      <c r="ES56" s="66"/>
      <c r="ET56" s="66"/>
      <c r="EU56" s="66"/>
      <c r="EV56" s="66"/>
      <c r="EW56" s="66"/>
      <c r="EX56" s="66"/>
      <c r="EY56" s="66"/>
      <c r="EZ56" s="66"/>
      <c r="FA56" s="66"/>
      <c r="FB56" s="66"/>
      <c r="FC56" s="66"/>
      <c r="FD56" s="66"/>
      <c r="FE56" s="66"/>
      <c r="FF56" s="66"/>
      <c r="FG56" s="66"/>
      <c r="FH56" s="66"/>
      <c r="FI56" s="66"/>
      <c r="FJ56" s="66"/>
      <c r="FK56" s="66"/>
      <c r="FL56" s="66"/>
      <c r="FM56" s="66"/>
      <c r="FN56" s="66"/>
      <c r="FO56" s="66"/>
      <c r="FP56" s="66"/>
      <c r="FQ56" s="66"/>
      <c r="FR56" s="66"/>
      <c r="FS56" s="66"/>
      <c r="FT56" s="66"/>
      <c r="FU56" s="66"/>
      <c r="FV56" s="66"/>
      <c r="FW56" s="66"/>
      <c r="FX56" s="66"/>
      <c r="FY56" s="66"/>
      <c r="FZ56" s="66"/>
      <c r="GA56" s="66"/>
      <c r="GB56" s="66"/>
      <c r="GC56" s="66"/>
      <c r="GD56" s="66"/>
      <c r="GE56" s="66"/>
      <c r="GF56" s="66"/>
      <c r="GG56" s="66"/>
      <c r="GH56" s="66"/>
      <c r="GI56" s="66"/>
      <c r="GJ56" s="66"/>
      <c r="GK56" s="66"/>
      <c r="GL56" s="66"/>
      <c r="GM56" s="66"/>
      <c r="GN56" s="66"/>
      <c r="GO56" s="66"/>
      <c r="GP56" s="66"/>
      <c r="GQ56" s="66"/>
      <c r="GR56" s="66"/>
      <c r="GS56" s="66"/>
      <c r="GT56" s="66"/>
      <c r="GU56" s="66"/>
      <c r="GV56" s="66"/>
      <c r="GW56" s="66"/>
      <c r="GX56" s="66"/>
      <c r="GY56" s="66"/>
      <c r="GZ56" s="66"/>
      <c r="HA56" s="66"/>
      <c r="HB56" s="66"/>
      <c r="HC56" s="66"/>
      <c r="HD56" s="66"/>
      <c r="HE56" s="66"/>
      <c r="HF56" s="66"/>
      <c r="HG56" s="66"/>
      <c r="HH56" s="66"/>
      <c r="HI56" s="66"/>
      <c r="HJ56" s="66"/>
      <c r="HK56" s="66"/>
      <c r="HL56" s="66"/>
      <c r="HM56" s="66"/>
      <c r="HN56" s="66"/>
      <c r="HO56" s="66"/>
      <c r="HP56" s="66"/>
      <c r="HQ56" s="66"/>
      <c r="HR56" s="66"/>
      <c r="HS56" s="66"/>
      <c r="HT56" s="66"/>
      <c r="HU56" s="66"/>
      <c r="HV56" s="66"/>
      <c r="HW56" s="66"/>
      <c r="HX56" s="66"/>
      <c r="HY56" s="66"/>
      <c r="HZ56" s="66"/>
      <c r="IA56" s="66"/>
      <c r="IB56" s="66"/>
      <c r="IC56" s="66"/>
      <c r="ID56" s="66"/>
      <c r="IE56" s="66"/>
      <c r="IF56" s="66"/>
      <c r="IG56" s="66"/>
      <c r="IH56" s="66"/>
      <c r="II56" s="66"/>
      <c r="IJ56" s="66"/>
      <c r="IK56" s="66"/>
      <c r="IL56" s="66"/>
      <c r="IM56" s="66"/>
      <c r="IN56" s="66"/>
      <c r="IO56" s="66"/>
      <c r="IP56" s="66"/>
      <c r="IQ56" s="66"/>
      <c r="IR56" s="66"/>
      <c r="IS56" s="66"/>
      <c r="IT56" s="66"/>
      <c r="IU56" s="66"/>
      <c r="IV56" s="66"/>
      <c r="IW56" s="66"/>
      <c r="IX56" s="66"/>
      <c r="IY56" s="66"/>
      <c r="IZ56" s="66"/>
      <c r="JA56" s="66"/>
      <c r="JB56" s="66"/>
      <c r="JC56" s="66"/>
      <c r="JD56" s="66"/>
      <c r="JE56" s="66"/>
      <c r="JF56" s="66"/>
      <c r="JG56" s="66"/>
      <c r="JH56" s="66"/>
      <c r="JI56" s="66"/>
      <c r="JJ56" s="66"/>
      <c r="JK56" s="66"/>
      <c r="JL56" s="66"/>
      <c r="JM56" s="66"/>
      <c r="JN56" s="66"/>
      <c r="JO56" s="66"/>
      <c r="JP56" s="66"/>
      <c r="JQ56" s="66"/>
      <c r="JR56" s="66"/>
      <c r="JS56" s="66"/>
      <c r="JT56" s="66"/>
      <c r="JU56" s="66"/>
      <c r="JV56" s="66"/>
      <c r="JW56" s="66"/>
      <c r="JX56" s="66"/>
      <c r="JY56" s="66"/>
      <c r="JZ56" s="66"/>
      <c r="KA56" s="66"/>
      <c r="KB56" s="66"/>
      <c r="KC56" s="66"/>
      <c r="KD56" s="66"/>
      <c r="KE56" s="66"/>
      <c r="KF56" s="66"/>
      <c r="KG56" s="66"/>
      <c r="KH56" s="66"/>
      <c r="KI56" s="66"/>
      <c r="KJ56" s="66"/>
      <c r="KK56" s="66"/>
      <c r="KL56" s="66"/>
      <c r="KM56" s="66"/>
      <c r="KN56" s="66"/>
      <c r="KO56" s="66"/>
      <c r="KP56" s="66"/>
      <c r="KQ56" s="66"/>
      <c r="KR56" s="66"/>
      <c r="KS56" s="66"/>
      <c r="KT56" s="66"/>
      <c r="KU56" s="66"/>
      <c r="KV56" s="66"/>
      <c r="KW56" s="66"/>
      <c r="KX56" s="66"/>
      <c r="KY56" s="66"/>
      <c r="KZ56" s="66"/>
      <c r="LA56" s="66"/>
      <c r="LB56" s="66"/>
      <c r="LC56" s="66"/>
      <c r="LD56" s="66"/>
      <c r="LE56" s="66"/>
      <c r="LF56" s="66"/>
      <c r="LG56" s="66"/>
      <c r="LH56" s="66"/>
      <c r="LI56" s="66"/>
      <c r="LJ56" s="66"/>
      <c r="LK56" s="66"/>
      <c r="LL56" s="66"/>
      <c r="LM56" s="66"/>
      <c r="LN56" s="66"/>
      <c r="LO56" s="66"/>
      <c r="LP56" s="66"/>
      <c r="LQ56" s="66"/>
      <c r="LR56" s="66"/>
      <c r="LS56" s="66"/>
      <c r="LT56" s="66"/>
      <c r="LU56" s="66"/>
      <c r="LV56" s="66"/>
      <c r="LW56" s="66"/>
      <c r="LX56" s="66"/>
      <c r="LY56" s="66"/>
      <c r="LZ56" s="66"/>
      <c r="MA56" s="66"/>
      <c r="MB56" s="66"/>
      <c r="MC56" s="66"/>
      <c r="MD56" s="66"/>
      <c r="ME56" s="66"/>
      <c r="MF56" s="66"/>
      <c r="MG56" s="66"/>
      <c r="MH56" s="66"/>
      <c r="MI56" s="66"/>
      <c r="MJ56" s="66"/>
      <c r="MK56" s="66"/>
      <c r="ML56" s="66"/>
      <c r="MM56" s="66"/>
      <c r="MN56" s="66"/>
      <c r="MO56" s="66"/>
      <c r="MP56" s="66"/>
      <c r="MQ56" s="66"/>
      <c r="MR56" s="66"/>
      <c r="MS56" s="66"/>
      <c r="MT56" s="66"/>
      <c r="MU56" s="66"/>
      <c r="MV56" s="66"/>
      <c r="MW56" s="66"/>
      <c r="MX56" s="66"/>
      <c r="MY56" s="66"/>
      <c r="MZ56" s="66"/>
      <c r="NA56" s="66"/>
      <c r="NB56" s="66"/>
      <c r="NC56" s="66"/>
      <c r="ND56" s="66"/>
      <c r="NE56" s="66"/>
      <c r="NF56" s="66"/>
      <c r="NG56" s="66"/>
      <c r="NH56" s="66"/>
      <c r="NI56" s="66"/>
      <c r="NJ56" s="66"/>
      <c r="NK56" s="66"/>
      <c r="NL56" s="66"/>
      <c r="NM56" s="66"/>
      <c r="NN56" s="66"/>
      <c r="NO56" s="66"/>
      <c r="NP56" s="66"/>
      <c r="NQ56" s="66"/>
      <c r="NR56" s="66"/>
      <c r="NS56" s="66"/>
      <c r="NT56" s="66"/>
      <c r="NU56" s="66"/>
      <c r="NV56" s="66"/>
      <c r="NW56" s="66"/>
      <c r="NX56" s="66"/>
      <c r="NY56" s="66"/>
      <c r="NZ56" s="66"/>
      <c r="OA56" s="66"/>
      <c r="OB56" s="66"/>
      <c r="OC56" s="66"/>
      <c r="OD56" s="66"/>
      <c r="OE56" s="66"/>
      <c r="OF56" s="66"/>
      <c r="OG56" s="66"/>
      <c r="OH56" s="66"/>
      <c r="OI56" s="66"/>
      <c r="OJ56" s="66"/>
      <c r="OK56" s="66"/>
      <c r="OL56" s="66"/>
      <c r="OM56" s="66"/>
      <c r="ON56" s="66"/>
      <c r="OO56" s="66"/>
      <c r="OP56" s="66"/>
      <c r="OQ56" s="66"/>
      <c r="OR56" s="66"/>
      <c r="OS56" s="66"/>
      <c r="OT56" s="66"/>
      <c r="OU56" s="66"/>
      <c r="OV56" s="66"/>
      <c r="OW56" s="66"/>
      <c r="OX56" s="66"/>
      <c r="OY56" s="66"/>
      <c r="OZ56" s="66"/>
      <c r="PA56" s="66"/>
      <c r="PB56" s="66"/>
      <c r="PC56" s="66"/>
      <c r="PD56" s="66"/>
      <c r="PE56" s="66"/>
      <c r="PF56" s="66"/>
      <c r="PG56" s="66"/>
      <c r="PH56" s="66"/>
      <c r="PI56" s="66"/>
      <c r="PJ56" s="66"/>
      <c r="PK56" s="66"/>
      <c r="PL56" s="66"/>
      <c r="PM56" s="66"/>
      <c r="PN56" s="66"/>
      <c r="PO56" s="66"/>
      <c r="PP56" s="66"/>
      <c r="PQ56" s="66"/>
      <c r="PR56" s="66"/>
      <c r="PS56" s="66"/>
      <c r="PT56" s="66"/>
      <c r="PU56" s="66"/>
      <c r="PV56" s="66"/>
      <c r="PW56" s="66"/>
      <c r="PX56" s="66"/>
      <c r="PY56" s="66"/>
      <c r="PZ56" s="66"/>
      <c r="QA56" s="66"/>
      <c r="QB56" s="66"/>
      <c r="QC56" s="66"/>
      <c r="QD56" s="66"/>
      <c r="QE56" s="66"/>
      <c r="QF56" s="66"/>
      <c r="QG56" s="66"/>
      <c r="QH56" s="66"/>
      <c r="QI56" s="66"/>
      <c r="QJ56" s="66"/>
      <c r="QK56" s="66"/>
      <c r="QL56" s="66"/>
      <c r="QM56" s="66"/>
      <c r="QN56" s="66"/>
      <c r="QO56" s="66"/>
      <c r="QP56" s="66"/>
      <c r="QQ56" s="66"/>
      <c r="QR56" s="66"/>
      <c r="QS56" s="66"/>
      <c r="QT56" s="66"/>
      <c r="QU56" s="66"/>
      <c r="QV56" s="66"/>
      <c r="QW56" s="66"/>
      <c r="QX56" s="66"/>
      <c r="QY56" s="66"/>
      <c r="QZ56" s="66"/>
      <c r="RA56" s="66"/>
      <c r="RB56" s="66"/>
      <c r="RC56" s="66"/>
      <c r="RD56" s="66"/>
      <c r="RE56" s="66"/>
      <c r="RF56" s="66"/>
      <c r="RG56" s="66"/>
      <c r="RH56" s="66"/>
      <c r="RI56" s="66"/>
      <c r="RJ56" s="66"/>
      <c r="RK56" s="66"/>
      <c r="RL56" s="66"/>
      <c r="RM56" s="66"/>
      <c r="RN56" s="66"/>
      <c r="RO56" s="66"/>
      <c r="RP56" s="66"/>
      <c r="RQ56" s="66"/>
      <c r="RR56" s="66"/>
      <c r="RS56" s="66"/>
      <c r="RT56" s="66"/>
      <c r="RU56" s="66"/>
      <c r="RV56" s="66"/>
      <c r="RW56" s="66"/>
      <c r="RX56" s="66"/>
      <c r="RY56" s="66"/>
      <c r="RZ56" s="66"/>
      <c r="SA56" s="66"/>
      <c r="SB56" s="66"/>
      <c r="SC56" s="66"/>
      <c r="SD56" s="66"/>
      <c r="SE56" s="66"/>
      <c r="SF56" s="66"/>
      <c r="SG56" s="66"/>
      <c r="SH56" s="66"/>
      <c r="SI56" s="66"/>
      <c r="SJ56" s="66"/>
      <c r="SK56" s="66"/>
      <c r="SL56" s="66"/>
      <c r="SM56" s="66"/>
      <c r="SN56" s="66"/>
      <c r="SO56" s="66"/>
      <c r="SP56" s="66"/>
      <c r="SQ56" s="66"/>
      <c r="SR56" s="66"/>
      <c r="SS56" s="66"/>
      <c r="ST56" s="66"/>
      <c r="SU56" s="66"/>
      <c r="SV56" s="66"/>
      <c r="SW56" s="66"/>
      <c r="SX56" s="66"/>
      <c r="SY56" s="66"/>
      <c r="SZ56" s="66"/>
      <c r="TA56" s="66"/>
      <c r="TB56" s="66"/>
      <c r="TC56" s="66"/>
      <c r="TD56" s="66"/>
      <c r="TE56" s="66"/>
      <c r="TF56" s="66"/>
      <c r="TG56" s="66"/>
      <c r="TH56" s="66"/>
      <c r="TI56" s="66"/>
      <c r="TJ56" s="66"/>
      <c r="TK56" s="66"/>
      <c r="TL56" s="66"/>
      <c r="TM56" s="66"/>
      <c r="TN56" s="66"/>
      <c r="TO56" s="66"/>
      <c r="TP56" s="66"/>
      <c r="TQ56" s="66"/>
      <c r="TR56" s="66"/>
      <c r="TS56" s="66"/>
      <c r="TT56" s="66"/>
      <c r="TU56" s="66"/>
      <c r="TV56" s="66"/>
      <c r="TW56" s="66"/>
      <c r="TX56" s="66"/>
      <c r="TY56" s="66"/>
      <c r="TZ56" s="66"/>
      <c r="UA56" s="66"/>
      <c r="UB56" s="66"/>
      <c r="UC56" s="66"/>
      <c r="UD56" s="66"/>
      <c r="UE56" s="66"/>
      <c r="UF56" s="66"/>
      <c r="UG56" s="66"/>
      <c r="UH56" s="66"/>
      <c r="UI56" s="66"/>
      <c r="UJ56" s="66"/>
      <c r="UK56" s="66"/>
      <c r="UL56" s="66"/>
      <c r="UM56" s="66"/>
      <c r="UN56" s="66"/>
      <c r="UO56" s="66"/>
      <c r="UP56" s="66"/>
      <c r="UQ56" s="66"/>
      <c r="UR56" s="66"/>
      <c r="US56" s="66"/>
      <c r="UT56" s="66"/>
      <c r="UU56" s="66"/>
      <c r="UV56" s="66"/>
      <c r="UW56" s="66"/>
      <c r="UX56" s="66"/>
      <c r="UY56" s="66"/>
      <c r="UZ56" s="66"/>
      <c r="VA56" s="66"/>
      <c r="VB56" s="66"/>
      <c r="VC56" s="66"/>
      <c r="VD56" s="66"/>
      <c r="VE56" s="66"/>
      <c r="VF56" s="66"/>
      <c r="VG56" s="66"/>
      <c r="VH56" s="66"/>
      <c r="VI56" s="66"/>
      <c r="VJ56" s="66"/>
      <c r="VK56" s="66"/>
      <c r="VL56" s="66"/>
      <c r="VM56" s="66"/>
      <c r="VN56" s="66"/>
      <c r="VO56" s="66"/>
      <c r="VP56" s="66"/>
      <c r="VQ56" s="66"/>
      <c r="VR56" s="66"/>
      <c r="VS56" s="66"/>
      <c r="VT56" s="66"/>
      <c r="VU56" s="66"/>
      <c r="VV56" s="66"/>
      <c r="VW56" s="66"/>
      <c r="VX56" s="66"/>
      <c r="VY56" s="66"/>
      <c r="VZ56" s="66"/>
      <c r="WA56" s="66"/>
      <c r="WB56" s="66"/>
      <c r="WC56" s="66"/>
      <c r="WD56" s="66"/>
      <c r="WE56" s="66"/>
      <c r="WF56" s="66"/>
      <c r="WG56" s="66"/>
      <c r="WH56" s="66"/>
      <c r="WI56" s="66"/>
      <c r="WJ56" s="66"/>
      <c r="WK56" s="66"/>
      <c r="WL56" s="66"/>
      <c r="WM56" s="66"/>
      <c r="WN56" s="66"/>
      <c r="WO56" s="66"/>
      <c r="WP56" s="66"/>
      <c r="WQ56" s="66"/>
      <c r="WR56" s="66"/>
      <c r="WS56" s="66"/>
      <c r="WT56" s="66"/>
      <c r="WU56" s="66"/>
      <c r="WV56" s="66"/>
      <c r="WW56" s="66"/>
      <c r="WX56" s="66"/>
      <c r="WY56" s="66"/>
      <c r="WZ56" s="66"/>
      <c r="XA56" s="66"/>
      <c r="XB56" s="66"/>
      <c r="XC56" s="66"/>
      <c r="XD56" s="66"/>
      <c r="XE56" s="66"/>
      <c r="XF56" s="66"/>
      <c r="XG56" s="66"/>
      <c r="XH56" s="66"/>
      <c r="XI56" s="66"/>
      <c r="XJ56" s="66"/>
      <c r="XK56" s="66"/>
      <c r="XL56" s="66"/>
      <c r="XM56" s="66"/>
      <c r="XN56" s="66"/>
      <c r="XO56" s="66"/>
      <c r="XP56" s="66"/>
      <c r="XQ56" s="66"/>
      <c r="XR56" s="66"/>
      <c r="XS56" s="66"/>
      <c r="XT56" s="66"/>
      <c r="XU56" s="66"/>
      <c r="XV56" s="66"/>
      <c r="XW56" s="66"/>
      <c r="XX56" s="66"/>
      <c r="XY56" s="66"/>
      <c r="XZ56" s="66"/>
      <c r="YA56" s="66"/>
      <c r="YB56" s="66"/>
      <c r="YC56" s="66"/>
      <c r="YD56" s="66"/>
      <c r="YE56" s="66"/>
      <c r="YF56" s="66"/>
      <c r="YG56" s="66"/>
      <c r="YH56" s="66"/>
      <c r="YI56" s="66"/>
      <c r="YJ56" s="66"/>
      <c r="YK56" s="66"/>
      <c r="YL56" s="66"/>
      <c r="YM56" s="66"/>
      <c r="YN56" s="66"/>
      <c r="YO56" s="66"/>
      <c r="YP56" s="66"/>
      <c r="YQ56" s="66"/>
      <c r="YR56" s="66"/>
      <c r="YS56" s="66"/>
      <c r="YT56" s="66"/>
      <c r="YU56" s="66"/>
      <c r="YV56" s="66"/>
      <c r="YW56" s="66"/>
      <c r="YX56" s="66"/>
      <c r="YY56" s="66"/>
      <c r="YZ56" s="66"/>
      <c r="ZA56" s="66"/>
      <c r="ZB56" s="66"/>
      <c r="ZC56" s="66"/>
      <c r="ZD56" s="66"/>
      <c r="ZE56" s="66"/>
      <c r="ZF56" s="66"/>
      <c r="ZG56" s="66"/>
      <c r="ZH56" s="66"/>
      <c r="ZI56" s="66"/>
      <c r="ZJ56" s="66"/>
      <c r="ZK56" s="66"/>
      <c r="ZL56" s="66"/>
      <c r="ZM56" s="66"/>
      <c r="ZN56" s="66"/>
      <c r="ZO56" s="66"/>
      <c r="ZP56" s="66"/>
      <c r="ZQ56" s="66"/>
      <c r="ZR56" s="66"/>
      <c r="ZS56" s="66"/>
      <c r="ZT56" s="66"/>
      <c r="ZU56" s="66"/>
      <c r="ZV56" s="66"/>
      <c r="ZW56" s="66"/>
      <c r="ZX56" s="66"/>
    </row>
    <row r="57" spans="1:700" s="20" customFormat="1" ht="15.75" x14ac:dyDescent="0.25">
      <c r="A57" s="72"/>
      <c r="B57" s="73"/>
      <c r="C57" s="73"/>
      <c r="D57" s="108"/>
      <c r="E57" s="129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  <c r="CH57" s="66"/>
      <c r="CI57" s="66"/>
      <c r="CJ57" s="66"/>
      <c r="CK57" s="66"/>
      <c r="CL57" s="66"/>
      <c r="CM57" s="66"/>
      <c r="CN57" s="66"/>
      <c r="CO57" s="66"/>
      <c r="CP57" s="66"/>
      <c r="CQ57" s="66"/>
      <c r="CR57" s="66"/>
      <c r="CS57" s="66"/>
      <c r="CT57" s="66"/>
      <c r="CU57" s="66"/>
      <c r="CV57" s="66"/>
      <c r="CW57" s="66"/>
      <c r="CX57" s="66"/>
      <c r="CY57" s="66"/>
      <c r="CZ57" s="66"/>
      <c r="DA57" s="66"/>
      <c r="DB57" s="66"/>
      <c r="DC57" s="66"/>
      <c r="DD57" s="66"/>
      <c r="DE57" s="66"/>
      <c r="DF57" s="66"/>
      <c r="DG57" s="66"/>
      <c r="DH57" s="66"/>
      <c r="DI57" s="66"/>
      <c r="DJ57" s="66"/>
      <c r="DK57" s="66"/>
      <c r="DL57" s="66"/>
      <c r="DM57" s="66"/>
      <c r="DN57" s="66"/>
      <c r="DO57" s="66"/>
      <c r="DP57" s="66"/>
      <c r="DQ57" s="66"/>
      <c r="DR57" s="66"/>
      <c r="DS57" s="66"/>
      <c r="DT57" s="66"/>
      <c r="DU57" s="66"/>
      <c r="DV57" s="66"/>
      <c r="DW57" s="66"/>
      <c r="DX57" s="66"/>
      <c r="DY57" s="66"/>
      <c r="DZ57" s="66"/>
      <c r="EA57" s="66"/>
      <c r="EB57" s="66"/>
      <c r="EC57" s="66"/>
      <c r="ED57" s="66"/>
      <c r="EE57" s="66"/>
      <c r="EF57" s="66"/>
      <c r="EG57" s="66"/>
      <c r="EH57" s="66"/>
      <c r="EI57" s="66"/>
      <c r="EJ57" s="66"/>
      <c r="EK57" s="66"/>
      <c r="EL57" s="66"/>
      <c r="EM57" s="66"/>
      <c r="EN57" s="66"/>
      <c r="EO57" s="66"/>
      <c r="EP57" s="66"/>
      <c r="EQ57" s="66"/>
      <c r="ER57" s="66"/>
      <c r="ES57" s="66"/>
      <c r="ET57" s="66"/>
      <c r="EU57" s="66"/>
      <c r="EV57" s="66"/>
      <c r="EW57" s="66"/>
      <c r="EX57" s="66"/>
      <c r="EY57" s="66"/>
      <c r="EZ57" s="66"/>
      <c r="FA57" s="66"/>
      <c r="FB57" s="66"/>
      <c r="FC57" s="66"/>
      <c r="FD57" s="66"/>
      <c r="FE57" s="66"/>
      <c r="FF57" s="66"/>
      <c r="FG57" s="66"/>
      <c r="FH57" s="66"/>
      <c r="FI57" s="66"/>
      <c r="FJ57" s="66"/>
      <c r="FK57" s="66"/>
      <c r="FL57" s="66"/>
      <c r="FM57" s="66"/>
      <c r="FN57" s="66"/>
      <c r="FO57" s="66"/>
      <c r="FP57" s="66"/>
      <c r="FQ57" s="66"/>
      <c r="FR57" s="66"/>
      <c r="FS57" s="66"/>
      <c r="FT57" s="66"/>
      <c r="FU57" s="66"/>
      <c r="FV57" s="66"/>
      <c r="FW57" s="66"/>
      <c r="FX57" s="66"/>
      <c r="FY57" s="66"/>
      <c r="FZ57" s="66"/>
      <c r="GA57" s="66"/>
      <c r="GB57" s="66"/>
      <c r="GC57" s="66"/>
      <c r="GD57" s="66"/>
      <c r="GE57" s="66"/>
      <c r="GF57" s="66"/>
      <c r="GG57" s="66"/>
      <c r="GH57" s="66"/>
      <c r="GI57" s="66"/>
      <c r="GJ57" s="66"/>
      <c r="GK57" s="66"/>
      <c r="GL57" s="66"/>
      <c r="GM57" s="66"/>
      <c r="GN57" s="66"/>
      <c r="GO57" s="66"/>
      <c r="GP57" s="66"/>
      <c r="GQ57" s="66"/>
      <c r="GR57" s="66"/>
      <c r="GS57" s="66"/>
      <c r="GT57" s="66"/>
      <c r="GU57" s="66"/>
      <c r="GV57" s="66"/>
      <c r="GW57" s="66"/>
      <c r="GX57" s="66"/>
      <c r="GY57" s="66"/>
      <c r="GZ57" s="66"/>
      <c r="HA57" s="66"/>
      <c r="HB57" s="66"/>
      <c r="HC57" s="66"/>
      <c r="HD57" s="66"/>
      <c r="HE57" s="66"/>
      <c r="HF57" s="66"/>
      <c r="HG57" s="66"/>
      <c r="HH57" s="66"/>
      <c r="HI57" s="66"/>
      <c r="HJ57" s="66"/>
      <c r="HK57" s="66"/>
      <c r="HL57" s="66"/>
      <c r="HM57" s="66"/>
      <c r="HN57" s="66"/>
      <c r="HO57" s="66"/>
      <c r="HP57" s="66"/>
      <c r="HQ57" s="66"/>
      <c r="HR57" s="66"/>
      <c r="HS57" s="66"/>
      <c r="HT57" s="66"/>
      <c r="HU57" s="66"/>
      <c r="HV57" s="66"/>
      <c r="HW57" s="66"/>
      <c r="HX57" s="66"/>
      <c r="HY57" s="66"/>
      <c r="HZ57" s="66"/>
      <c r="IA57" s="66"/>
      <c r="IB57" s="66"/>
      <c r="IC57" s="66"/>
      <c r="ID57" s="66"/>
      <c r="IE57" s="66"/>
      <c r="IF57" s="66"/>
      <c r="IG57" s="66"/>
      <c r="IH57" s="66"/>
      <c r="II57" s="66"/>
      <c r="IJ57" s="66"/>
      <c r="IK57" s="66"/>
      <c r="IL57" s="66"/>
      <c r="IM57" s="66"/>
      <c r="IN57" s="66"/>
      <c r="IO57" s="66"/>
      <c r="IP57" s="66"/>
      <c r="IQ57" s="66"/>
      <c r="IR57" s="66"/>
      <c r="IS57" s="66"/>
      <c r="IT57" s="66"/>
      <c r="IU57" s="66"/>
      <c r="IV57" s="66"/>
      <c r="IW57" s="66"/>
      <c r="IX57" s="66"/>
      <c r="IY57" s="66"/>
      <c r="IZ57" s="66"/>
      <c r="JA57" s="66"/>
      <c r="JB57" s="66"/>
      <c r="JC57" s="66"/>
      <c r="JD57" s="66"/>
      <c r="JE57" s="66"/>
      <c r="JF57" s="66"/>
      <c r="JG57" s="66"/>
      <c r="JH57" s="66"/>
      <c r="JI57" s="66"/>
      <c r="JJ57" s="66"/>
      <c r="JK57" s="66"/>
      <c r="JL57" s="66"/>
      <c r="JM57" s="66"/>
      <c r="JN57" s="66"/>
      <c r="JO57" s="66"/>
      <c r="JP57" s="66"/>
      <c r="JQ57" s="66"/>
      <c r="JR57" s="66"/>
      <c r="JS57" s="66"/>
      <c r="JT57" s="66"/>
      <c r="JU57" s="66"/>
      <c r="JV57" s="66"/>
      <c r="JW57" s="66"/>
      <c r="JX57" s="66"/>
      <c r="JY57" s="66"/>
      <c r="JZ57" s="66"/>
      <c r="KA57" s="66"/>
      <c r="KB57" s="66"/>
      <c r="KC57" s="66"/>
      <c r="KD57" s="66"/>
      <c r="KE57" s="66"/>
      <c r="KF57" s="66"/>
      <c r="KG57" s="66"/>
      <c r="KH57" s="66"/>
      <c r="KI57" s="66"/>
      <c r="KJ57" s="66"/>
      <c r="KK57" s="66"/>
      <c r="KL57" s="66"/>
      <c r="KM57" s="66"/>
      <c r="KN57" s="66"/>
      <c r="KO57" s="66"/>
      <c r="KP57" s="66"/>
      <c r="KQ57" s="66"/>
      <c r="KR57" s="66"/>
      <c r="KS57" s="66"/>
      <c r="KT57" s="66"/>
      <c r="KU57" s="66"/>
      <c r="KV57" s="66"/>
      <c r="KW57" s="66"/>
      <c r="KX57" s="66"/>
      <c r="KY57" s="66"/>
      <c r="KZ57" s="66"/>
      <c r="LA57" s="66"/>
      <c r="LB57" s="66"/>
      <c r="LC57" s="66"/>
      <c r="LD57" s="66"/>
      <c r="LE57" s="66"/>
      <c r="LF57" s="66"/>
      <c r="LG57" s="66"/>
      <c r="LH57" s="66"/>
      <c r="LI57" s="66"/>
      <c r="LJ57" s="66"/>
      <c r="LK57" s="66"/>
      <c r="LL57" s="66"/>
      <c r="LM57" s="66"/>
      <c r="LN57" s="66"/>
      <c r="LO57" s="66"/>
      <c r="LP57" s="66"/>
      <c r="LQ57" s="66"/>
      <c r="LR57" s="66"/>
      <c r="LS57" s="66"/>
      <c r="LT57" s="66"/>
      <c r="LU57" s="66"/>
      <c r="LV57" s="66"/>
      <c r="LW57" s="66"/>
      <c r="LX57" s="66"/>
      <c r="LY57" s="66"/>
      <c r="LZ57" s="66"/>
      <c r="MA57" s="66"/>
      <c r="MB57" s="66"/>
      <c r="MC57" s="66"/>
      <c r="MD57" s="66"/>
      <c r="ME57" s="66"/>
      <c r="MF57" s="66"/>
      <c r="MG57" s="66"/>
      <c r="MH57" s="66"/>
      <c r="MI57" s="66"/>
      <c r="MJ57" s="66"/>
      <c r="MK57" s="66"/>
      <c r="ML57" s="66"/>
      <c r="MM57" s="66"/>
      <c r="MN57" s="66"/>
      <c r="MO57" s="66"/>
      <c r="MP57" s="66"/>
      <c r="MQ57" s="66"/>
      <c r="MR57" s="66"/>
      <c r="MS57" s="66"/>
      <c r="MT57" s="66"/>
      <c r="MU57" s="66"/>
      <c r="MV57" s="66"/>
      <c r="MW57" s="66"/>
      <c r="MX57" s="66"/>
      <c r="MY57" s="66"/>
      <c r="MZ57" s="66"/>
      <c r="NA57" s="66"/>
      <c r="NB57" s="66"/>
      <c r="NC57" s="66"/>
      <c r="ND57" s="66"/>
      <c r="NE57" s="66"/>
      <c r="NF57" s="66"/>
      <c r="NG57" s="66"/>
      <c r="NH57" s="66"/>
      <c r="NI57" s="66"/>
      <c r="NJ57" s="66"/>
      <c r="NK57" s="66"/>
      <c r="NL57" s="66"/>
      <c r="NM57" s="66"/>
      <c r="NN57" s="66"/>
      <c r="NO57" s="66"/>
      <c r="NP57" s="66"/>
      <c r="NQ57" s="66"/>
      <c r="NR57" s="66"/>
      <c r="NS57" s="66"/>
      <c r="NT57" s="66"/>
      <c r="NU57" s="66"/>
      <c r="NV57" s="66"/>
      <c r="NW57" s="66"/>
      <c r="NX57" s="66"/>
      <c r="NY57" s="66"/>
      <c r="NZ57" s="66"/>
      <c r="OA57" s="66"/>
      <c r="OB57" s="66"/>
      <c r="OC57" s="66"/>
      <c r="OD57" s="66"/>
      <c r="OE57" s="66"/>
      <c r="OF57" s="66"/>
      <c r="OG57" s="66"/>
      <c r="OH57" s="66"/>
      <c r="OI57" s="66"/>
      <c r="OJ57" s="66"/>
      <c r="OK57" s="66"/>
      <c r="OL57" s="66"/>
      <c r="OM57" s="66"/>
      <c r="ON57" s="66"/>
      <c r="OO57" s="66"/>
      <c r="OP57" s="66"/>
      <c r="OQ57" s="66"/>
      <c r="OR57" s="66"/>
      <c r="OS57" s="66"/>
      <c r="OT57" s="66"/>
      <c r="OU57" s="66"/>
      <c r="OV57" s="66"/>
      <c r="OW57" s="66"/>
      <c r="OX57" s="66"/>
      <c r="OY57" s="66"/>
      <c r="OZ57" s="66"/>
      <c r="PA57" s="66"/>
      <c r="PB57" s="66"/>
      <c r="PC57" s="66"/>
      <c r="PD57" s="66"/>
      <c r="PE57" s="66"/>
      <c r="PF57" s="66"/>
      <c r="PG57" s="66"/>
      <c r="PH57" s="66"/>
      <c r="PI57" s="66"/>
      <c r="PJ57" s="66"/>
      <c r="PK57" s="66"/>
      <c r="PL57" s="66"/>
      <c r="PM57" s="66"/>
      <c r="PN57" s="66"/>
      <c r="PO57" s="66"/>
      <c r="PP57" s="66"/>
      <c r="PQ57" s="66"/>
      <c r="PR57" s="66"/>
      <c r="PS57" s="66"/>
      <c r="PT57" s="66"/>
      <c r="PU57" s="66"/>
      <c r="PV57" s="66"/>
      <c r="PW57" s="66"/>
      <c r="PX57" s="66"/>
      <c r="PY57" s="66"/>
      <c r="PZ57" s="66"/>
      <c r="QA57" s="66"/>
      <c r="QB57" s="66"/>
      <c r="QC57" s="66"/>
      <c r="QD57" s="66"/>
      <c r="QE57" s="66"/>
      <c r="QF57" s="66"/>
      <c r="QG57" s="66"/>
      <c r="QH57" s="66"/>
      <c r="QI57" s="66"/>
      <c r="QJ57" s="66"/>
      <c r="QK57" s="66"/>
      <c r="QL57" s="66"/>
      <c r="QM57" s="66"/>
      <c r="QN57" s="66"/>
      <c r="QO57" s="66"/>
      <c r="QP57" s="66"/>
      <c r="QQ57" s="66"/>
      <c r="QR57" s="66"/>
      <c r="QS57" s="66"/>
      <c r="QT57" s="66"/>
      <c r="QU57" s="66"/>
      <c r="QV57" s="66"/>
      <c r="QW57" s="66"/>
      <c r="QX57" s="66"/>
      <c r="QY57" s="66"/>
      <c r="QZ57" s="66"/>
      <c r="RA57" s="66"/>
      <c r="RB57" s="66"/>
      <c r="RC57" s="66"/>
      <c r="RD57" s="66"/>
      <c r="RE57" s="66"/>
      <c r="RF57" s="66"/>
      <c r="RG57" s="66"/>
      <c r="RH57" s="66"/>
      <c r="RI57" s="66"/>
      <c r="RJ57" s="66"/>
      <c r="RK57" s="66"/>
      <c r="RL57" s="66"/>
      <c r="RM57" s="66"/>
      <c r="RN57" s="66"/>
      <c r="RO57" s="66"/>
      <c r="RP57" s="66"/>
      <c r="RQ57" s="66"/>
      <c r="RR57" s="66"/>
      <c r="RS57" s="66"/>
      <c r="RT57" s="66"/>
      <c r="RU57" s="66"/>
      <c r="RV57" s="66"/>
      <c r="RW57" s="66"/>
      <c r="RX57" s="66"/>
      <c r="RY57" s="66"/>
      <c r="RZ57" s="66"/>
      <c r="SA57" s="66"/>
      <c r="SB57" s="66"/>
      <c r="SC57" s="66"/>
      <c r="SD57" s="66"/>
      <c r="SE57" s="66"/>
      <c r="SF57" s="66"/>
      <c r="SG57" s="66"/>
      <c r="SH57" s="66"/>
      <c r="SI57" s="66"/>
      <c r="SJ57" s="66"/>
      <c r="SK57" s="66"/>
      <c r="SL57" s="66"/>
      <c r="SM57" s="66"/>
      <c r="SN57" s="66"/>
      <c r="SO57" s="66"/>
      <c r="SP57" s="66"/>
      <c r="SQ57" s="66"/>
      <c r="SR57" s="66"/>
      <c r="SS57" s="66"/>
      <c r="ST57" s="66"/>
      <c r="SU57" s="66"/>
      <c r="SV57" s="66"/>
      <c r="SW57" s="66"/>
      <c r="SX57" s="66"/>
      <c r="SY57" s="66"/>
      <c r="SZ57" s="66"/>
      <c r="TA57" s="66"/>
      <c r="TB57" s="66"/>
      <c r="TC57" s="66"/>
      <c r="TD57" s="66"/>
      <c r="TE57" s="66"/>
      <c r="TF57" s="66"/>
      <c r="TG57" s="66"/>
      <c r="TH57" s="66"/>
      <c r="TI57" s="66"/>
      <c r="TJ57" s="66"/>
      <c r="TK57" s="66"/>
      <c r="TL57" s="66"/>
      <c r="TM57" s="66"/>
      <c r="TN57" s="66"/>
      <c r="TO57" s="66"/>
      <c r="TP57" s="66"/>
      <c r="TQ57" s="66"/>
      <c r="TR57" s="66"/>
      <c r="TS57" s="66"/>
      <c r="TT57" s="66"/>
      <c r="TU57" s="66"/>
      <c r="TV57" s="66"/>
      <c r="TW57" s="66"/>
      <c r="TX57" s="66"/>
      <c r="TY57" s="66"/>
      <c r="TZ57" s="66"/>
      <c r="UA57" s="66"/>
      <c r="UB57" s="66"/>
      <c r="UC57" s="66"/>
      <c r="UD57" s="66"/>
      <c r="UE57" s="66"/>
      <c r="UF57" s="66"/>
      <c r="UG57" s="66"/>
      <c r="UH57" s="66"/>
      <c r="UI57" s="66"/>
      <c r="UJ57" s="66"/>
      <c r="UK57" s="66"/>
      <c r="UL57" s="66"/>
      <c r="UM57" s="66"/>
      <c r="UN57" s="66"/>
      <c r="UO57" s="66"/>
      <c r="UP57" s="66"/>
      <c r="UQ57" s="66"/>
      <c r="UR57" s="66"/>
      <c r="US57" s="66"/>
      <c r="UT57" s="66"/>
      <c r="UU57" s="66"/>
      <c r="UV57" s="66"/>
      <c r="UW57" s="66"/>
      <c r="UX57" s="66"/>
      <c r="UY57" s="66"/>
      <c r="UZ57" s="66"/>
      <c r="VA57" s="66"/>
      <c r="VB57" s="66"/>
      <c r="VC57" s="66"/>
      <c r="VD57" s="66"/>
      <c r="VE57" s="66"/>
      <c r="VF57" s="66"/>
      <c r="VG57" s="66"/>
      <c r="VH57" s="66"/>
      <c r="VI57" s="66"/>
      <c r="VJ57" s="66"/>
      <c r="VK57" s="66"/>
      <c r="VL57" s="66"/>
      <c r="VM57" s="66"/>
      <c r="VN57" s="66"/>
      <c r="VO57" s="66"/>
      <c r="VP57" s="66"/>
      <c r="VQ57" s="66"/>
      <c r="VR57" s="66"/>
      <c r="VS57" s="66"/>
      <c r="VT57" s="66"/>
      <c r="VU57" s="66"/>
      <c r="VV57" s="66"/>
      <c r="VW57" s="66"/>
      <c r="VX57" s="66"/>
      <c r="VY57" s="66"/>
      <c r="VZ57" s="66"/>
      <c r="WA57" s="66"/>
      <c r="WB57" s="66"/>
      <c r="WC57" s="66"/>
      <c r="WD57" s="66"/>
      <c r="WE57" s="66"/>
      <c r="WF57" s="66"/>
      <c r="WG57" s="66"/>
      <c r="WH57" s="66"/>
      <c r="WI57" s="66"/>
      <c r="WJ57" s="66"/>
      <c r="WK57" s="66"/>
      <c r="WL57" s="66"/>
      <c r="WM57" s="66"/>
      <c r="WN57" s="66"/>
      <c r="WO57" s="66"/>
      <c r="WP57" s="66"/>
      <c r="WQ57" s="66"/>
      <c r="WR57" s="66"/>
      <c r="WS57" s="66"/>
      <c r="WT57" s="66"/>
      <c r="WU57" s="66"/>
      <c r="WV57" s="66"/>
      <c r="WW57" s="66"/>
      <c r="WX57" s="66"/>
      <c r="WY57" s="66"/>
      <c r="WZ57" s="66"/>
      <c r="XA57" s="66"/>
      <c r="XB57" s="66"/>
      <c r="XC57" s="66"/>
      <c r="XD57" s="66"/>
      <c r="XE57" s="66"/>
      <c r="XF57" s="66"/>
      <c r="XG57" s="66"/>
      <c r="XH57" s="66"/>
      <c r="XI57" s="66"/>
      <c r="XJ57" s="66"/>
      <c r="XK57" s="66"/>
      <c r="XL57" s="66"/>
      <c r="XM57" s="66"/>
      <c r="XN57" s="66"/>
      <c r="XO57" s="66"/>
      <c r="XP57" s="66"/>
      <c r="XQ57" s="66"/>
      <c r="XR57" s="66"/>
      <c r="XS57" s="66"/>
      <c r="XT57" s="66"/>
      <c r="XU57" s="66"/>
      <c r="XV57" s="66"/>
      <c r="XW57" s="66"/>
      <c r="XX57" s="66"/>
      <c r="XY57" s="66"/>
      <c r="XZ57" s="66"/>
      <c r="YA57" s="66"/>
      <c r="YB57" s="66"/>
      <c r="YC57" s="66"/>
      <c r="YD57" s="66"/>
      <c r="YE57" s="66"/>
      <c r="YF57" s="66"/>
      <c r="YG57" s="66"/>
      <c r="YH57" s="66"/>
      <c r="YI57" s="66"/>
      <c r="YJ57" s="66"/>
      <c r="YK57" s="66"/>
      <c r="YL57" s="66"/>
      <c r="YM57" s="66"/>
      <c r="YN57" s="66"/>
      <c r="YO57" s="66"/>
      <c r="YP57" s="66"/>
      <c r="YQ57" s="66"/>
      <c r="YR57" s="66"/>
      <c r="YS57" s="66"/>
      <c r="YT57" s="66"/>
      <c r="YU57" s="66"/>
      <c r="YV57" s="66"/>
      <c r="YW57" s="66"/>
      <c r="YX57" s="66"/>
      <c r="YY57" s="66"/>
      <c r="YZ57" s="66"/>
      <c r="ZA57" s="66"/>
      <c r="ZB57" s="66"/>
      <c r="ZC57" s="66"/>
      <c r="ZD57" s="66"/>
      <c r="ZE57" s="66"/>
      <c r="ZF57" s="66"/>
      <c r="ZG57" s="66"/>
      <c r="ZH57" s="66"/>
      <c r="ZI57" s="66"/>
      <c r="ZJ57" s="66"/>
      <c r="ZK57" s="66"/>
      <c r="ZL57" s="66"/>
      <c r="ZM57" s="66"/>
      <c r="ZN57" s="66"/>
      <c r="ZO57" s="66"/>
      <c r="ZP57" s="66"/>
      <c r="ZQ57" s="66"/>
      <c r="ZR57" s="66"/>
      <c r="ZS57" s="66"/>
      <c r="ZT57" s="66"/>
      <c r="ZU57" s="66"/>
      <c r="ZV57" s="66"/>
      <c r="ZW57" s="66"/>
      <c r="ZX57" s="66"/>
    </row>
    <row r="58" spans="1:700" s="20" customFormat="1" ht="15.75" x14ac:dyDescent="0.25">
      <c r="A58" s="67"/>
      <c r="B58" s="68"/>
      <c r="C58" s="68"/>
      <c r="D58" s="69"/>
      <c r="E58" s="110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  <c r="CH58" s="66"/>
      <c r="CI58" s="66"/>
      <c r="CJ58" s="66"/>
      <c r="CK58" s="66"/>
      <c r="CL58" s="66"/>
      <c r="CM58" s="66"/>
      <c r="CN58" s="66"/>
      <c r="CO58" s="66"/>
      <c r="CP58" s="66"/>
      <c r="CQ58" s="66"/>
      <c r="CR58" s="66"/>
      <c r="CS58" s="66"/>
      <c r="CT58" s="66"/>
      <c r="CU58" s="66"/>
      <c r="CV58" s="66"/>
      <c r="CW58" s="66"/>
      <c r="CX58" s="66"/>
      <c r="CY58" s="66"/>
      <c r="CZ58" s="66"/>
      <c r="DA58" s="66"/>
      <c r="DB58" s="66"/>
      <c r="DC58" s="66"/>
      <c r="DD58" s="66"/>
      <c r="DE58" s="66"/>
      <c r="DF58" s="66"/>
      <c r="DG58" s="66"/>
      <c r="DH58" s="66"/>
      <c r="DI58" s="66"/>
      <c r="DJ58" s="66"/>
      <c r="DK58" s="66"/>
      <c r="DL58" s="66"/>
      <c r="DM58" s="66"/>
      <c r="DN58" s="66"/>
      <c r="DO58" s="66"/>
      <c r="DP58" s="66"/>
      <c r="DQ58" s="66"/>
      <c r="DR58" s="66"/>
      <c r="DS58" s="66"/>
      <c r="DT58" s="66"/>
      <c r="DU58" s="66"/>
      <c r="DV58" s="66"/>
      <c r="DW58" s="66"/>
      <c r="DX58" s="66"/>
      <c r="DY58" s="66"/>
      <c r="DZ58" s="66"/>
      <c r="EA58" s="66"/>
      <c r="EB58" s="66"/>
      <c r="EC58" s="66"/>
      <c r="ED58" s="66"/>
      <c r="EE58" s="66"/>
      <c r="EF58" s="66"/>
      <c r="EG58" s="66"/>
      <c r="EH58" s="66"/>
      <c r="EI58" s="66"/>
      <c r="EJ58" s="66"/>
      <c r="EK58" s="66"/>
      <c r="EL58" s="66"/>
      <c r="EM58" s="66"/>
      <c r="EN58" s="66"/>
      <c r="EO58" s="66"/>
      <c r="EP58" s="66"/>
      <c r="EQ58" s="66"/>
      <c r="ER58" s="66"/>
      <c r="ES58" s="66"/>
      <c r="ET58" s="66"/>
      <c r="EU58" s="66"/>
      <c r="EV58" s="66"/>
      <c r="EW58" s="66"/>
      <c r="EX58" s="66"/>
      <c r="EY58" s="66"/>
      <c r="EZ58" s="66"/>
      <c r="FA58" s="66"/>
      <c r="FB58" s="66"/>
      <c r="FC58" s="66"/>
      <c r="FD58" s="66"/>
      <c r="FE58" s="66"/>
      <c r="FF58" s="66"/>
      <c r="FG58" s="66"/>
      <c r="FH58" s="66"/>
      <c r="FI58" s="66"/>
      <c r="FJ58" s="66"/>
      <c r="FK58" s="66"/>
      <c r="FL58" s="66"/>
      <c r="FM58" s="66"/>
      <c r="FN58" s="66"/>
      <c r="FO58" s="66"/>
      <c r="FP58" s="66"/>
      <c r="FQ58" s="66"/>
      <c r="FR58" s="66"/>
      <c r="FS58" s="66"/>
      <c r="FT58" s="66"/>
      <c r="FU58" s="66"/>
      <c r="FV58" s="66"/>
      <c r="FW58" s="66"/>
      <c r="FX58" s="66"/>
      <c r="FY58" s="66"/>
      <c r="FZ58" s="66"/>
      <c r="GA58" s="66"/>
      <c r="GB58" s="66"/>
      <c r="GC58" s="66"/>
      <c r="GD58" s="66"/>
      <c r="GE58" s="66"/>
      <c r="GF58" s="66"/>
      <c r="GG58" s="66"/>
      <c r="GH58" s="66"/>
      <c r="GI58" s="66"/>
      <c r="GJ58" s="66"/>
      <c r="GK58" s="66"/>
      <c r="GL58" s="66"/>
      <c r="GM58" s="66"/>
      <c r="GN58" s="66"/>
      <c r="GO58" s="66"/>
      <c r="GP58" s="66"/>
      <c r="GQ58" s="66"/>
      <c r="GR58" s="66"/>
      <c r="GS58" s="66"/>
      <c r="GT58" s="66"/>
      <c r="GU58" s="66"/>
      <c r="GV58" s="66"/>
      <c r="GW58" s="66"/>
      <c r="GX58" s="66"/>
      <c r="GY58" s="66"/>
      <c r="GZ58" s="66"/>
      <c r="HA58" s="66"/>
      <c r="HB58" s="66"/>
      <c r="HC58" s="66"/>
      <c r="HD58" s="66"/>
      <c r="HE58" s="66"/>
      <c r="HF58" s="66"/>
      <c r="HG58" s="66"/>
      <c r="HH58" s="66"/>
      <c r="HI58" s="66"/>
      <c r="HJ58" s="66"/>
      <c r="HK58" s="66"/>
      <c r="HL58" s="66"/>
      <c r="HM58" s="66"/>
      <c r="HN58" s="66"/>
      <c r="HO58" s="66"/>
      <c r="HP58" s="66"/>
      <c r="HQ58" s="66"/>
      <c r="HR58" s="66"/>
      <c r="HS58" s="66"/>
      <c r="HT58" s="66"/>
      <c r="HU58" s="66"/>
      <c r="HV58" s="66"/>
      <c r="HW58" s="66"/>
      <c r="HX58" s="66"/>
      <c r="HY58" s="66"/>
      <c r="HZ58" s="66"/>
      <c r="IA58" s="66"/>
      <c r="IB58" s="66"/>
      <c r="IC58" s="66"/>
      <c r="ID58" s="66"/>
      <c r="IE58" s="66"/>
      <c r="IF58" s="66"/>
      <c r="IG58" s="66"/>
      <c r="IH58" s="66"/>
      <c r="II58" s="66"/>
      <c r="IJ58" s="66"/>
      <c r="IK58" s="66"/>
      <c r="IL58" s="66"/>
      <c r="IM58" s="66"/>
      <c r="IN58" s="66"/>
      <c r="IO58" s="66"/>
      <c r="IP58" s="66"/>
      <c r="IQ58" s="66"/>
      <c r="IR58" s="66"/>
      <c r="IS58" s="66"/>
      <c r="IT58" s="66"/>
      <c r="IU58" s="66"/>
      <c r="IV58" s="66"/>
      <c r="IW58" s="66"/>
      <c r="IX58" s="66"/>
      <c r="IY58" s="66"/>
      <c r="IZ58" s="66"/>
      <c r="JA58" s="66"/>
      <c r="JB58" s="66"/>
      <c r="JC58" s="66"/>
      <c r="JD58" s="66"/>
      <c r="JE58" s="66"/>
      <c r="JF58" s="66"/>
      <c r="JG58" s="66"/>
      <c r="JH58" s="66"/>
      <c r="JI58" s="66"/>
      <c r="JJ58" s="66"/>
      <c r="JK58" s="66"/>
      <c r="JL58" s="66"/>
      <c r="JM58" s="66"/>
      <c r="JN58" s="66"/>
      <c r="JO58" s="66"/>
      <c r="JP58" s="66"/>
      <c r="JQ58" s="66"/>
      <c r="JR58" s="66"/>
      <c r="JS58" s="66"/>
      <c r="JT58" s="66"/>
      <c r="JU58" s="66"/>
      <c r="JV58" s="66"/>
      <c r="JW58" s="66"/>
      <c r="JX58" s="66"/>
      <c r="JY58" s="66"/>
      <c r="JZ58" s="66"/>
      <c r="KA58" s="66"/>
      <c r="KB58" s="66"/>
      <c r="KC58" s="66"/>
      <c r="KD58" s="66"/>
      <c r="KE58" s="66"/>
      <c r="KF58" s="66"/>
      <c r="KG58" s="66"/>
      <c r="KH58" s="66"/>
      <c r="KI58" s="66"/>
      <c r="KJ58" s="66"/>
      <c r="KK58" s="66"/>
      <c r="KL58" s="66"/>
      <c r="KM58" s="66"/>
      <c r="KN58" s="66"/>
      <c r="KO58" s="66"/>
      <c r="KP58" s="66"/>
      <c r="KQ58" s="66"/>
      <c r="KR58" s="66"/>
      <c r="KS58" s="66"/>
      <c r="KT58" s="66"/>
      <c r="KU58" s="66"/>
      <c r="KV58" s="66"/>
      <c r="KW58" s="66"/>
      <c r="KX58" s="66"/>
      <c r="KY58" s="66"/>
      <c r="KZ58" s="66"/>
      <c r="LA58" s="66"/>
      <c r="LB58" s="66"/>
      <c r="LC58" s="66"/>
      <c r="LD58" s="66"/>
      <c r="LE58" s="66"/>
      <c r="LF58" s="66"/>
      <c r="LG58" s="66"/>
      <c r="LH58" s="66"/>
      <c r="LI58" s="66"/>
      <c r="LJ58" s="66"/>
      <c r="LK58" s="66"/>
      <c r="LL58" s="66"/>
      <c r="LM58" s="66"/>
      <c r="LN58" s="66"/>
      <c r="LO58" s="66"/>
      <c r="LP58" s="66"/>
      <c r="LQ58" s="66"/>
      <c r="LR58" s="66"/>
      <c r="LS58" s="66"/>
      <c r="LT58" s="66"/>
      <c r="LU58" s="66"/>
      <c r="LV58" s="66"/>
      <c r="LW58" s="66"/>
      <c r="LX58" s="66"/>
      <c r="LY58" s="66"/>
      <c r="LZ58" s="66"/>
      <c r="MA58" s="66"/>
      <c r="MB58" s="66"/>
      <c r="MC58" s="66"/>
      <c r="MD58" s="66"/>
      <c r="ME58" s="66"/>
      <c r="MF58" s="66"/>
      <c r="MG58" s="66"/>
      <c r="MH58" s="66"/>
      <c r="MI58" s="66"/>
      <c r="MJ58" s="66"/>
      <c r="MK58" s="66"/>
      <c r="ML58" s="66"/>
      <c r="MM58" s="66"/>
      <c r="MN58" s="66"/>
      <c r="MO58" s="66"/>
      <c r="MP58" s="66"/>
      <c r="MQ58" s="66"/>
      <c r="MR58" s="66"/>
      <c r="MS58" s="66"/>
      <c r="MT58" s="66"/>
      <c r="MU58" s="66"/>
      <c r="MV58" s="66"/>
      <c r="MW58" s="66"/>
      <c r="MX58" s="66"/>
      <c r="MY58" s="66"/>
      <c r="MZ58" s="66"/>
      <c r="NA58" s="66"/>
      <c r="NB58" s="66"/>
      <c r="NC58" s="66"/>
      <c r="ND58" s="66"/>
      <c r="NE58" s="66"/>
      <c r="NF58" s="66"/>
      <c r="NG58" s="66"/>
      <c r="NH58" s="66"/>
      <c r="NI58" s="66"/>
      <c r="NJ58" s="66"/>
      <c r="NK58" s="66"/>
      <c r="NL58" s="66"/>
      <c r="NM58" s="66"/>
      <c r="NN58" s="66"/>
      <c r="NO58" s="66"/>
      <c r="NP58" s="66"/>
      <c r="NQ58" s="66"/>
      <c r="NR58" s="66"/>
      <c r="NS58" s="66"/>
      <c r="NT58" s="66"/>
      <c r="NU58" s="66"/>
      <c r="NV58" s="66"/>
      <c r="NW58" s="66"/>
      <c r="NX58" s="66"/>
      <c r="NY58" s="66"/>
      <c r="NZ58" s="66"/>
      <c r="OA58" s="66"/>
      <c r="OB58" s="66"/>
      <c r="OC58" s="66"/>
      <c r="OD58" s="66"/>
      <c r="OE58" s="66"/>
      <c r="OF58" s="66"/>
      <c r="OG58" s="66"/>
      <c r="OH58" s="66"/>
      <c r="OI58" s="66"/>
      <c r="OJ58" s="66"/>
      <c r="OK58" s="66"/>
      <c r="OL58" s="66"/>
      <c r="OM58" s="66"/>
      <c r="ON58" s="66"/>
      <c r="OO58" s="66"/>
      <c r="OP58" s="66"/>
      <c r="OQ58" s="66"/>
      <c r="OR58" s="66"/>
      <c r="OS58" s="66"/>
      <c r="OT58" s="66"/>
      <c r="OU58" s="66"/>
      <c r="OV58" s="66"/>
      <c r="OW58" s="66"/>
      <c r="OX58" s="66"/>
      <c r="OY58" s="66"/>
      <c r="OZ58" s="66"/>
      <c r="PA58" s="66"/>
      <c r="PB58" s="66"/>
      <c r="PC58" s="66"/>
      <c r="PD58" s="66"/>
      <c r="PE58" s="66"/>
      <c r="PF58" s="66"/>
      <c r="PG58" s="66"/>
      <c r="PH58" s="66"/>
      <c r="PI58" s="66"/>
      <c r="PJ58" s="66"/>
      <c r="PK58" s="66"/>
      <c r="PL58" s="66"/>
      <c r="PM58" s="66"/>
      <c r="PN58" s="66"/>
      <c r="PO58" s="66"/>
      <c r="PP58" s="66"/>
      <c r="PQ58" s="66"/>
      <c r="PR58" s="66"/>
      <c r="PS58" s="66"/>
      <c r="PT58" s="66"/>
      <c r="PU58" s="66"/>
      <c r="PV58" s="66"/>
      <c r="PW58" s="66"/>
      <c r="PX58" s="66"/>
      <c r="PY58" s="66"/>
      <c r="PZ58" s="66"/>
      <c r="QA58" s="66"/>
      <c r="QB58" s="66"/>
      <c r="QC58" s="66"/>
      <c r="QD58" s="66"/>
      <c r="QE58" s="66"/>
      <c r="QF58" s="66"/>
      <c r="QG58" s="66"/>
      <c r="QH58" s="66"/>
      <c r="QI58" s="66"/>
      <c r="QJ58" s="66"/>
      <c r="QK58" s="66"/>
      <c r="QL58" s="66"/>
      <c r="QM58" s="66"/>
      <c r="QN58" s="66"/>
      <c r="QO58" s="66"/>
      <c r="QP58" s="66"/>
      <c r="QQ58" s="66"/>
      <c r="QR58" s="66"/>
      <c r="QS58" s="66"/>
      <c r="QT58" s="66"/>
      <c r="QU58" s="66"/>
      <c r="QV58" s="66"/>
      <c r="QW58" s="66"/>
      <c r="QX58" s="66"/>
      <c r="QY58" s="66"/>
      <c r="QZ58" s="66"/>
      <c r="RA58" s="66"/>
      <c r="RB58" s="66"/>
      <c r="RC58" s="66"/>
      <c r="RD58" s="66"/>
      <c r="RE58" s="66"/>
      <c r="RF58" s="66"/>
      <c r="RG58" s="66"/>
      <c r="RH58" s="66"/>
      <c r="RI58" s="66"/>
      <c r="RJ58" s="66"/>
      <c r="RK58" s="66"/>
      <c r="RL58" s="66"/>
      <c r="RM58" s="66"/>
      <c r="RN58" s="66"/>
      <c r="RO58" s="66"/>
      <c r="RP58" s="66"/>
      <c r="RQ58" s="66"/>
      <c r="RR58" s="66"/>
      <c r="RS58" s="66"/>
      <c r="RT58" s="66"/>
      <c r="RU58" s="66"/>
      <c r="RV58" s="66"/>
      <c r="RW58" s="66"/>
      <c r="RX58" s="66"/>
      <c r="RY58" s="66"/>
      <c r="RZ58" s="66"/>
      <c r="SA58" s="66"/>
      <c r="SB58" s="66"/>
      <c r="SC58" s="66"/>
      <c r="SD58" s="66"/>
      <c r="SE58" s="66"/>
      <c r="SF58" s="66"/>
      <c r="SG58" s="66"/>
      <c r="SH58" s="66"/>
      <c r="SI58" s="66"/>
      <c r="SJ58" s="66"/>
      <c r="SK58" s="66"/>
      <c r="SL58" s="66"/>
      <c r="SM58" s="66"/>
      <c r="SN58" s="66"/>
      <c r="SO58" s="66"/>
      <c r="SP58" s="66"/>
      <c r="SQ58" s="66"/>
      <c r="SR58" s="66"/>
      <c r="SS58" s="66"/>
      <c r="ST58" s="66"/>
      <c r="SU58" s="66"/>
      <c r="SV58" s="66"/>
      <c r="SW58" s="66"/>
      <c r="SX58" s="66"/>
      <c r="SY58" s="66"/>
      <c r="SZ58" s="66"/>
      <c r="TA58" s="66"/>
      <c r="TB58" s="66"/>
      <c r="TC58" s="66"/>
      <c r="TD58" s="66"/>
      <c r="TE58" s="66"/>
      <c r="TF58" s="66"/>
      <c r="TG58" s="66"/>
      <c r="TH58" s="66"/>
      <c r="TI58" s="66"/>
      <c r="TJ58" s="66"/>
      <c r="TK58" s="66"/>
      <c r="TL58" s="66"/>
      <c r="TM58" s="66"/>
      <c r="TN58" s="66"/>
      <c r="TO58" s="66"/>
      <c r="TP58" s="66"/>
      <c r="TQ58" s="66"/>
      <c r="TR58" s="66"/>
      <c r="TS58" s="66"/>
      <c r="TT58" s="66"/>
      <c r="TU58" s="66"/>
      <c r="TV58" s="66"/>
      <c r="TW58" s="66"/>
      <c r="TX58" s="66"/>
      <c r="TY58" s="66"/>
      <c r="TZ58" s="66"/>
      <c r="UA58" s="66"/>
      <c r="UB58" s="66"/>
      <c r="UC58" s="66"/>
      <c r="UD58" s="66"/>
      <c r="UE58" s="66"/>
      <c r="UF58" s="66"/>
      <c r="UG58" s="66"/>
      <c r="UH58" s="66"/>
      <c r="UI58" s="66"/>
      <c r="UJ58" s="66"/>
      <c r="UK58" s="66"/>
      <c r="UL58" s="66"/>
      <c r="UM58" s="66"/>
      <c r="UN58" s="66"/>
      <c r="UO58" s="66"/>
      <c r="UP58" s="66"/>
      <c r="UQ58" s="66"/>
      <c r="UR58" s="66"/>
      <c r="US58" s="66"/>
      <c r="UT58" s="66"/>
      <c r="UU58" s="66"/>
      <c r="UV58" s="66"/>
      <c r="UW58" s="66"/>
      <c r="UX58" s="66"/>
      <c r="UY58" s="66"/>
      <c r="UZ58" s="66"/>
      <c r="VA58" s="66"/>
      <c r="VB58" s="66"/>
      <c r="VC58" s="66"/>
      <c r="VD58" s="66"/>
      <c r="VE58" s="66"/>
      <c r="VF58" s="66"/>
      <c r="VG58" s="66"/>
      <c r="VH58" s="66"/>
      <c r="VI58" s="66"/>
      <c r="VJ58" s="66"/>
      <c r="VK58" s="66"/>
      <c r="VL58" s="66"/>
      <c r="VM58" s="66"/>
      <c r="VN58" s="66"/>
      <c r="VO58" s="66"/>
      <c r="VP58" s="66"/>
      <c r="VQ58" s="66"/>
      <c r="VR58" s="66"/>
      <c r="VS58" s="66"/>
      <c r="VT58" s="66"/>
      <c r="VU58" s="66"/>
      <c r="VV58" s="66"/>
      <c r="VW58" s="66"/>
      <c r="VX58" s="66"/>
      <c r="VY58" s="66"/>
      <c r="VZ58" s="66"/>
      <c r="WA58" s="66"/>
      <c r="WB58" s="66"/>
      <c r="WC58" s="66"/>
      <c r="WD58" s="66"/>
      <c r="WE58" s="66"/>
      <c r="WF58" s="66"/>
      <c r="WG58" s="66"/>
      <c r="WH58" s="66"/>
      <c r="WI58" s="66"/>
      <c r="WJ58" s="66"/>
      <c r="WK58" s="66"/>
      <c r="WL58" s="66"/>
      <c r="WM58" s="66"/>
      <c r="WN58" s="66"/>
      <c r="WO58" s="66"/>
      <c r="WP58" s="66"/>
      <c r="WQ58" s="66"/>
      <c r="WR58" s="66"/>
      <c r="WS58" s="66"/>
      <c r="WT58" s="66"/>
      <c r="WU58" s="66"/>
      <c r="WV58" s="66"/>
      <c r="WW58" s="66"/>
      <c r="WX58" s="66"/>
      <c r="WY58" s="66"/>
      <c r="WZ58" s="66"/>
      <c r="XA58" s="66"/>
      <c r="XB58" s="66"/>
      <c r="XC58" s="66"/>
      <c r="XD58" s="66"/>
      <c r="XE58" s="66"/>
      <c r="XF58" s="66"/>
      <c r="XG58" s="66"/>
      <c r="XH58" s="66"/>
      <c r="XI58" s="66"/>
      <c r="XJ58" s="66"/>
      <c r="XK58" s="66"/>
      <c r="XL58" s="66"/>
      <c r="XM58" s="66"/>
      <c r="XN58" s="66"/>
      <c r="XO58" s="66"/>
      <c r="XP58" s="66"/>
      <c r="XQ58" s="66"/>
      <c r="XR58" s="66"/>
      <c r="XS58" s="66"/>
      <c r="XT58" s="66"/>
      <c r="XU58" s="66"/>
      <c r="XV58" s="66"/>
      <c r="XW58" s="66"/>
      <c r="XX58" s="66"/>
      <c r="XY58" s="66"/>
      <c r="XZ58" s="66"/>
      <c r="YA58" s="66"/>
      <c r="YB58" s="66"/>
      <c r="YC58" s="66"/>
      <c r="YD58" s="66"/>
      <c r="YE58" s="66"/>
      <c r="YF58" s="66"/>
      <c r="YG58" s="66"/>
      <c r="YH58" s="66"/>
      <c r="YI58" s="66"/>
      <c r="YJ58" s="66"/>
      <c r="YK58" s="66"/>
      <c r="YL58" s="66"/>
      <c r="YM58" s="66"/>
      <c r="YN58" s="66"/>
      <c r="YO58" s="66"/>
      <c r="YP58" s="66"/>
      <c r="YQ58" s="66"/>
      <c r="YR58" s="66"/>
      <c r="YS58" s="66"/>
      <c r="YT58" s="66"/>
      <c r="YU58" s="66"/>
      <c r="YV58" s="66"/>
      <c r="YW58" s="66"/>
      <c r="YX58" s="66"/>
      <c r="YY58" s="66"/>
      <c r="YZ58" s="66"/>
      <c r="ZA58" s="66"/>
      <c r="ZB58" s="66"/>
      <c r="ZC58" s="66"/>
      <c r="ZD58" s="66"/>
      <c r="ZE58" s="66"/>
      <c r="ZF58" s="66"/>
      <c r="ZG58" s="66"/>
      <c r="ZH58" s="66"/>
      <c r="ZI58" s="66"/>
      <c r="ZJ58" s="66"/>
      <c r="ZK58" s="66"/>
      <c r="ZL58" s="66"/>
      <c r="ZM58" s="66"/>
      <c r="ZN58" s="66"/>
      <c r="ZO58" s="66"/>
      <c r="ZP58" s="66"/>
      <c r="ZQ58" s="66"/>
      <c r="ZR58" s="66"/>
      <c r="ZS58" s="66"/>
      <c r="ZT58" s="66"/>
      <c r="ZU58" s="66"/>
      <c r="ZV58" s="66"/>
      <c r="ZW58" s="66"/>
      <c r="ZX58" s="66"/>
    </row>
    <row r="59" spans="1:700" s="20" customFormat="1" ht="15.75" x14ac:dyDescent="0.25">
      <c r="A59" s="67"/>
      <c r="B59" s="68"/>
      <c r="C59" s="68"/>
      <c r="D59" s="69"/>
      <c r="E59" s="110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  <c r="CH59" s="66"/>
      <c r="CI59" s="66"/>
      <c r="CJ59" s="66"/>
      <c r="CK59" s="66"/>
      <c r="CL59" s="66"/>
      <c r="CM59" s="66"/>
      <c r="CN59" s="66"/>
      <c r="CO59" s="66"/>
      <c r="CP59" s="66"/>
      <c r="CQ59" s="66"/>
      <c r="CR59" s="66"/>
      <c r="CS59" s="66"/>
      <c r="CT59" s="66"/>
      <c r="CU59" s="66"/>
      <c r="CV59" s="66"/>
      <c r="CW59" s="66"/>
      <c r="CX59" s="66"/>
      <c r="CY59" s="66"/>
      <c r="CZ59" s="66"/>
      <c r="DA59" s="66"/>
      <c r="DB59" s="66"/>
      <c r="DC59" s="66"/>
      <c r="DD59" s="66"/>
      <c r="DE59" s="66"/>
      <c r="DF59" s="66"/>
      <c r="DG59" s="66"/>
      <c r="DH59" s="66"/>
      <c r="DI59" s="66"/>
      <c r="DJ59" s="66"/>
      <c r="DK59" s="66"/>
      <c r="DL59" s="66"/>
      <c r="DM59" s="66"/>
      <c r="DN59" s="66"/>
      <c r="DO59" s="66"/>
      <c r="DP59" s="66"/>
      <c r="DQ59" s="66"/>
      <c r="DR59" s="66"/>
      <c r="DS59" s="66"/>
      <c r="DT59" s="66"/>
      <c r="DU59" s="66"/>
      <c r="DV59" s="66"/>
      <c r="DW59" s="66"/>
      <c r="DX59" s="66"/>
      <c r="DY59" s="66"/>
      <c r="DZ59" s="66"/>
      <c r="EA59" s="66"/>
      <c r="EB59" s="66"/>
      <c r="EC59" s="66"/>
      <c r="ED59" s="66"/>
      <c r="EE59" s="66"/>
      <c r="EF59" s="66"/>
      <c r="EG59" s="66"/>
      <c r="EH59" s="66"/>
      <c r="EI59" s="66"/>
      <c r="EJ59" s="66"/>
      <c r="EK59" s="66"/>
      <c r="EL59" s="66"/>
      <c r="EM59" s="66"/>
      <c r="EN59" s="66"/>
      <c r="EO59" s="66"/>
      <c r="EP59" s="66"/>
      <c r="EQ59" s="66"/>
      <c r="ER59" s="66"/>
      <c r="ES59" s="66"/>
      <c r="ET59" s="66"/>
      <c r="EU59" s="66"/>
      <c r="EV59" s="66"/>
      <c r="EW59" s="66"/>
      <c r="EX59" s="66"/>
      <c r="EY59" s="66"/>
      <c r="EZ59" s="66"/>
      <c r="FA59" s="66"/>
      <c r="FB59" s="66"/>
      <c r="FC59" s="66"/>
      <c r="FD59" s="66"/>
      <c r="FE59" s="66"/>
      <c r="FF59" s="66"/>
      <c r="FG59" s="66"/>
      <c r="FH59" s="66"/>
      <c r="FI59" s="66"/>
      <c r="FJ59" s="66"/>
      <c r="FK59" s="66"/>
      <c r="FL59" s="66"/>
      <c r="FM59" s="66"/>
      <c r="FN59" s="66"/>
      <c r="FO59" s="66"/>
      <c r="FP59" s="66"/>
      <c r="FQ59" s="66"/>
      <c r="FR59" s="66"/>
      <c r="FS59" s="66"/>
      <c r="FT59" s="66"/>
      <c r="FU59" s="66"/>
      <c r="FV59" s="66"/>
      <c r="FW59" s="66"/>
      <c r="FX59" s="66"/>
      <c r="FY59" s="66"/>
      <c r="FZ59" s="66"/>
      <c r="GA59" s="66"/>
      <c r="GB59" s="66"/>
      <c r="GC59" s="66"/>
      <c r="GD59" s="66"/>
      <c r="GE59" s="66"/>
      <c r="GF59" s="66"/>
      <c r="GG59" s="66"/>
      <c r="GH59" s="66"/>
      <c r="GI59" s="66"/>
      <c r="GJ59" s="66"/>
      <c r="GK59" s="66"/>
      <c r="GL59" s="66"/>
      <c r="GM59" s="66"/>
      <c r="GN59" s="66"/>
      <c r="GO59" s="66"/>
      <c r="GP59" s="66"/>
      <c r="GQ59" s="66"/>
      <c r="GR59" s="66"/>
      <c r="GS59" s="66"/>
      <c r="GT59" s="66"/>
      <c r="GU59" s="66"/>
      <c r="GV59" s="66"/>
      <c r="GW59" s="66"/>
      <c r="GX59" s="66"/>
      <c r="GY59" s="66"/>
      <c r="GZ59" s="66"/>
      <c r="HA59" s="66"/>
      <c r="HB59" s="66"/>
      <c r="HC59" s="66"/>
      <c r="HD59" s="66"/>
      <c r="HE59" s="66"/>
      <c r="HF59" s="66"/>
      <c r="HG59" s="66"/>
      <c r="HH59" s="66"/>
      <c r="HI59" s="66"/>
      <c r="HJ59" s="66"/>
      <c r="HK59" s="66"/>
      <c r="HL59" s="66"/>
      <c r="HM59" s="66"/>
      <c r="HN59" s="66"/>
      <c r="HO59" s="66"/>
      <c r="HP59" s="66"/>
      <c r="HQ59" s="66"/>
      <c r="HR59" s="66"/>
      <c r="HS59" s="66"/>
      <c r="HT59" s="66"/>
      <c r="HU59" s="66"/>
      <c r="HV59" s="66"/>
      <c r="HW59" s="66"/>
      <c r="HX59" s="66"/>
      <c r="HY59" s="66"/>
      <c r="HZ59" s="66"/>
      <c r="IA59" s="66"/>
      <c r="IB59" s="66"/>
      <c r="IC59" s="66"/>
      <c r="ID59" s="66"/>
      <c r="IE59" s="66"/>
      <c r="IF59" s="66"/>
      <c r="IG59" s="66"/>
      <c r="IH59" s="66"/>
      <c r="II59" s="66"/>
      <c r="IJ59" s="66"/>
      <c r="IK59" s="66"/>
      <c r="IL59" s="66"/>
      <c r="IM59" s="66"/>
      <c r="IN59" s="66"/>
      <c r="IO59" s="66"/>
      <c r="IP59" s="66"/>
      <c r="IQ59" s="66"/>
      <c r="IR59" s="66"/>
      <c r="IS59" s="66"/>
      <c r="IT59" s="66"/>
      <c r="IU59" s="66"/>
      <c r="IV59" s="66"/>
      <c r="IW59" s="66"/>
      <c r="IX59" s="66"/>
      <c r="IY59" s="66"/>
      <c r="IZ59" s="66"/>
      <c r="JA59" s="66"/>
      <c r="JB59" s="66"/>
      <c r="JC59" s="66"/>
      <c r="JD59" s="66"/>
      <c r="JE59" s="66"/>
      <c r="JF59" s="66"/>
      <c r="JG59" s="66"/>
      <c r="JH59" s="66"/>
      <c r="JI59" s="66"/>
      <c r="JJ59" s="66"/>
      <c r="JK59" s="66"/>
      <c r="JL59" s="66"/>
      <c r="JM59" s="66"/>
      <c r="JN59" s="66"/>
      <c r="JO59" s="66"/>
      <c r="JP59" s="66"/>
      <c r="JQ59" s="66"/>
      <c r="JR59" s="66"/>
      <c r="JS59" s="66"/>
      <c r="JT59" s="66"/>
      <c r="JU59" s="66"/>
      <c r="JV59" s="66"/>
      <c r="JW59" s="66"/>
      <c r="JX59" s="66"/>
      <c r="JY59" s="66"/>
      <c r="JZ59" s="66"/>
      <c r="KA59" s="66"/>
      <c r="KB59" s="66"/>
      <c r="KC59" s="66"/>
      <c r="KD59" s="66"/>
      <c r="KE59" s="66"/>
      <c r="KF59" s="66"/>
      <c r="KG59" s="66"/>
      <c r="KH59" s="66"/>
      <c r="KI59" s="66"/>
      <c r="KJ59" s="66"/>
      <c r="KK59" s="66"/>
      <c r="KL59" s="66"/>
      <c r="KM59" s="66"/>
      <c r="KN59" s="66"/>
      <c r="KO59" s="66"/>
      <c r="KP59" s="66"/>
      <c r="KQ59" s="66"/>
      <c r="KR59" s="66"/>
      <c r="KS59" s="66"/>
      <c r="KT59" s="66"/>
      <c r="KU59" s="66"/>
      <c r="KV59" s="66"/>
      <c r="KW59" s="66"/>
      <c r="KX59" s="66"/>
      <c r="KY59" s="66"/>
      <c r="KZ59" s="66"/>
      <c r="LA59" s="66"/>
      <c r="LB59" s="66"/>
      <c r="LC59" s="66"/>
      <c r="LD59" s="66"/>
      <c r="LE59" s="66"/>
      <c r="LF59" s="66"/>
      <c r="LG59" s="66"/>
      <c r="LH59" s="66"/>
      <c r="LI59" s="66"/>
      <c r="LJ59" s="66"/>
      <c r="LK59" s="66"/>
      <c r="LL59" s="66"/>
      <c r="LM59" s="66"/>
      <c r="LN59" s="66"/>
      <c r="LO59" s="66"/>
      <c r="LP59" s="66"/>
      <c r="LQ59" s="66"/>
      <c r="LR59" s="66"/>
      <c r="LS59" s="66"/>
      <c r="LT59" s="66"/>
      <c r="LU59" s="66"/>
      <c r="LV59" s="66"/>
      <c r="LW59" s="66"/>
      <c r="LX59" s="66"/>
      <c r="LY59" s="66"/>
      <c r="LZ59" s="66"/>
      <c r="MA59" s="66"/>
      <c r="MB59" s="66"/>
      <c r="MC59" s="66"/>
      <c r="MD59" s="66"/>
      <c r="ME59" s="66"/>
      <c r="MF59" s="66"/>
      <c r="MG59" s="66"/>
      <c r="MH59" s="66"/>
      <c r="MI59" s="66"/>
      <c r="MJ59" s="66"/>
      <c r="MK59" s="66"/>
      <c r="ML59" s="66"/>
      <c r="MM59" s="66"/>
      <c r="MN59" s="66"/>
      <c r="MO59" s="66"/>
      <c r="MP59" s="66"/>
      <c r="MQ59" s="66"/>
      <c r="MR59" s="66"/>
      <c r="MS59" s="66"/>
      <c r="MT59" s="66"/>
      <c r="MU59" s="66"/>
      <c r="MV59" s="66"/>
      <c r="MW59" s="66"/>
      <c r="MX59" s="66"/>
      <c r="MY59" s="66"/>
      <c r="MZ59" s="66"/>
      <c r="NA59" s="66"/>
      <c r="NB59" s="66"/>
      <c r="NC59" s="66"/>
      <c r="ND59" s="66"/>
      <c r="NE59" s="66"/>
      <c r="NF59" s="66"/>
      <c r="NG59" s="66"/>
      <c r="NH59" s="66"/>
      <c r="NI59" s="66"/>
      <c r="NJ59" s="66"/>
      <c r="NK59" s="66"/>
      <c r="NL59" s="66"/>
      <c r="NM59" s="66"/>
      <c r="NN59" s="66"/>
      <c r="NO59" s="66"/>
      <c r="NP59" s="66"/>
      <c r="NQ59" s="66"/>
      <c r="NR59" s="66"/>
      <c r="NS59" s="66"/>
      <c r="NT59" s="66"/>
      <c r="NU59" s="66"/>
      <c r="NV59" s="66"/>
      <c r="NW59" s="66"/>
      <c r="NX59" s="66"/>
      <c r="NY59" s="66"/>
      <c r="NZ59" s="66"/>
      <c r="OA59" s="66"/>
      <c r="OB59" s="66"/>
      <c r="OC59" s="66"/>
      <c r="OD59" s="66"/>
      <c r="OE59" s="66"/>
      <c r="OF59" s="66"/>
      <c r="OG59" s="66"/>
      <c r="OH59" s="66"/>
      <c r="OI59" s="66"/>
      <c r="OJ59" s="66"/>
      <c r="OK59" s="66"/>
      <c r="OL59" s="66"/>
      <c r="OM59" s="66"/>
      <c r="ON59" s="66"/>
      <c r="OO59" s="66"/>
      <c r="OP59" s="66"/>
      <c r="OQ59" s="66"/>
      <c r="OR59" s="66"/>
      <c r="OS59" s="66"/>
      <c r="OT59" s="66"/>
      <c r="OU59" s="66"/>
      <c r="OV59" s="66"/>
      <c r="OW59" s="66"/>
      <c r="OX59" s="66"/>
      <c r="OY59" s="66"/>
      <c r="OZ59" s="66"/>
      <c r="PA59" s="66"/>
      <c r="PB59" s="66"/>
      <c r="PC59" s="66"/>
      <c r="PD59" s="66"/>
      <c r="PE59" s="66"/>
      <c r="PF59" s="66"/>
      <c r="PG59" s="66"/>
      <c r="PH59" s="66"/>
      <c r="PI59" s="66"/>
      <c r="PJ59" s="66"/>
      <c r="PK59" s="66"/>
      <c r="PL59" s="66"/>
      <c r="PM59" s="66"/>
      <c r="PN59" s="66"/>
      <c r="PO59" s="66"/>
      <c r="PP59" s="66"/>
      <c r="PQ59" s="66"/>
      <c r="PR59" s="66"/>
      <c r="PS59" s="66"/>
      <c r="PT59" s="66"/>
      <c r="PU59" s="66"/>
      <c r="PV59" s="66"/>
      <c r="PW59" s="66"/>
      <c r="PX59" s="66"/>
      <c r="PY59" s="66"/>
      <c r="PZ59" s="66"/>
      <c r="QA59" s="66"/>
      <c r="QB59" s="66"/>
      <c r="QC59" s="66"/>
      <c r="QD59" s="66"/>
      <c r="QE59" s="66"/>
      <c r="QF59" s="66"/>
      <c r="QG59" s="66"/>
      <c r="QH59" s="66"/>
      <c r="QI59" s="66"/>
      <c r="QJ59" s="66"/>
      <c r="QK59" s="66"/>
      <c r="QL59" s="66"/>
      <c r="QM59" s="66"/>
      <c r="QN59" s="66"/>
      <c r="QO59" s="66"/>
      <c r="QP59" s="66"/>
      <c r="QQ59" s="66"/>
      <c r="QR59" s="66"/>
      <c r="QS59" s="66"/>
      <c r="QT59" s="66"/>
      <c r="QU59" s="66"/>
      <c r="QV59" s="66"/>
      <c r="QW59" s="66"/>
      <c r="QX59" s="66"/>
      <c r="QY59" s="66"/>
      <c r="QZ59" s="66"/>
      <c r="RA59" s="66"/>
      <c r="RB59" s="66"/>
      <c r="RC59" s="66"/>
      <c r="RD59" s="66"/>
      <c r="RE59" s="66"/>
      <c r="RF59" s="66"/>
      <c r="RG59" s="66"/>
      <c r="RH59" s="66"/>
      <c r="RI59" s="66"/>
      <c r="RJ59" s="66"/>
      <c r="RK59" s="66"/>
      <c r="RL59" s="66"/>
      <c r="RM59" s="66"/>
      <c r="RN59" s="66"/>
      <c r="RO59" s="66"/>
      <c r="RP59" s="66"/>
      <c r="RQ59" s="66"/>
      <c r="RR59" s="66"/>
      <c r="RS59" s="66"/>
      <c r="RT59" s="66"/>
      <c r="RU59" s="66"/>
      <c r="RV59" s="66"/>
      <c r="RW59" s="66"/>
      <c r="RX59" s="66"/>
      <c r="RY59" s="66"/>
      <c r="RZ59" s="66"/>
      <c r="SA59" s="66"/>
      <c r="SB59" s="66"/>
      <c r="SC59" s="66"/>
      <c r="SD59" s="66"/>
      <c r="SE59" s="66"/>
      <c r="SF59" s="66"/>
      <c r="SG59" s="66"/>
      <c r="SH59" s="66"/>
      <c r="SI59" s="66"/>
      <c r="SJ59" s="66"/>
      <c r="SK59" s="66"/>
      <c r="SL59" s="66"/>
      <c r="SM59" s="66"/>
      <c r="SN59" s="66"/>
      <c r="SO59" s="66"/>
      <c r="SP59" s="66"/>
      <c r="SQ59" s="66"/>
      <c r="SR59" s="66"/>
      <c r="SS59" s="66"/>
      <c r="ST59" s="66"/>
      <c r="SU59" s="66"/>
      <c r="SV59" s="66"/>
      <c r="SW59" s="66"/>
      <c r="SX59" s="66"/>
      <c r="SY59" s="66"/>
      <c r="SZ59" s="66"/>
      <c r="TA59" s="66"/>
      <c r="TB59" s="66"/>
      <c r="TC59" s="66"/>
      <c r="TD59" s="66"/>
      <c r="TE59" s="66"/>
      <c r="TF59" s="66"/>
      <c r="TG59" s="66"/>
      <c r="TH59" s="66"/>
      <c r="TI59" s="66"/>
      <c r="TJ59" s="66"/>
      <c r="TK59" s="66"/>
      <c r="TL59" s="66"/>
      <c r="TM59" s="66"/>
      <c r="TN59" s="66"/>
      <c r="TO59" s="66"/>
      <c r="TP59" s="66"/>
      <c r="TQ59" s="66"/>
      <c r="TR59" s="66"/>
      <c r="TS59" s="66"/>
      <c r="TT59" s="66"/>
      <c r="TU59" s="66"/>
      <c r="TV59" s="66"/>
      <c r="TW59" s="66"/>
      <c r="TX59" s="66"/>
      <c r="TY59" s="66"/>
      <c r="TZ59" s="66"/>
      <c r="UA59" s="66"/>
      <c r="UB59" s="66"/>
      <c r="UC59" s="66"/>
      <c r="UD59" s="66"/>
      <c r="UE59" s="66"/>
      <c r="UF59" s="66"/>
      <c r="UG59" s="66"/>
      <c r="UH59" s="66"/>
      <c r="UI59" s="66"/>
      <c r="UJ59" s="66"/>
      <c r="UK59" s="66"/>
      <c r="UL59" s="66"/>
      <c r="UM59" s="66"/>
      <c r="UN59" s="66"/>
      <c r="UO59" s="66"/>
      <c r="UP59" s="66"/>
      <c r="UQ59" s="66"/>
      <c r="UR59" s="66"/>
      <c r="US59" s="66"/>
      <c r="UT59" s="66"/>
      <c r="UU59" s="66"/>
      <c r="UV59" s="66"/>
      <c r="UW59" s="66"/>
      <c r="UX59" s="66"/>
      <c r="UY59" s="66"/>
      <c r="UZ59" s="66"/>
      <c r="VA59" s="66"/>
      <c r="VB59" s="66"/>
      <c r="VC59" s="66"/>
      <c r="VD59" s="66"/>
      <c r="VE59" s="66"/>
      <c r="VF59" s="66"/>
      <c r="VG59" s="66"/>
      <c r="VH59" s="66"/>
      <c r="VI59" s="66"/>
      <c r="VJ59" s="66"/>
      <c r="VK59" s="66"/>
      <c r="VL59" s="66"/>
      <c r="VM59" s="66"/>
      <c r="VN59" s="66"/>
      <c r="VO59" s="66"/>
      <c r="VP59" s="66"/>
      <c r="VQ59" s="66"/>
      <c r="VR59" s="66"/>
      <c r="VS59" s="66"/>
      <c r="VT59" s="66"/>
      <c r="VU59" s="66"/>
      <c r="VV59" s="66"/>
      <c r="VW59" s="66"/>
      <c r="VX59" s="66"/>
      <c r="VY59" s="66"/>
      <c r="VZ59" s="66"/>
      <c r="WA59" s="66"/>
      <c r="WB59" s="66"/>
      <c r="WC59" s="66"/>
      <c r="WD59" s="66"/>
      <c r="WE59" s="66"/>
      <c r="WF59" s="66"/>
      <c r="WG59" s="66"/>
      <c r="WH59" s="66"/>
      <c r="WI59" s="66"/>
      <c r="WJ59" s="66"/>
      <c r="WK59" s="66"/>
      <c r="WL59" s="66"/>
      <c r="WM59" s="66"/>
      <c r="WN59" s="66"/>
      <c r="WO59" s="66"/>
      <c r="WP59" s="66"/>
      <c r="WQ59" s="66"/>
      <c r="WR59" s="66"/>
      <c r="WS59" s="66"/>
      <c r="WT59" s="66"/>
      <c r="WU59" s="66"/>
      <c r="WV59" s="66"/>
      <c r="WW59" s="66"/>
      <c r="WX59" s="66"/>
      <c r="WY59" s="66"/>
      <c r="WZ59" s="66"/>
      <c r="XA59" s="66"/>
      <c r="XB59" s="66"/>
      <c r="XC59" s="66"/>
      <c r="XD59" s="66"/>
      <c r="XE59" s="66"/>
      <c r="XF59" s="66"/>
      <c r="XG59" s="66"/>
      <c r="XH59" s="66"/>
      <c r="XI59" s="66"/>
      <c r="XJ59" s="66"/>
      <c r="XK59" s="66"/>
      <c r="XL59" s="66"/>
      <c r="XM59" s="66"/>
      <c r="XN59" s="66"/>
      <c r="XO59" s="66"/>
      <c r="XP59" s="66"/>
      <c r="XQ59" s="66"/>
      <c r="XR59" s="66"/>
      <c r="XS59" s="66"/>
      <c r="XT59" s="66"/>
      <c r="XU59" s="66"/>
      <c r="XV59" s="66"/>
      <c r="XW59" s="66"/>
      <c r="XX59" s="66"/>
      <c r="XY59" s="66"/>
      <c r="XZ59" s="66"/>
      <c r="YA59" s="66"/>
      <c r="YB59" s="66"/>
      <c r="YC59" s="66"/>
      <c r="YD59" s="66"/>
      <c r="YE59" s="66"/>
      <c r="YF59" s="66"/>
      <c r="YG59" s="66"/>
      <c r="YH59" s="66"/>
      <c r="YI59" s="66"/>
      <c r="YJ59" s="66"/>
      <c r="YK59" s="66"/>
      <c r="YL59" s="66"/>
      <c r="YM59" s="66"/>
      <c r="YN59" s="66"/>
      <c r="YO59" s="66"/>
      <c r="YP59" s="66"/>
      <c r="YQ59" s="66"/>
      <c r="YR59" s="66"/>
      <c r="YS59" s="66"/>
      <c r="YT59" s="66"/>
      <c r="YU59" s="66"/>
      <c r="YV59" s="66"/>
      <c r="YW59" s="66"/>
      <c r="YX59" s="66"/>
      <c r="YY59" s="66"/>
      <c r="YZ59" s="66"/>
      <c r="ZA59" s="66"/>
      <c r="ZB59" s="66"/>
      <c r="ZC59" s="66"/>
      <c r="ZD59" s="66"/>
      <c r="ZE59" s="66"/>
      <c r="ZF59" s="66"/>
      <c r="ZG59" s="66"/>
      <c r="ZH59" s="66"/>
      <c r="ZI59" s="66"/>
      <c r="ZJ59" s="66"/>
      <c r="ZK59" s="66"/>
      <c r="ZL59" s="66"/>
      <c r="ZM59" s="66"/>
      <c r="ZN59" s="66"/>
      <c r="ZO59" s="66"/>
      <c r="ZP59" s="66"/>
      <c r="ZQ59" s="66"/>
      <c r="ZR59" s="66"/>
      <c r="ZS59" s="66"/>
      <c r="ZT59" s="66"/>
      <c r="ZU59" s="66"/>
      <c r="ZV59" s="66"/>
      <c r="ZW59" s="66"/>
      <c r="ZX59" s="66"/>
    </row>
    <row r="60" spans="1:700" s="20" customFormat="1" ht="15.75" x14ac:dyDescent="0.25">
      <c r="A60" s="67"/>
      <c r="B60" s="68"/>
      <c r="C60" s="68"/>
      <c r="D60" s="69"/>
      <c r="E60" s="110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  <c r="CH60" s="66"/>
      <c r="CI60" s="66"/>
      <c r="CJ60" s="66"/>
      <c r="CK60" s="66"/>
      <c r="CL60" s="66"/>
      <c r="CM60" s="66"/>
      <c r="CN60" s="66"/>
      <c r="CO60" s="66"/>
      <c r="CP60" s="66"/>
      <c r="CQ60" s="66"/>
      <c r="CR60" s="66"/>
      <c r="CS60" s="66"/>
      <c r="CT60" s="66"/>
      <c r="CU60" s="66"/>
      <c r="CV60" s="66"/>
      <c r="CW60" s="66"/>
      <c r="CX60" s="66"/>
      <c r="CY60" s="66"/>
      <c r="CZ60" s="66"/>
      <c r="DA60" s="66"/>
      <c r="DB60" s="66"/>
      <c r="DC60" s="66"/>
      <c r="DD60" s="66"/>
      <c r="DE60" s="66"/>
      <c r="DF60" s="66"/>
      <c r="DG60" s="66"/>
      <c r="DH60" s="66"/>
      <c r="DI60" s="66"/>
      <c r="DJ60" s="66"/>
      <c r="DK60" s="66"/>
      <c r="DL60" s="66"/>
      <c r="DM60" s="66"/>
      <c r="DN60" s="66"/>
      <c r="DO60" s="66"/>
      <c r="DP60" s="66"/>
      <c r="DQ60" s="66"/>
      <c r="DR60" s="66"/>
      <c r="DS60" s="66"/>
      <c r="DT60" s="66"/>
      <c r="DU60" s="66"/>
      <c r="DV60" s="66"/>
      <c r="DW60" s="66"/>
      <c r="DX60" s="66"/>
      <c r="DY60" s="66"/>
      <c r="DZ60" s="66"/>
      <c r="EA60" s="66"/>
      <c r="EB60" s="66"/>
      <c r="EC60" s="66"/>
      <c r="ED60" s="66"/>
      <c r="EE60" s="66"/>
      <c r="EF60" s="66"/>
      <c r="EG60" s="66"/>
      <c r="EH60" s="66"/>
      <c r="EI60" s="66"/>
      <c r="EJ60" s="66"/>
      <c r="EK60" s="66"/>
      <c r="EL60" s="66"/>
      <c r="EM60" s="66"/>
      <c r="EN60" s="66"/>
      <c r="EO60" s="66"/>
      <c r="EP60" s="66"/>
      <c r="EQ60" s="66"/>
      <c r="ER60" s="66"/>
      <c r="ES60" s="66"/>
      <c r="ET60" s="66"/>
      <c r="EU60" s="66"/>
      <c r="EV60" s="66"/>
      <c r="EW60" s="66"/>
      <c r="EX60" s="66"/>
      <c r="EY60" s="66"/>
      <c r="EZ60" s="66"/>
      <c r="FA60" s="66"/>
      <c r="FB60" s="66"/>
      <c r="FC60" s="66"/>
      <c r="FD60" s="66"/>
      <c r="FE60" s="66"/>
      <c r="FF60" s="66"/>
      <c r="FG60" s="66"/>
      <c r="FH60" s="66"/>
      <c r="FI60" s="66"/>
      <c r="FJ60" s="66"/>
      <c r="FK60" s="66"/>
      <c r="FL60" s="66"/>
      <c r="FM60" s="66"/>
      <c r="FN60" s="66"/>
      <c r="FO60" s="66"/>
      <c r="FP60" s="66"/>
      <c r="FQ60" s="66"/>
      <c r="FR60" s="66"/>
      <c r="FS60" s="66"/>
      <c r="FT60" s="66"/>
      <c r="FU60" s="66"/>
      <c r="FV60" s="66"/>
      <c r="FW60" s="66"/>
      <c r="FX60" s="66"/>
      <c r="FY60" s="66"/>
      <c r="FZ60" s="66"/>
      <c r="GA60" s="66"/>
      <c r="GB60" s="66"/>
      <c r="GC60" s="66"/>
      <c r="GD60" s="66"/>
      <c r="GE60" s="66"/>
      <c r="GF60" s="66"/>
      <c r="GG60" s="66"/>
      <c r="GH60" s="66"/>
      <c r="GI60" s="66"/>
      <c r="GJ60" s="66"/>
      <c r="GK60" s="66"/>
      <c r="GL60" s="66"/>
      <c r="GM60" s="66"/>
      <c r="GN60" s="66"/>
      <c r="GO60" s="66"/>
      <c r="GP60" s="66"/>
      <c r="GQ60" s="66"/>
      <c r="GR60" s="66"/>
      <c r="GS60" s="66"/>
      <c r="GT60" s="66"/>
      <c r="GU60" s="66"/>
      <c r="GV60" s="66"/>
      <c r="GW60" s="66"/>
      <c r="GX60" s="66"/>
      <c r="GY60" s="66"/>
      <c r="GZ60" s="66"/>
      <c r="HA60" s="66"/>
      <c r="HB60" s="66"/>
      <c r="HC60" s="66"/>
      <c r="HD60" s="66"/>
      <c r="HE60" s="66"/>
      <c r="HF60" s="66"/>
      <c r="HG60" s="66"/>
      <c r="HH60" s="66"/>
      <c r="HI60" s="66"/>
      <c r="HJ60" s="66"/>
      <c r="HK60" s="66"/>
      <c r="HL60" s="66"/>
      <c r="HM60" s="66"/>
      <c r="HN60" s="66"/>
      <c r="HO60" s="66"/>
      <c r="HP60" s="66"/>
      <c r="HQ60" s="66"/>
      <c r="HR60" s="66"/>
      <c r="HS60" s="66"/>
      <c r="HT60" s="66"/>
      <c r="HU60" s="66"/>
      <c r="HV60" s="66"/>
      <c r="HW60" s="66"/>
      <c r="HX60" s="66"/>
      <c r="HY60" s="66"/>
      <c r="HZ60" s="66"/>
      <c r="IA60" s="66"/>
      <c r="IB60" s="66"/>
      <c r="IC60" s="66"/>
      <c r="ID60" s="66"/>
      <c r="IE60" s="66"/>
      <c r="IF60" s="66"/>
      <c r="IG60" s="66"/>
      <c r="IH60" s="66"/>
      <c r="II60" s="66"/>
      <c r="IJ60" s="66"/>
      <c r="IK60" s="66"/>
      <c r="IL60" s="66"/>
      <c r="IM60" s="66"/>
      <c r="IN60" s="66"/>
      <c r="IO60" s="66"/>
      <c r="IP60" s="66"/>
      <c r="IQ60" s="66"/>
      <c r="IR60" s="66"/>
      <c r="IS60" s="66"/>
      <c r="IT60" s="66"/>
      <c r="IU60" s="66"/>
      <c r="IV60" s="66"/>
      <c r="IW60" s="66"/>
      <c r="IX60" s="66"/>
      <c r="IY60" s="66"/>
      <c r="IZ60" s="66"/>
      <c r="JA60" s="66"/>
      <c r="JB60" s="66"/>
      <c r="JC60" s="66"/>
      <c r="JD60" s="66"/>
      <c r="JE60" s="66"/>
      <c r="JF60" s="66"/>
      <c r="JG60" s="66"/>
      <c r="JH60" s="66"/>
      <c r="JI60" s="66"/>
      <c r="JJ60" s="66"/>
      <c r="JK60" s="66"/>
      <c r="JL60" s="66"/>
      <c r="JM60" s="66"/>
      <c r="JN60" s="66"/>
      <c r="JO60" s="66"/>
      <c r="JP60" s="66"/>
      <c r="JQ60" s="66"/>
      <c r="JR60" s="66"/>
      <c r="JS60" s="66"/>
      <c r="JT60" s="66"/>
      <c r="JU60" s="66"/>
      <c r="JV60" s="66"/>
      <c r="JW60" s="66"/>
      <c r="JX60" s="66"/>
      <c r="JY60" s="66"/>
      <c r="JZ60" s="66"/>
      <c r="KA60" s="66"/>
      <c r="KB60" s="66"/>
      <c r="KC60" s="66"/>
      <c r="KD60" s="66"/>
      <c r="KE60" s="66"/>
      <c r="KF60" s="66"/>
      <c r="KG60" s="66"/>
      <c r="KH60" s="66"/>
      <c r="KI60" s="66"/>
      <c r="KJ60" s="66"/>
      <c r="KK60" s="66"/>
      <c r="KL60" s="66"/>
      <c r="KM60" s="66"/>
      <c r="KN60" s="66"/>
      <c r="KO60" s="66"/>
      <c r="KP60" s="66"/>
      <c r="KQ60" s="66"/>
      <c r="KR60" s="66"/>
      <c r="KS60" s="66"/>
      <c r="KT60" s="66"/>
      <c r="KU60" s="66"/>
      <c r="KV60" s="66"/>
      <c r="KW60" s="66"/>
      <c r="KX60" s="66"/>
      <c r="KY60" s="66"/>
      <c r="KZ60" s="66"/>
      <c r="LA60" s="66"/>
      <c r="LB60" s="66"/>
      <c r="LC60" s="66"/>
      <c r="LD60" s="66"/>
      <c r="LE60" s="66"/>
      <c r="LF60" s="66"/>
      <c r="LG60" s="66"/>
      <c r="LH60" s="66"/>
      <c r="LI60" s="66"/>
      <c r="LJ60" s="66"/>
      <c r="LK60" s="66"/>
      <c r="LL60" s="66"/>
      <c r="LM60" s="66"/>
      <c r="LN60" s="66"/>
      <c r="LO60" s="66"/>
      <c r="LP60" s="66"/>
      <c r="LQ60" s="66"/>
      <c r="LR60" s="66"/>
      <c r="LS60" s="66"/>
      <c r="LT60" s="66"/>
      <c r="LU60" s="66"/>
      <c r="LV60" s="66"/>
      <c r="LW60" s="66"/>
      <c r="LX60" s="66"/>
      <c r="LY60" s="66"/>
      <c r="LZ60" s="66"/>
      <c r="MA60" s="66"/>
      <c r="MB60" s="66"/>
      <c r="MC60" s="66"/>
      <c r="MD60" s="66"/>
      <c r="ME60" s="66"/>
      <c r="MF60" s="66"/>
      <c r="MG60" s="66"/>
      <c r="MH60" s="66"/>
      <c r="MI60" s="66"/>
      <c r="MJ60" s="66"/>
      <c r="MK60" s="66"/>
      <c r="ML60" s="66"/>
      <c r="MM60" s="66"/>
      <c r="MN60" s="66"/>
      <c r="MO60" s="66"/>
      <c r="MP60" s="66"/>
      <c r="MQ60" s="66"/>
      <c r="MR60" s="66"/>
      <c r="MS60" s="66"/>
      <c r="MT60" s="66"/>
      <c r="MU60" s="66"/>
      <c r="MV60" s="66"/>
      <c r="MW60" s="66"/>
      <c r="MX60" s="66"/>
      <c r="MY60" s="66"/>
      <c r="MZ60" s="66"/>
      <c r="NA60" s="66"/>
      <c r="NB60" s="66"/>
      <c r="NC60" s="66"/>
      <c r="ND60" s="66"/>
      <c r="NE60" s="66"/>
      <c r="NF60" s="66"/>
      <c r="NG60" s="66"/>
      <c r="NH60" s="66"/>
      <c r="NI60" s="66"/>
      <c r="NJ60" s="66"/>
      <c r="NK60" s="66"/>
      <c r="NL60" s="66"/>
      <c r="NM60" s="66"/>
      <c r="NN60" s="66"/>
      <c r="NO60" s="66"/>
      <c r="NP60" s="66"/>
      <c r="NQ60" s="66"/>
      <c r="NR60" s="66"/>
      <c r="NS60" s="66"/>
      <c r="NT60" s="66"/>
      <c r="NU60" s="66"/>
      <c r="NV60" s="66"/>
      <c r="NW60" s="66"/>
      <c r="NX60" s="66"/>
      <c r="NY60" s="66"/>
      <c r="NZ60" s="66"/>
      <c r="OA60" s="66"/>
      <c r="OB60" s="66"/>
      <c r="OC60" s="66"/>
      <c r="OD60" s="66"/>
      <c r="OE60" s="66"/>
      <c r="OF60" s="66"/>
      <c r="OG60" s="66"/>
      <c r="OH60" s="66"/>
      <c r="OI60" s="66"/>
      <c r="OJ60" s="66"/>
      <c r="OK60" s="66"/>
      <c r="OL60" s="66"/>
      <c r="OM60" s="66"/>
      <c r="ON60" s="66"/>
      <c r="OO60" s="66"/>
      <c r="OP60" s="66"/>
      <c r="OQ60" s="66"/>
      <c r="OR60" s="66"/>
      <c r="OS60" s="66"/>
      <c r="OT60" s="66"/>
      <c r="OU60" s="66"/>
      <c r="OV60" s="66"/>
      <c r="OW60" s="66"/>
      <c r="OX60" s="66"/>
      <c r="OY60" s="66"/>
      <c r="OZ60" s="66"/>
      <c r="PA60" s="66"/>
      <c r="PB60" s="66"/>
      <c r="PC60" s="66"/>
      <c r="PD60" s="66"/>
      <c r="PE60" s="66"/>
      <c r="PF60" s="66"/>
      <c r="PG60" s="66"/>
      <c r="PH60" s="66"/>
      <c r="PI60" s="66"/>
      <c r="PJ60" s="66"/>
      <c r="PK60" s="66"/>
      <c r="PL60" s="66"/>
      <c r="PM60" s="66"/>
      <c r="PN60" s="66"/>
      <c r="PO60" s="66"/>
      <c r="PP60" s="66"/>
      <c r="PQ60" s="66"/>
      <c r="PR60" s="66"/>
      <c r="PS60" s="66"/>
      <c r="PT60" s="66"/>
      <c r="PU60" s="66"/>
      <c r="PV60" s="66"/>
      <c r="PW60" s="66"/>
      <c r="PX60" s="66"/>
      <c r="PY60" s="66"/>
      <c r="PZ60" s="66"/>
      <c r="QA60" s="66"/>
      <c r="QB60" s="66"/>
      <c r="QC60" s="66"/>
      <c r="QD60" s="66"/>
      <c r="QE60" s="66"/>
      <c r="QF60" s="66"/>
      <c r="QG60" s="66"/>
      <c r="QH60" s="66"/>
      <c r="QI60" s="66"/>
      <c r="QJ60" s="66"/>
      <c r="QK60" s="66"/>
      <c r="QL60" s="66"/>
      <c r="QM60" s="66"/>
      <c r="QN60" s="66"/>
      <c r="QO60" s="66"/>
      <c r="QP60" s="66"/>
      <c r="QQ60" s="66"/>
      <c r="QR60" s="66"/>
      <c r="QS60" s="66"/>
      <c r="QT60" s="66"/>
      <c r="QU60" s="66"/>
      <c r="QV60" s="66"/>
      <c r="QW60" s="66"/>
      <c r="QX60" s="66"/>
      <c r="QY60" s="66"/>
      <c r="QZ60" s="66"/>
      <c r="RA60" s="66"/>
      <c r="RB60" s="66"/>
      <c r="RC60" s="66"/>
      <c r="RD60" s="66"/>
      <c r="RE60" s="66"/>
      <c r="RF60" s="66"/>
      <c r="RG60" s="66"/>
      <c r="RH60" s="66"/>
      <c r="RI60" s="66"/>
      <c r="RJ60" s="66"/>
      <c r="RK60" s="66"/>
      <c r="RL60" s="66"/>
      <c r="RM60" s="66"/>
      <c r="RN60" s="66"/>
      <c r="RO60" s="66"/>
      <c r="RP60" s="66"/>
      <c r="RQ60" s="66"/>
      <c r="RR60" s="66"/>
      <c r="RS60" s="66"/>
      <c r="RT60" s="66"/>
      <c r="RU60" s="66"/>
      <c r="RV60" s="66"/>
      <c r="RW60" s="66"/>
      <c r="RX60" s="66"/>
      <c r="RY60" s="66"/>
      <c r="RZ60" s="66"/>
      <c r="SA60" s="66"/>
      <c r="SB60" s="66"/>
      <c r="SC60" s="66"/>
      <c r="SD60" s="66"/>
      <c r="SE60" s="66"/>
      <c r="SF60" s="66"/>
      <c r="SG60" s="66"/>
      <c r="SH60" s="66"/>
      <c r="SI60" s="66"/>
      <c r="SJ60" s="66"/>
      <c r="SK60" s="66"/>
      <c r="SL60" s="66"/>
      <c r="SM60" s="66"/>
      <c r="SN60" s="66"/>
      <c r="SO60" s="66"/>
      <c r="SP60" s="66"/>
      <c r="SQ60" s="66"/>
      <c r="SR60" s="66"/>
      <c r="SS60" s="66"/>
      <c r="ST60" s="66"/>
      <c r="SU60" s="66"/>
      <c r="SV60" s="66"/>
      <c r="SW60" s="66"/>
      <c r="SX60" s="66"/>
      <c r="SY60" s="66"/>
      <c r="SZ60" s="66"/>
      <c r="TA60" s="66"/>
      <c r="TB60" s="66"/>
      <c r="TC60" s="66"/>
      <c r="TD60" s="66"/>
      <c r="TE60" s="66"/>
      <c r="TF60" s="66"/>
      <c r="TG60" s="66"/>
      <c r="TH60" s="66"/>
      <c r="TI60" s="66"/>
      <c r="TJ60" s="66"/>
      <c r="TK60" s="66"/>
      <c r="TL60" s="66"/>
      <c r="TM60" s="66"/>
      <c r="TN60" s="66"/>
      <c r="TO60" s="66"/>
      <c r="TP60" s="66"/>
      <c r="TQ60" s="66"/>
      <c r="TR60" s="66"/>
      <c r="TS60" s="66"/>
      <c r="TT60" s="66"/>
      <c r="TU60" s="66"/>
      <c r="TV60" s="66"/>
      <c r="TW60" s="66"/>
      <c r="TX60" s="66"/>
      <c r="TY60" s="66"/>
      <c r="TZ60" s="66"/>
      <c r="UA60" s="66"/>
      <c r="UB60" s="66"/>
      <c r="UC60" s="66"/>
      <c r="UD60" s="66"/>
      <c r="UE60" s="66"/>
      <c r="UF60" s="66"/>
      <c r="UG60" s="66"/>
      <c r="UH60" s="66"/>
      <c r="UI60" s="66"/>
      <c r="UJ60" s="66"/>
      <c r="UK60" s="66"/>
      <c r="UL60" s="66"/>
      <c r="UM60" s="66"/>
      <c r="UN60" s="66"/>
      <c r="UO60" s="66"/>
      <c r="UP60" s="66"/>
      <c r="UQ60" s="66"/>
      <c r="UR60" s="66"/>
      <c r="US60" s="66"/>
      <c r="UT60" s="66"/>
      <c r="UU60" s="66"/>
      <c r="UV60" s="66"/>
      <c r="UW60" s="66"/>
      <c r="UX60" s="66"/>
      <c r="UY60" s="66"/>
      <c r="UZ60" s="66"/>
      <c r="VA60" s="66"/>
      <c r="VB60" s="66"/>
      <c r="VC60" s="66"/>
      <c r="VD60" s="66"/>
      <c r="VE60" s="66"/>
      <c r="VF60" s="66"/>
      <c r="VG60" s="66"/>
      <c r="VH60" s="66"/>
      <c r="VI60" s="66"/>
      <c r="VJ60" s="66"/>
      <c r="VK60" s="66"/>
      <c r="VL60" s="66"/>
      <c r="VM60" s="66"/>
      <c r="VN60" s="66"/>
      <c r="VO60" s="66"/>
      <c r="VP60" s="66"/>
      <c r="VQ60" s="66"/>
      <c r="VR60" s="66"/>
      <c r="VS60" s="66"/>
      <c r="VT60" s="66"/>
      <c r="VU60" s="66"/>
      <c r="VV60" s="66"/>
      <c r="VW60" s="66"/>
      <c r="VX60" s="66"/>
      <c r="VY60" s="66"/>
      <c r="VZ60" s="66"/>
      <c r="WA60" s="66"/>
      <c r="WB60" s="66"/>
      <c r="WC60" s="66"/>
      <c r="WD60" s="66"/>
      <c r="WE60" s="66"/>
      <c r="WF60" s="66"/>
      <c r="WG60" s="66"/>
      <c r="WH60" s="66"/>
      <c r="WI60" s="66"/>
      <c r="WJ60" s="66"/>
      <c r="WK60" s="66"/>
      <c r="WL60" s="66"/>
      <c r="WM60" s="66"/>
      <c r="WN60" s="66"/>
      <c r="WO60" s="66"/>
      <c r="WP60" s="66"/>
      <c r="WQ60" s="66"/>
      <c r="WR60" s="66"/>
      <c r="WS60" s="66"/>
      <c r="WT60" s="66"/>
      <c r="WU60" s="66"/>
      <c r="WV60" s="66"/>
      <c r="WW60" s="66"/>
      <c r="WX60" s="66"/>
      <c r="WY60" s="66"/>
      <c r="WZ60" s="66"/>
      <c r="XA60" s="66"/>
      <c r="XB60" s="66"/>
      <c r="XC60" s="66"/>
      <c r="XD60" s="66"/>
      <c r="XE60" s="66"/>
      <c r="XF60" s="66"/>
      <c r="XG60" s="66"/>
      <c r="XH60" s="66"/>
      <c r="XI60" s="66"/>
      <c r="XJ60" s="66"/>
      <c r="XK60" s="66"/>
      <c r="XL60" s="66"/>
      <c r="XM60" s="66"/>
      <c r="XN60" s="66"/>
      <c r="XO60" s="66"/>
      <c r="XP60" s="66"/>
      <c r="XQ60" s="66"/>
      <c r="XR60" s="66"/>
      <c r="XS60" s="66"/>
      <c r="XT60" s="66"/>
      <c r="XU60" s="66"/>
      <c r="XV60" s="66"/>
      <c r="XW60" s="66"/>
      <c r="XX60" s="66"/>
      <c r="XY60" s="66"/>
      <c r="XZ60" s="66"/>
      <c r="YA60" s="66"/>
      <c r="YB60" s="66"/>
      <c r="YC60" s="66"/>
      <c r="YD60" s="66"/>
      <c r="YE60" s="66"/>
      <c r="YF60" s="66"/>
      <c r="YG60" s="66"/>
      <c r="YH60" s="66"/>
      <c r="YI60" s="66"/>
      <c r="YJ60" s="66"/>
      <c r="YK60" s="66"/>
      <c r="YL60" s="66"/>
      <c r="YM60" s="66"/>
      <c r="YN60" s="66"/>
      <c r="YO60" s="66"/>
      <c r="YP60" s="66"/>
      <c r="YQ60" s="66"/>
      <c r="YR60" s="66"/>
      <c r="YS60" s="66"/>
      <c r="YT60" s="66"/>
      <c r="YU60" s="66"/>
      <c r="YV60" s="66"/>
      <c r="YW60" s="66"/>
      <c r="YX60" s="66"/>
      <c r="YY60" s="66"/>
      <c r="YZ60" s="66"/>
      <c r="ZA60" s="66"/>
      <c r="ZB60" s="66"/>
      <c r="ZC60" s="66"/>
      <c r="ZD60" s="66"/>
      <c r="ZE60" s="66"/>
      <c r="ZF60" s="66"/>
      <c r="ZG60" s="66"/>
      <c r="ZH60" s="66"/>
      <c r="ZI60" s="66"/>
      <c r="ZJ60" s="66"/>
      <c r="ZK60" s="66"/>
      <c r="ZL60" s="66"/>
      <c r="ZM60" s="66"/>
      <c r="ZN60" s="66"/>
      <c r="ZO60" s="66"/>
      <c r="ZP60" s="66"/>
      <c r="ZQ60" s="66"/>
      <c r="ZR60" s="66"/>
      <c r="ZS60" s="66"/>
      <c r="ZT60" s="66"/>
      <c r="ZU60" s="66"/>
      <c r="ZV60" s="66"/>
      <c r="ZW60" s="66"/>
      <c r="ZX60" s="66"/>
    </row>
    <row r="61" spans="1:700" s="20" customFormat="1" ht="15.75" x14ac:dyDescent="0.25">
      <c r="A61" s="70"/>
      <c r="B61" s="71"/>
      <c r="C61" s="71"/>
      <c r="D61" s="109"/>
      <c r="E61" s="111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  <c r="CH61" s="66"/>
      <c r="CI61" s="66"/>
      <c r="CJ61" s="66"/>
      <c r="CK61" s="66"/>
      <c r="CL61" s="66"/>
      <c r="CM61" s="66"/>
      <c r="CN61" s="66"/>
      <c r="CO61" s="66"/>
      <c r="CP61" s="66"/>
      <c r="CQ61" s="66"/>
      <c r="CR61" s="66"/>
      <c r="CS61" s="66"/>
      <c r="CT61" s="66"/>
      <c r="CU61" s="66"/>
      <c r="CV61" s="66"/>
      <c r="CW61" s="66"/>
      <c r="CX61" s="66"/>
      <c r="CY61" s="66"/>
      <c r="CZ61" s="66"/>
      <c r="DA61" s="66"/>
      <c r="DB61" s="66"/>
      <c r="DC61" s="66"/>
      <c r="DD61" s="66"/>
      <c r="DE61" s="66"/>
      <c r="DF61" s="66"/>
      <c r="DG61" s="66"/>
      <c r="DH61" s="66"/>
      <c r="DI61" s="66"/>
      <c r="DJ61" s="66"/>
      <c r="DK61" s="66"/>
      <c r="DL61" s="66"/>
      <c r="DM61" s="66"/>
      <c r="DN61" s="66"/>
      <c r="DO61" s="66"/>
      <c r="DP61" s="66"/>
      <c r="DQ61" s="66"/>
      <c r="DR61" s="66"/>
      <c r="DS61" s="66"/>
      <c r="DT61" s="66"/>
      <c r="DU61" s="66"/>
      <c r="DV61" s="66"/>
      <c r="DW61" s="66"/>
      <c r="DX61" s="66"/>
      <c r="DY61" s="66"/>
      <c r="DZ61" s="66"/>
      <c r="EA61" s="66"/>
      <c r="EB61" s="66"/>
      <c r="EC61" s="66"/>
      <c r="ED61" s="66"/>
      <c r="EE61" s="66"/>
      <c r="EF61" s="66"/>
      <c r="EG61" s="66"/>
      <c r="EH61" s="66"/>
      <c r="EI61" s="66"/>
      <c r="EJ61" s="66"/>
      <c r="EK61" s="66"/>
      <c r="EL61" s="66"/>
      <c r="EM61" s="66"/>
      <c r="EN61" s="66"/>
      <c r="EO61" s="66"/>
      <c r="EP61" s="66"/>
      <c r="EQ61" s="66"/>
      <c r="ER61" s="66"/>
      <c r="ES61" s="66"/>
      <c r="ET61" s="66"/>
      <c r="EU61" s="66"/>
      <c r="EV61" s="66"/>
      <c r="EW61" s="66"/>
      <c r="EX61" s="66"/>
      <c r="EY61" s="66"/>
      <c r="EZ61" s="66"/>
      <c r="FA61" s="66"/>
      <c r="FB61" s="66"/>
      <c r="FC61" s="66"/>
      <c r="FD61" s="66"/>
      <c r="FE61" s="66"/>
      <c r="FF61" s="66"/>
      <c r="FG61" s="66"/>
      <c r="FH61" s="66"/>
      <c r="FI61" s="66"/>
      <c r="FJ61" s="66"/>
      <c r="FK61" s="66"/>
      <c r="FL61" s="66"/>
      <c r="FM61" s="66"/>
      <c r="FN61" s="66"/>
      <c r="FO61" s="66"/>
      <c r="FP61" s="66"/>
      <c r="FQ61" s="66"/>
      <c r="FR61" s="66"/>
      <c r="FS61" s="66"/>
      <c r="FT61" s="66"/>
      <c r="FU61" s="66"/>
      <c r="FV61" s="66"/>
      <c r="FW61" s="66"/>
      <c r="FX61" s="66"/>
      <c r="FY61" s="66"/>
      <c r="FZ61" s="66"/>
      <c r="GA61" s="66"/>
      <c r="GB61" s="66"/>
      <c r="GC61" s="66"/>
      <c r="GD61" s="66"/>
      <c r="GE61" s="66"/>
      <c r="GF61" s="66"/>
      <c r="GG61" s="66"/>
      <c r="GH61" s="66"/>
      <c r="GI61" s="66"/>
      <c r="GJ61" s="66"/>
      <c r="GK61" s="66"/>
      <c r="GL61" s="66"/>
      <c r="GM61" s="66"/>
      <c r="GN61" s="66"/>
      <c r="GO61" s="66"/>
      <c r="GP61" s="66"/>
      <c r="GQ61" s="66"/>
      <c r="GR61" s="66"/>
      <c r="GS61" s="66"/>
      <c r="GT61" s="66"/>
      <c r="GU61" s="66"/>
      <c r="GV61" s="66"/>
      <c r="GW61" s="66"/>
      <c r="GX61" s="66"/>
      <c r="GY61" s="66"/>
      <c r="GZ61" s="66"/>
      <c r="HA61" s="66"/>
      <c r="HB61" s="66"/>
      <c r="HC61" s="66"/>
      <c r="HD61" s="66"/>
      <c r="HE61" s="66"/>
      <c r="HF61" s="66"/>
      <c r="HG61" s="66"/>
      <c r="HH61" s="66"/>
      <c r="HI61" s="66"/>
      <c r="HJ61" s="66"/>
      <c r="HK61" s="66"/>
      <c r="HL61" s="66"/>
      <c r="HM61" s="66"/>
      <c r="HN61" s="66"/>
      <c r="HO61" s="66"/>
      <c r="HP61" s="66"/>
      <c r="HQ61" s="66"/>
      <c r="HR61" s="66"/>
      <c r="HS61" s="66"/>
      <c r="HT61" s="66"/>
      <c r="HU61" s="66"/>
      <c r="HV61" s="66"/>
      <c r="HW61" s="66"/>
      <c r="HX61" s="66"/>
      <c r="HY61" s="66"/>
      <c r="HZ61" s="66"/>
      <c r="IA61" s="66"/>
      <c r="IB61" s="66"/>
      <c r="IC61" s="66"/>
      <c r="ID61" s="66"/>
      <c r="IE61" s="66"/>
      <c r="IF61" s="66"/>
      <c r="IG61" s="66"/>
      <c r="IH61" s="66"/>
      <c r="II61" s="66"/>
      <c r="IJ61" s="66"/>
      <c r="IK61" s="66"/>
      <c r="IL61" s="66"/>
      <c r="IM61" s="66"/>
      <c r="IN61" s="66"/>
      <c r="IO61" s="66"/>
      <c r="IP61" s="66"/>
      <c r="IQ61" s="66"/>
      <c r="IR61" s="66"/>
      <c r="IS61" s="66"/>
      <c r="IT61" s="66"/>
      <c r="IU61" s="66"/>
      <c r="IV61" s="66"/>
      <c r="IW61" s="66"/>
      <c r="IX61" s="66"/>
      <c r="IY61" s="66"/>
      <c r="IZ61" s="66"/>
      <c r="JA61" s="66"/>
      <c r="JB61" s="66"/>
      <c r="JC61" s="66"/>
      <c r="JD61" s="66"/>
      <c r="JE61" s="66"/>
      <c r="JF61" s="66"/>
      <c r="JG61" s="66"/>
      <c r="JH61" s="66"/>
      <c r="JI61" s="66"/>
      <c r="JJ61" s="66"/>
      <c r="JK61" s="66"/>
      <c r="JL61" s="66"/>
      <c r="JM61" s="66"/>
      <c r="JN61" s="66"/>
      <c r="JO61" s="66"/>
      <c r="JP61" s="66"/>
      <c r="JQ61" s="66"/>
      <c r="JR61" s="66"/>
      <c r="JS61" s="66"/>
      <c r="JT61" s="66"/>
      <c r="JU61" s="66"/>
      <c r="JV61" s="66"/>
      <c r="JW61" s="66"/>
      <c r="JX61" s="66"/>
      <c r="JY61" s="66"/>
      <c r="JZ61" s="66"/>
      <c r="KA61" s="66"/>
      <c r="KB61" s="66"/>
      <c r="KC61" s="66"/>
      <c r="KD61" s="66"/>
      <c r="KE61" s="66"/>
      <c r="KF61" s="66"/>
      <c r="KG61" s="66"/>
      <c r="KH61" s="66"/>
      <c r="KI61" s="66"/>
      <c r="KJ61" s="66"/>
      <c r="KK61" s="66"/>
      <c r="KL61" s="66"/>
      <c r="KM61" s="66"/>
      <c r="KN61" s="66"/>
      <c r="KO61" s="66"/>
      <c r="KP61" s="66"/>
      <c r="KQ61" s="66"/>
      <c r="KR61" s="66"/>
      <c r="KS61" s="66"/>
      <c r="KT61" s="66"/>
      <c r="KU61" s="66"/>
      <c r="KV61" s="66"/>
      <c r="KW61" s="66"/>
      <c r="KX61" s="66"/>
      <c r="KY61" s="66"/>
      <c r="KZ61" s="66"/>
      <c r="LA61" s="66"/>
      <c r="LB61" s="66"/>
      <c r="LC61" s="66"/>
      <c r="LD61" s="66"/>
      <c r="LE61" s="66"/>
      <c r="LF61" s="66"/>
      <c r="LG61" s="66"/>
      <c r="LH61" s="66"/>
      <c r="LI61" s="66"/>
      <c r="LJ61" s="66"/>
      <c r="LK61" s="66"/>
      <c r="LL61" s="66"/>
      <c r="LM61" s="66"/>
      <c r="LN61" s="66"/>
      <c r="LO61" s="66"/>
      <c r="LP61" s="66"/>
      <c r="LQ61" s="66"/>
      <c r="LR61" s="66"/>
      <c r="LS61" s="66"/>
      <c r="LT61" s="66"/>
      <c r="LU61" s="66"/>
      <c r="LV61" s="66"/>
      <c r="LW61" s="66"/>
      <c r="LX61" s="66"/>
      <c r="LY61" s="66"/>
      <c r="LZ61" s="66"/>
      <c r="MA61" s="66"/>
      <c r="MB61" s="66"/>
      <c r="MC61" s="66"/>
      <c r="MD61" s="66"/>
      <c r="ME61" s="66"/>
      <c r="MF61" s="66"/>
      <c r="MG61" s="66"/>
      <c r="MH61" s="66"/>
      <c r="MI61" s="66"/>
      <c r="MJ61" s="66"/>
      <c r="MK61" s="66"/>
      <c r="ML61" s="66"/>
      <c r="MM61" s="66"/>
      <c r="MN61" s="66"/>
      <c r="MO61" s="66"/>
      <c r="MP61" s="66"/>
      <c r="MQ61" s="66"/>
      <c r="MR61" s="66"/>
      <c r="MS61" s="66"/>
      <c r="MT61" s="66"/>
      <c r="MU61" s="66"/>
      <c r="MV61" s="66"/>
      <c r="MW61" s="66"/>
      <c r="MX61" s="66"/>
      <c r="MY61" s="66"/>
      <c r="MZ61" s="66"/>
      <c r="NA61" s="66"/>
      <c r="NB61" s="66"/>
      <c r="NC61" s="66"/>
      <c r="ND61" s="66"/>
      <c r="NE61" s="66"/>
      <c r="NF61" s="66"/>
      <c r="NG61" s="66"/>
      <c r="NH61" s="66"/>
      <c r="NI61" s="66"/>
      <c r="NJ61" s="66"/>
      <c r="NK61" s="66"/>
      <c r="NL61" s="66"/>
      <c r="NM61" s="66"/>
      <c r="NN61" s="66"/>
      <c r="NO61" s="66"/>
      <c r="NP61" s="66"/>
      <c r="NQ61" s="66"/>
      <c r="NR61" s="66"/>
      <c r="NS61" s="66"/>
      <c r="NT61" s="66"/>
      <c r="NU61" s="66"/>
      <c r="NV61" s="66"/>
      <c r="NW61" s="66"/>
      <c r="NX61" s="66"/>
      <c r="NY61" s="66"/>
      <c r="NZ61" s="66"/>
      <c r="OA61" s="66"/>
      <c r="OB61" s="66"/>
      <c r="OC61" s="66"/>
      <c r="OD61" s="66"/>
      <c r="OE61" s="66"/>
      <c r="OF61" s="66"/>
      <c r="OG61" s="66"/>
      <c r="OH61" s="66"/>
      <c r="OI61" s="66"/>
      <c r="OJ61" s="66"/>
      <c r="OK61" s="66"/>
      <c r="OL61" s="66"/>
      <c r="OM61" s="66"/>
      <c r="ON61" s="66"/>
      <c r="OO61" s="66"/>
      <c r="OP61" s="66"/>
      <c r="OQ61" s="66"/>
      <c r="OR61" s="66"/>
      <c r="OS61" s="66"/>
      <c r="OT61" s="66"/>
      <c r="OU61" s="66"/>
      <c r="OV61" s="66"/>
      <c r="OW61" s="66"/>
      <c r="OX61" s="66"/>
      <c r="OY61" s="66"/>
      <c r="OZ61" s="66"/>
      <c r="PA61" s="66"/>
      <c r="PB61" s="66"/>
      <c r="PC61" s="66"/>
      <c r="PD61" s="66"/>
      <c r="PE61" s="66"/>
      <c r="PF61" s="66"/>
      <c r="PG61" s="66"/>
      <c r="PH61" s="66"/>
      <c r="PI61" s="66"/>
      <c r="PJ61" s="66"/>
      <c r="PK61" s="66"/>
      <c r="PL61" s="66"/>
      <c r="PM61" s="66"/>
      <c r="PN61" s="66"/>
      <c r="PO61" s="66"/>
      <c r="PP61" s="66"/>
      <c r="PQ61" s="66"/>
      <c r="PR61" s="66"/>
      <c r="PS61" s="66"/>
      <c r="PT61" s="66"/>
      <c r="PU61" s="66"/>
      <c r="PV61" s="66"/>
      <c r="PW61" s="66"/>
      <c r="PX61" s="66"/>
      <c r="PY61" s="66"/>
      <c r="PZ61" s="66"/>
      <c r="QA61" s="66"/>
      <c r="QB61" s="66"/>
      <c r="QC61" s="66"/>
      <c r="QD61" s="66"/>
      <c r="QE61" s="66"/>
      <c r="QF61" s="66"/>
      <c r="QG61" s="66"/>
      <c r="QH61" s="66"/>
      <c r="QI61" s="66"/>
      <c r="QJ61" s="66"/>
      <c r="QK61" s="66"/>
      <c r="QL61" s="66"/>
      <c r="QM61" s="66"/>
      <c r="QN61" s="66"/>
      <c r="QO61" s="66"/>
      <c r="QP61" s="66"/>
      <c r="QQ61" s="66"/>
      <c r="QR61" s="66"/>
      <c r="QS61" s="66"/>
      <c r="QT61" s="66"/>
      <c r="QU61" s="66"/>
      <c r="QV61" s="66"/>
      <c r="QW61" s="66"/>
      <c r="QX61" s="66"/>
      <c r="QY61" s="66"/>
      <c r="QZ61" s="66"/>
      <c r="RA61" s="66"/>
      <c r="RB61" s="66"/>
      <c r="RC61" s="66"/>
      <c r="RD61" s="66"/>
      <c r="RE61" s="66"/>
      <c r="RF61" s="66"/>
      <c r="RG61" s="66"/>
      <c r="RH61" s="66"/>
      <c r="RI61" s="66"/>
      <c r="RJ61" s="66"/>
      <c r="RK61" s="66"/>
      <c r="RL61" s="66"/>
      <c r="RM61" s="66"/>
      <c r="RN61" s="66"/>
      <c r="RO61" s="66"/>
      <c r="RP61" s="66"/>
      <c r="RQ61" s="66"/>
      <c r="RR61" s="66"/>
      <c r="RS61" s="66"/>
      <c r="RT61" s="66"/>
      <c r="RU61" s="66"/>
      <c r="RV61" s="66"/>
      <c r="RW61" s="66"/>
      <c r="RX61" s="66"/>
      <c r="RY61" s="66"/>
      <c r="RZ61" s="66"/>
      <c r="SA61" s="66"/>
      <c r="SB61" s="66"/>
      <c r="SC61" s="66"/>
      <c r="SD61" s="66"/>
      <c r="SE61" s="66"/>
      <c r="SF61" s="66"/>
      <c r="SG61" s="66"/>
      <c r="SH61" s="66"/>
      <c r="SI61" s="66"/>
      <c r="SJ61" s="66"/>
      <c r="SK61" s="66"/>
      <c r="SL61" s="66"/>
      <c r="SM61" s="66"/>
      <c r="SN61" s="66"/>
      <c r="SO61" s="66"/>
      <c r="SP61" s="66"/>
      <c r="SQ61" s="66"/>
      <c r="SR61" s="66"/>
      <c r="SS61" s="66"/>
      <c r="ST61" s="66"/>
      <c r="SU61" s="66"/>
      <c r="SV61" s="66"/>
      <c r="SW61" s="66"/>
      <c r="SX61" s="66"/>
      <c r="SY61" s="66"/>
      <c r="SZ61" s="66"/>
      <c r="TA61" s="66"/>
      <c r="TB61" s="66"/>
      <c r="TC61" s="66"/>
      <c r="TD61" s="66"/>
      <c r="TE61" s="66"/>
      <c r="TF61" s="66"/>
      <c r="TG61" s="66"/>
      <c r="TH61" s="66"/>
      <c r="TI61" s="66"/>
      <c r="TJ61" s="66"/>
      <c r="TK61" s="66"/>
      <c r="TL61" s="66"/>
      <c r="TM61" s="66"/>
      <c r="TN61" s="66"/>
      <c r="TO61" s="66"/>
      <c r="TP61" s="66"/>
      <c r="TQ61" s="66"/>
      <c r="TR61" s="66"/>
      <c r="TS61" s="66"/>
      <c r="TT61" s="66"/>
      <c r="TU61" s="66"/>
      <c r="TV61" s="66"/>
      <c r="TW61" s="66"/>
      <c r="TX61" s="66"/>
      <c r="TY61" s="66"/>
      <c r="TZ61" s="66"/>
      <c r="UA61" s="66"/>
      <c r="UB61" s="66"/>
      <c r="UC61" s="66"/>
      <c r="UD61" s="66"/>
      <c r="UE61" s="66"/>
      <c r="UF61" s="66"/>
      <c r="UG61" s="66"/>
      <c r="UH61" s="66"/>
      <c r="UI61" s="66"/>
      <c r="UJ61" s="66"/>
      <c r="UK61" s="66"/>
      <c r="UL61" s="66"/>
      <c r="UM61" s="66"/>
      <c r="UN61" s="66"/>
      <c r="UO61" s="66"/>
      <c r="UP61" s="66"/>
      <c r="UQ61" s="66"/>
      <c r="UR61" s="66"/>
      <c r="US61" s="66"/>
      <c r="UT61" s="66"/>
      <c r="UU61" s="66"/>
      <c r="UV61" s="66"/>
      <c r="UW61" s="66"/>
      <c r="UX61" s="66"/>
      <c r="UY61" s="66"/>
      <c r="UZ61" s="66"/>
      <c r="VA61" s="66"/>
      <c r="VB61" s="66"/>
      <c r="VC61" s="66"/>
      <c r="VD61" s="66"/>
      <c r="VE61" s="66"/>
      <c r="VF61" s="66"/>
      <c r="VG61" s="66"/>
      <c r="VH61" s="66"/>
      <c r="VI61" s="66"/>
      <c r="VJ61" s="66"/>
      <c r="VK61" s="66"/>
      <c r="VL61" s="66"/>
      <c r="VM61" s="66"/>
      <c r="VN61" s="66"/>
      <c r="VO61" s="66"/>
      <c r="VP61" s="66"/>
      <c r="VQ61" s="66"/>
      <c r="VR61" s="66"/>
      <c r="VS61" s="66"/>
      <c r="VT61" s="66"/>
      <c r="VU61" s="66"/>
      <c r="VV61" s="66"/>
      <c r="VW61" s="66"/>
      <c r="VX61" s="66"/>
      <c r="VY61" s="66"/>
      <c r="VZ61" s="66"/>
      <c r="WA61" s="66"/>
      <c r="WB61" s="66"/>
      <c r="WC61" s="66"/>
      <c r="WD61" s="66"/>
      <c r="WE61" s="66"/>
      <c r="WF61" s="66"/>
      <c r="WG61" s="66"/>
      <c r="WH61" s="66"/>
      <c r="WI61" s="66"/>
      <c r="WJ61" s="66"/>
      <c r="WK61" s="66"/>
      <c r="WL61" s="66"/>
      <c r="WM61" s="66"/>
      <c r="WN61" s="66"/>
      <c r="WO61" s="66"/>
      <c r="WP61" s="66"/>
      <c r="WQ61" s="66"/>
      <c r="WR61" s="66"/>
      <c r="WS61" s="66"/>
      <c r="WT61" s="66"/>
      <c r="WU61" s="66"/>
      <c r="WV61" s="66"/>
      <c r="WW61" s="66"/>
      <c r="WX61" s="66"/>
      <c r="WY61" s="66"/>
      <c r="WZ61" s="66"/>
      <c r="XA61" s="66"/>
      <c r="XB61" s="66"/>
      <c r="XC61" s="66"/>
      <c r="XD61" s="66"/>
      <c r="XE61" s="66"/>
      <c r="XF61" s="66"/>
      <c r="XG61" s="66"/>
      <c r="XH61" s="66"/>
      <c r="XI61" s="66"/>
      <c r="XJ61" s="66"/>
      <c r="XK61" s="66"/>
      <c r="XL61" s="66"/>
      <c r="XM61" s="66"/>
      <c r="XN61" s="66"/>
      <c r="XO61" s="66"/>
      <c r="XP61" s="66"/>
      <c r="XQ61" s="66"/>
      <c r="XR61" s="66"/>
      <c r="XS61" s="66"/>
      <c r="XT61" s="66"/>
      <c r="XU61" s="66"/>
      <c r="XV61" s="66"/>
      <c r="XW61" s="66"/>
      <c r="XX61" s="66"/>
      <c r="XY61" s="66"/>
      <c r="XZ61" s="66"/>
      <c r="YA61" s="66"/>
      <c r="YB61" s="66"/>
      <c r="YC61" s="66"/>
      <c r="YD61" s="66"/>
      <c r="YE61" s="66"/>
      <c r="YF61" s="66"/>
      <c r="YG61" s="66"/>
      <c r="YH61" s="66"/>
      <c r="YI61" s="66"/>
      <c r="YJ61" s="66"/>
      <c r="YK61" s="66"/>
      <c r="YL61" s="66"/>
      <c r="YM61" s="66"/>
      <c r="YN61" s="66"/>
      <c r="YO61" s="66"/>
      <c r="YP61" s="66"/>
      <c r="YQ61" s="66"/>
      <c r="YR61" s="66"/>
      <c r="YS61" s="66"/>
      <c r="YT61" s="66"/>
      <c r="YU61" s="66"/>
      <c r="YV61" s="66"/>
      <c r="YW61" s="66"/>
      <c r="YX61" s="66"/>
      <c r="YY61" s="66"/>
      <c r="YZ61" s="66"/>
      <c r="ZA61" s="66"/>
      <c r="ZB61" s="66"/>
      <c r="ZC61" s="66"/>
      <c r="ZD61" s="66"/>
      <c r="ZE61" s="66"/>
      <c r="ZF61" s="66"/>
      <c r="ZG61" s="66"/>
      <c r="ZH61" s="66"/>
      <c r="ZI61" s="66"/>
      <c r="ZJ61" s="66"/>
      <c r="ZK61" s="66"/>
      <c r="ZL61" s="66"/>
      <c r="ZM61" s="66"/>
      <c r="ZN61" s="66"/>
      <c r="ZO61" s="66"/>
      <c r="ZP61" s="66"/>
      <c r="ZQ61" s="66"/>
      <c r="ZR61" s="66"/>
      <c r="ZS61" s="66"/>
      <c r="ZT61" s="66"/>
      <c r="ZU61" s="66"/>
      <c r="ZV61" s="66"/>
      <c r="ZW61" s="66"/>
      <c r="ZX61" s="66"/>
    </row>
    <row r="62" spans="1:700" s="20" customFormat="1" ht="15.75" x14ac:dyDescent="0.25">
      <c r="A62" s="137"/>
      <c r="B62" s="138"/>
      <c r="C62" s="138"/>
      <c r="D62" s="139"/>
      <c r="E62" s="129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  <c r="CH62" s="66"/>
      <c r="CI62" s="66"/>
      <c r="CJ62" s="66"/>
      <c r="CK62" s="66"/>
      <c r="CL62" s="66"/>
      <c r="CM62" s="66"/>
      <c r="CN62" s="66"/>
      <c r="CO62" s="66"/>
      <c r="CP62" s="66"/>
      <c r="CQ62" s="66"/>
      <c r="CR62" s="66"/>
      <c r="CS62" s="66"/>
      <c r="CT62" s="66"/>
      <c r="CU62" s="66"/>
      <c r="CV62" s="66"/>
      <c r="CW62" s="66"/>
      <c r="CX62" s="66"/>
      <c r="CY62" s="66"/>
      <c r="CZ62" s="66"/>
      <c r="DA62" s="66"/>
      <c r="DB62" s="66"/>
      <c r="DC62" s="66"/>
      <c r="DD62" s="66"/>
      <c r="DE62" s="66"/>
      <c r="DF62" s="66"/>
      <c r="DG62" s="66"/>
      <c r="DH62" s="66"/>
      <c r="DI62" s="66"/>
      <c r="DJ62" s="66"/>
      <c r="DK62" s="66"/>
      <c r="DL62" s="66"/>
      <c r="DM62" s="66"/>
      <c r="DN62" s="66"/>
      <c r="DO62" s="66"/>
      <c r="DP62" s="66"/>
      <c r="DQ62" s="66"/>
      <c r="DR62" s="66"/>
      <c r="DS62" s="66"/>
      <c r="DT62" s="66"/>
      <c r="DU62" s="66"/>
      <c r="DV62" s="66"/>
      <c r="DW62" s="66"/>
      <c r="DX62" s="66"/>
      <c r="DY62" s="66"/>
      <c r="DZ62" s="66"/>
      <c r="EA62" s="66"/>
      <c r="EB62" s="66"/>
      <c r="EC62" s="66"/>
      <c r="ED62" s="66"/>
      <c r="EE62" s="66"/>
      <c r="EF62" s="66"/>
      <c r="EG62" s="66"/>
      <c r="EH62" s="66"/>
      <c r="EI62" s="66"/>
      <c r="EJ62" s="66"/>
      <c r="EK62" s="66"/>
      <c r="EL62" s="66"/>
      <c r="EM62" s="66"/>
      <c r="EN62" s="66"/>
      <c r="EO62" s="66"/>
      <c r="EP62" s="66"/>
      <c r="EQ62" s="66"/>
      <c r="ER62" s="66"/>
      <c r="ES62" s="66"/>
      <c r="ET62" s="66"/>
      <c r="EU62" s="66"/>
      <c r="EV62" s="66"/>
      <c r="EW62" s="66"/>
      <c r="EX62" s="66"/>
      <c r="EY62" s="66"/>
      <c r="EZ62" s="66"/>
      <c r="FA62" s="66"/>
      <c r="FB62" s="66"/>
      <c r="FC62" s="66"/>
      <c r="FD62" s="66"/>
      <c r="FE62" s="66"/>
      <c r="FF62" s="66"/>
      <c r="FG62" s="66"/>
      <c r="FH62" s="66"/>
      <c r="FI62" s="66"/>
      <c r="FJ62" s="66"/>
      <c r="FK62" s="66"/>
      <c r="FL62" s="66"/>
      <c r="FM62" s="66"/>
      <c r="FN62" s="66"/>
      <c r="FO62" s="66"/>
      <c r="FP62" s="66"/>
      <c r="FQ62" s="66"/>
      <c r="FR62" s="66"/>
      <c r="FS62" s="66"/>
      <c r="FT62" s="66"/>
      <c r="FU62" s="66"/>
      <c r="FV62" s="66"/>
      <c r="FW62" s="66"/>
      <c r="FX62" s="66"/>
      <c r="FY62" s="66"/>
      <c r="FZ62" s="66"/>
      <c r="GA62" s="66"/>
      <c r="GB62" s="66"/>
      <c r="GC62" s="66"/>
      <c r="GD62" s="66"/>
      <c r="GE62" s="66"/>
      <c r="GF62" s="66"/>
      <c r="GG62" s="66"/>
      <c r="GH62" s="66"/>
      <c r="GI62" s="66"/>
      <c r="GJ62" s="66"/>
      <c r="GK62" s="66"/>
      <c r="GL62" s="66"/>
      <c r="GM62" s="66"/>
      <c r="GN62" s="66"/>
      <c r="GO62" s="66"/>
      <c r="GP62" s="66"/>
      <c r="GQ62" s="66"/>
      <c r="GR62" s="66"/>
      <c r="GS62" s="66"/>
      <c r="GT62" s="66"/>
      <c r="GU62" s="66"/>
      <c r="GV62" s="66"/>
      <c r="GW62" s="66"/>
      <c r="GX62" s="66"/>
      <c r="GY62" s="66"/>
      <c r="GZ62" s="66"/>
      <c r="HA62" s="66"/>
      <c r="HB62" s="66"/>
      <c r="HC62" s="66"/>
      <c r="HD62" s="66"/>
      <c r="HE62" s="66"/>
      <c r="HF62" s="66"/>
      <c r="HG62" s="66"/>
      <c r="HH62" s="66"/>
      <c r="HI62" s="66"/>
      <c r="HJ62" s="66"/>
      <c r="HK62" s="66"/>
      <c r="HL62" s="66"/>
      <c r="HM62" s="66"/>
      <c r="HN62" s="66"/>
      <c r="HO62" s="66"/>
      <c r="HP62" s="66"/>
      <c r="HQ62" s="66"/>
      <c r="HR62" s="66"/>
      <c r="HS62" s="66"/>
      <c r="HT62" s="66"/>
      <c r="HU62" s="66"/>
      <c r="HV62" s="66"/>
      <c r="HW62" s="66"/>
      <c r="HX62" s="66"/>
      <c r="HY62" s="66"/>
      <c r="HZ62" s="66"/>
      <c r="IA62" s="66"/>
      <c r="IB62" s="66"/>
      <c r="IC62" s="66"/>
      <c r="ID62" s="66"/>
      <c r="IE62" s="66"/>
      <c r="IF62" s="66"/>
      <c r="IG62" s="66"/>
      <c r="IH62" s="66"/>
      <c r="II62" s="66"/>
      <c r="IJ62" s="66"/>
      <c r="IK62" s="66"/>
      <c r="IL62" s="66"/>
      <c r="IM62" s="66"/>
      <c r="IN62" s="66"/>
      <c r="IO62" s="66"/>
      <c r="IP62" s="66"/>
      <c r="IQ62" s="66"/>
      <c r="IR62" s="66"/>
      <c r="IS62" s="66"/>
      <c r="IT62" s="66"/>
      <c r="IU62" s="66"/>
      <c r="IV62" s="66"/>
      <c r="IW62" s="66"/>
      <c r="IX62" s="66"/>
      <c r="IY62" s="66"/>
      <c r="IZ62" s="66"/>
      <c r="JA62" s="66"/>
      <c r="JB62" s="66"/>
      <c r="JC62" s="66"/>
      <c r="JD62" s="66"/>
      <c r="JE62" s="66"/>
      <c r="JF62" s="66"/>
      <c r="JG62" s="66"/>
      <c r="JH62" s="66"/>
      <c r="JI62" s="66"/>
      <c r="JJ62" s="66"/>
      <c r="JK62" s="66"/>
      <c r="JL62" s="66"/>
      <c r="JM62" s="66"/>
      <c r="JN62" s="66"/>
      <c r="JO62" s="66"/>
      <c r="JP62" s="66"/>
      <c r="JQ62" s="66"/>
      <c r="JR62" s="66"/>
      <c r="JS62" s="66"/>
      <c r="JT62" s="66"/>
      <c r="JU62" s="66"/>
      <c r="JV62" s="66"/>
      <c r="JW62" s="66"/>
      <c r="JX62" s="66"/>
      <c r="JY62" s="66"/>
      <c r="JZ62" s="66"/>
      <c r="KA62" s="66"/>
      <c r="KB62" s="66"/>
      <c r="KC62" s="66"/>
      <c r="KD62" s="66"/>
      <c r="KE62" s="66"/>
      <c r="KF62" s="66"/>
      <c r="KG62" s="66"/>
      <c r="KH62" s="66"/>
      <c r="KI62" s="66"/>
      <c r="KJ62" s="66"/>
      <c r="KK62" s="66"/>
      <c r="KL62" s="66"/>
      <c r="KM62" s="66"/>
      <c r="KN62" s="66"/>
      <c r="KO62" s="66"/>
      <c r="KP62" s="66"/>
      <c r="KQ62" s="66"/>
      <c r="KR62" s="66"/>
      <c r="KS62" s="66"/>
      <c r="KT62" s="66"/>
      <c r="KU62" s="66"/>
      <c r="KV62" s="66"/>
      <c r="KW62" s="66"/>
      <c r="KX62" s="66"/>
      <c r="KY62" s="66"/>
      <c r="KZ62" s="66"/>
      <c r="LA62" s="66"/>
      <c r="LB62" s="66"/>
      <c r="LC62" s="66"/>
      <c r="LD62" s="66"/>
      <c r="LE62" s="66"/>
      <c r="LF62" s="66"/>
      <c r="LG62" s="66"/>
      <c r="LH62" s="66"/>
      <c r="LI62" s="66"/>
      <c r="LJ62" s="66"/>
      <c r="LK62" s="66"/>
      <c r="LL62" s="66"/>
      <c r="LM62" s="66"/>
      <c r="LN62" s="66"/>
      <c r="LO62" s="66"/>
      <c r="LP62" s="66"/>
      <c r="LQ62" s="66"/>
      <c r="LR62" s="66"/>
      <c r="LS62" s="66"/>
      <c r="LT62" s="66"/>
      <c r="LU62" s="66"/>
      <c r="LV62" s="66"/>
      <c r="LW62" s="66"/>
      <c r="LX62" s="66"/>
      <c r="LY62" s="66"/>
      <c r="LZ62" s="66"/>
      <c r="MA62" s="66"/>
      <c r="MB62" s="66"/>
      <c r="MC62" s="66"/>
      <c r="MD62" s="66"/>
      <c r="ME62" s="66"/>
      <c r="MF62" s="66"/>
      <c r="MG62" s="66"/>
      <c r="MH62" s="66"/>
      <c r="MI62" s="66"/>
      <c r="MJ62" s="66"/>
      <c r="MK62" s="66"/>
      <c r="ML62" s="66"/>
      <c r="MM62" s="66"/>
      <c r="MN62" s="66"/>
      <c r="MO62" s="66"/>
      <c r="MP62" s="66"/>
      <c r="MQ62" s="66"/>
      <c r="MR62" s="66"/>
      <c r="MS62" s="66"/>
      <c r="MT62" s="66"/>
      <c r="MU62" s="66"/>
      <c r="MV62" s="66"/>
      <c r="MW62" s="66"/>
      <c r="MX62" s="66"/>
      <c r="MY62" s="66"/>
      <c r="MZ62" s="66"/>
      <c r="NA62" s="66"/>
      <c r="NB62" s="66"/>
      <c r="NC62" s="66"/>
      <c r="ND62" s="66"/>
      <c r="NE62" s="66"/>
      <c r="NF62" s="66"/>
      <c r="NG62" s="66"/>
      <c r="NH62" s="66"/>
      <c r="NI62" s="66"/>
      <c r="NJ62" s="66"/>
      <c r="NK62" s="66"/>
      <c r="NL62" s="66"/>
      <c r="NM62" s="66"/>
      <c r="NN62" s="66"/>
      <c r="NO62" s="66"/>
      <c r="NP62" s="66"/>
      <c r="NQ62" s="66"/>
      <c r="NR62" s="66"/>
      <c r="NS62" s="66"/>
      <c r="NT62" s="66"/>
      <c r="NU62" s="66"/>
      <c r="NV62" s="66"/>
      <c r="NW62" s="66"/>
      <c r="NX62" s="66"/>
      <c r="NY62" s="66"/>
      <c r="NZ62" s="66"/>
      <c r="OA62" s="66"/>
      <c r="OB62" s="66"/>
      <c r="OC62" s="66"/>
      <c r="OD62" s="66"/>
      <c r="OE62" s="66"/>
      <c r="OF62" s="66"/>
      <c r="OG62" s="66"/>
      <c r="OH62" s="66"/>
      <c r="OI62" s="66"/>
      <c r="OJ62" s="66"/>
      <c r="OK62" s="66"/>
      <c r="OL62" s="66"/>
      <c r="OM62" s="66"/>
      <c r="ON62" s="66"/>
      <c r="OO62" s="66"/>
      <c r="OP62" s="66"/>
      <c r="OQ62" s="66"/>
      <c r="OR62" s="66"/>
      <c r="OS62" s="66"/>
      <c r="OT62" s="66"/>
      <c r="OU62" s="66"/>
      <c r="OV62" s="66"/>
      <c r="OW62" s="66"/>
      <c r="OX62" s="66"/>
      <c r="OY62" s="66"/>
      <c r="OZ62" s="66"/>
      <c r="PA62" s="66"/>
      <c r="PB62" s="66"/>
      <c r="PC62" s="66"/>
      <c r="PD62" s="66"/>
      <c r="PE62" s="66"/>
      <c r="PF62" s="66"/>
      <c r="PG62" s="66"/>
      <c r="PH62" s="66"/>
      <c r="PI62" s="66"/>
      <c r="PJ62" s="66"/>
      <c r="PK62" s="66"/>
      <c r="PL62" s="66"/>
      <c r="PM62" s="66"/>
      <c r="PN62" s="66"/>
      <c r="PO62" s="66"/>
      <c r="PP62" s="66"/>
      <c r="PQ62" s="66"/>
      <c r="PR62" s="66"/>
      <c r="PS62" s="66"/>
      <c r="PT62" s="66"/>
      <c r="PU62" s="66"/>
      <c r="PV62" s="66"/>
      <c r="PW62" s="66"/>
      <c r="PX62" s="66"/>
      <c r="PY62" s="66"/>
      <c r="PZ62" s="66"/>
      <c r="QA62" s="66"/>
      <c r="QB62" s="66"/>
      <c r="QC62" s="66"/>
      <c r="QD62" s="66"/>
      <c r="QE62" s="66"/>
      <c r="QF62" s="66"/>
      <c r="QG62" s="66"/>
      <c r="QH62" s="66"/>
      <c r="QI62" s="66"/>
      <c r="QJ62" s="66"/>
      <c r="QK62" s="66"/>
      <c r="QL62" s="66"/>
      <c r="QM62" s="66"/>
      <c r="QN62" s="66"/>
      <c r="QO62" s="66"/>
      <c r="QP62" s="66"/>
      <c r="QQ62" s="66"/>
      <c r="QR62" s="66"/>
      <c r="QS62" s="66"/>
      <c r="QT62" s="66"/>
      <c r="QU62" s="66"/>
      <c r="QV62" s="66"/>
      <c r="QW62" s="66"/>
      <c r="QX62" s="66"/>
      <c r="QY62" s="66"/>
      <c r="QZ62" s="66"/>
      <c r="RA62" s="66"/>
      <c r="RB62" s="66"/>
      <c r="RC62" s="66"/>
      <c r="RD62" s="66"/>
      <c r="RE62" s="66"/>
      <c r="RF62" s="66"/>
      <c r="RG62" s="66"/>
      <c r="RH62" s="66"/>
      <c r="RI62" s="66"/>
      <c r="RJ62" s="66"/>
      <c r="RK62" s="66"/>
      <c r="RL62" s="66"/>
      <c r="RM62" s="66"/>
      <c r="RN62" s="66"/>
      <c r="RO62" s="66"/>
      <c r="RP62" s="66"/>
      <c r="RQ62" s="66"/>
      <c r="RR62" s="66"/>
      <c r="RS62" s="66"/>
      <c r="RT62" s="66"/>
      <c r="RU62" s="66"/>
      <c r="RV62" s="66"/>
      <c r="RW62" s="66"/>
      <c r="RX62" s="66"/>
      <c r="RY62" s="66"/>
      <c r="RZ62" s="66"/>
      <c r="SA62" s="66"/>
      <c r="SB62" s="66"/>
      <c r="SC62" s="66"/>
      <c r="SD62" s="66"/>
      <c r="SE62" s="66"/>
      <c r="SF62" s="66"/>
      <c r="SG62" s="66"/>
      <c r="SH62" s="66"/>
      <c r="SI62" s="66"/>
      <c r="SJ62" s="66"/>
      <c r="SK62" s="66"/>
      <c r="SL62" s="66"/>
      <c r="SM62" s="66"/>
      <c r="SN62" s="66"/>
      <c r="SO62" s="66"/>
      <c r="SP62" s="66"/>
      <c r="SQ62" s="66"/>
      <c r="SR62" s="66"/>
      <c r="SS62" s="66"/>
      <c r="ST62" s="66"/>
      <c r="SU62" s="66"/>
      <c r="SV62" s="66"/>
      <c r="SW62" s="66"/>
      <c r="SX62" s="66"/>
      <c r="SY62" s="66"/>
      <c r="SZ62" s="66"/>
      <c r="TA62" s="66"/>
      <c r="TB62" s="66"/>
      <c r="TC62" s="66"/>
      <c r="TD62" s="66"/>
      <c r="TE62" s="66"/>
      <c r="TF62" s="66"/>
      <c r="TG62" s="66"/>
      <c r="TH62" s="66"/>
      <c r="TI62" s="66"/>
      <c r="TJ62" s="66"/>
      <c r="TK62" s="66"/>
      <c r="TL62" s="66"/>
      <c r="TM62" s="66"/>
      <c r="TN62" s="66"/>
      <c r="TO62" s="66"/>
      <c r="TP62" s="66"/>
      <c r="TQ62" s="66"/>
      <c r="TR62" s="66"/>
      <c r="TS62" s="66"/>
      <c r="TT62" s="66"/>
      <c r="TU62" s="66"/>
      <c r="TV62" s="66"/>
      <c r="TW62" s="66"/>
      <c r="TX62" s="66"/>
      <c r="TY62" s="66"/>
      <c r="TZ62" s="66"/>
      <c r="UA62" s="66"/>
      <c r="UB62" s="66"/>
      <c r="UC62" s="66"/>
      <c r="UD62" s="66"/>
      <c r="UE62" s="66"/>
      <c r="UF62" s="66"/>
      <c r="UG62" s="66"/>
      <c r="UH62" s="66"/>
      <c r="UI62" s="66"/>
      <c r="UJ62" s="66"/>
      <c r="UK62" s="66"/>
      <c r="UL62" s="66"/>
      <c r="UM62" s="66"/>
      <c r="UN62" s="66"/>
      <c r="UO62" s="66"/>
      <c r="UP62" s="66"/>
      <c r="UQ62" s="66"/>
      <c r="UR62" s="66"/>
      <c r="US62" s="66"/>
      <c r="UT62" s="66"/>
      <c r="UU62" s="66"/>
      <c r="UV62" s="66"/>
      <c r="UW62" s="66"/>
      <c r="UX62" s="66"/>
      <c r="UY62" s="66"/>
      <c r="UZ62" s="66"/>
      <c r="VA62" s="66"/>
      <c r="VB62" s="66"/>
      <c r="VC62" s="66"/>
      <c r="VD62" s="66"/>
      <c r="VE62" s="66"/>
      <c r="VF62" s="66"/>
      <c r="VG62" s="66"/>
      <c r="VH62" s="66"/>
      <c r="VI62" s="66"/>
      <c r="VJ62" s="66"/>
      <c r="VK62" s="66"/>
      <c r="VL62" s="66"/>
      <c r="VM62" s="66"/>
      <c r="VN62" s="66"/>
      <c r="VO62" s="66"/>
      <c r="VP62" s="66"/>
      <c r="VQ62" s="66"/>
      <c r="VR62" s="66"/>
      <c r="VS62" s="66"/>
      <c r="VT62" s="66"/>
      <c r="VU62" s="66"/>
      <c r="VV62" s="66"/>
      <c r="VW62" s="66"/>
      <c r="VX62" s="66"/>
      <c r="VY62" s="66"/>
      <c r="VZ62" s="66"/>
      <c r="WA62" s="66"/>
      <c r="WB62" s="66"/>
      <c r="WC62" s="66"/>
      <c r="WD62" s="66"/>
      <c r="WE62" s="66"/>
      <c r="WF62" s="66"/>
      <c r="WG62" s="66"/>
      <c r="WH62" s="66"/>
      <c r="WI62" s="66"/>
      <c r="WJ62" s="66"/>
      <c r="WK62" s="66"/>
      <c r="WL62" s="66"/>
      <c r="WM62" s="66"/>
      <c r="WN62" s="66"/>
      <c r="WO62" s="66"/>
      <c r="WP62" s="66"/>
      <c r="WQ62" s="66"/>
      <c r="WR62" s="66"/>
      <c r="WS62" s="66"/>
      <c r="WT62" s="66"/>
      <c r="WU62" s="66"/>
      <c r="WV62" s="66"/>
      <c r="WW62" s="66"/>
      <c r="WX62" s="66"/>
      <c r="WY62" s="66"/>
      <c r="WZ62" s="66"/>
      <c r="XA62" s="66"/>
      <c r="XB62" s="66"/>
      <c r="XC62" s="66"/>
      <c r="XD62" s="66"/>
      <c r="XE62" s="66"/>
      <c r="XF62" s="66"/>
      <c r="XG62" s="66"/>
      <c r="XH62" s="66"/>
      <c r="XI62" s="66"/>
      <c r="XJ62" s="66"/>
      <c r="XK62" s="66"/>
      <c r="XL62" s="66"/>
      <c r="XM62" s="66"/>
      <c r="XN62" s="66"/>
      <c r="XO62" s="66"/>
      <c r="XP62" s="66"/>
      <c r="XQ62" s="66"/>
      <c r="XR62" s="66"/>
      <c r="XS62" s="66"/>
      <c r="XT62" s="66"/>
      <c r="XU62" s="66"/>
      <c r="XV62" s="66"/>
      <c r="XW62" s="66"/>
      <c r="XX62" s="66"/>
      <c r="XY62" s="66"/>
      <c r="XZ62" s="66"/>
      <c r="YA62" s="66"/>
      <c r="YB62" s="66"/>
      <c r="YC62" s="66"/>
      <c r="YD62" s="66"/>
      <c r="YE62" s="66"/>
      <c r="YF62" s="66"/>
      <c r="YG62" s="66"/>
      <c r="YH62" s="66"/>
      <c r="YI62" s="66"/>
      <c r="YJ62" s="66"/>
      <c r="YK62" s="66"/>
      <c r="YL62" s="66"/>
      <c r="YM62" s="66"/>
      <c r="YN62" s="66"/>
      <c r="YO62" s="66"/>
      <c r="YP62" s="66"/>
      <c r="YQ62" s="66"/>
      <c r="YR62" s="66"/>
      <c r="YS62" s="66"/>
      <c r="YT62" s="66"/>
      <c r="YU62" s="66"/>
      <c r="YV62" s="66"/>
      <c r="YW62" s="66"/>
      <c r="YX62" s="66"/>
      <c r="YY62" s="66"/>
      <c r="YZ62" s="66"/>
      <c r="ZA62" s="66"/>
      <c r="ZB62" s="66"/>
      <c r="ZC62" s="66"/>
      <c r="ZD62" s="66"/>
      <c r="ZE62" s="66"/>
      <c r="ZF62" s="66"/>
      <c r="ZG62" s="66"/>
      <c r="ZH62" s="66"/>
      <c r="ZI62" s="66"/>
      <c r="ZJ62" s="66"/>
      <c r="ZK62" s="66"/>
      <c r="ZL62" s="66"/>
      <c r="ZM62" s="66"/>
      <c r="ZN62" s="66"/>
      <c r="ZO62" s="66"/>
      <c r="ZP62" s="66"/>
      <c r="ZQ62" s="66"/>
      <c r="ZR62" s="66"/>
      <c r="ZS62" s="66"/>
      <c r="ZT62" s="66"/>
      <c r="ZU62" s="66"/>
      <c r="ZV62" s="66"/>
      <c r="ZW62" s="66"/>
      <c r="ZX62" s="66"/>
    </row>
    <row r="63" spans="1:700" s="20" customFormat="1" ht="15.75" x14ac:dyDescent="0.25">
      <c r="A63" s="94"/>
      <c r="B63" s="95"/>
      <c r="C63" s="95"/>
      <c r="D63" s="118"/>
      <c r="E63" s="110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  <c r="CH63" s="66"/>
      <c r="CI63" s="66"/>
      <c r="CJ63" s="66"/>
      <c r="CK63" s="66"/>
      <c r="CL63" s="66"/>
      <c r="CM63" s="66"/>
      <c r="CN63" s="66"/>
      <c r="CO63" s="66"/>
      <c r="CP63" s="66"/>
      <c r="CQ63" s="66"/>
      <c r="CR63" s="66"/>
      <c r="CS63" s="66"/>
      <c r="CT63" s="66"/>
      <c r="CU63" s="66"/>
      <c r="CV63" s="66"/>
      <c r="CW63" s="66"/>
      <c r="CX63" s="66"/>
      <c r="CY63" s="66"/>
      <c r="CZ63" s="66"/>
      <c r="DA63" s="66"/>
      <c r="DB63" s="66"/>
      <c r="DC63" s="66"/>
      <c r="DD63" s="66"/>
      <c r="DE63" s="66"/>
      <c r="DF63" s="66"/>
      <c r="DG63" s="66"/>
      <c r="DH63" s="66"/>
      <c r="DI63" s="66"/>
      <c r="DJ63" s="66"/>
      <c r="DK63" s="66"/>
      <c r="DL63" s="66"/>
      <c r="DM63" s="66"/>
      <c r="DN63" s="66"/>
      <c r="DO63" s="66"/>
      <c r="DP63" s="66"/>
      <c r="DQ63" s="66"/>
      <c r="DR63" s="66"/>
      <c r="DS63" s="66"/>
      <c r="DT63" s="66"/>
      <c r="DU63" s="66"/>
      <c r="DV63" s="66"/>
      <c r="DW63" s="66"/>
      <c r="DX63" s="66"/>
      <c r="DY63" s="66"/>
      <c r="DZ63" s="66"/>
      <c r="EA63" s="66"/>
      <c r="EB63" s="66"/>
      <c r="EC63" s="66"/>
      <c r="ED63" s="66"/>
      <c r="EE63" s="66"/>
      <c r="EF63" s="66"/>
      <c r="EG63" s="66"/>
      <c r="EH63" s="66"/>
      <c r="EI63" s="66"/>
      <c r="EJ63" s="66"/>
      <c r="EK63" s="66"/>
      <c r="EL63" s="66"/>
      <c r="EM63" s="66"/>
      <c r="EN63" s="66"/>
      <c r="EO63" s="66"/>
      <c r="EP63" s="66"/>
      <c r="EQ63" s="66"/>
      <c r="ER63" s="66"/>
      <c r="ES63" s="66"/>
      <c r="ET63" s="66"/>
      <c r="EU63" s="66"/>
      <c r="EV63" s="66"/>
      <c r="EW63" s="66"/>
      <c r="EX63" s="66"/>
      <c r="EY63" s="66"/>
      <c r="EZ63" s="66"/>
      <c r="FA63" s="66"/>
      <c r="FB63" s="66"/>
      <c r="FC63" s="66"/>
      <c r="FD63" s="66"/>
      <c r="FE63" s="66"/>
      <c r="FF63" s="66"/>
      <c r="FG63" s="66"/>
      <c r="FH63" s="66"/>
      <c r="FI63" s="66"/>
      <c r="FJ63" s="66"/>
      <c r="FK63" s="66"/>
      <c r="FL63" s="66"/>
      <c r="FM63" s="66"/>
      <c r="FN63" s="66"/>
      <c r="FO63" s="66"/>
      <c r="FP63" s="66"/>
      <c r="FQ63" s="66"/>
      <c r="FR63" s="66"/>
      <c r="FS63" s="66"/>
      <c r="FT63" s="66"/>
      <c r="FU63" s="66"/>
      <c r="FV63" s="66"/>
      <c r="FW63" s="66"/>
      <c r="FX63" s="66"/>
      <c r="FY63" s="66"/>
      <c r="FZ63" s="66"/>
      <c r="GA63" s="66"/>
      <c r="GB63" s="66"/>
      <c r="GC63" s="66"/>
      <c r="GD63" s="66"/>
      <c r="GE63" s="66"/>
      <c r="GF63" s="66"/>
      <c r="GG63" s="66"/>
      <c r="GH63" s="66"/>
      <c r="GI63" s="66"/>
      <c r="GJ63" s="66"/>
      <c r="GK63" s="66"/>
      <c r="GL63" s="66"/>
      <c r="GM63" s="66"/>
      <c r="GN63" s="66"/>
      <c r="GO63" s="66"/>
      <c r="GP63" s="66"/>
      <c r="GQ63" s="66"/>
      <c r="GR63" s="66"/>
      <c r="GS63" s="66"/>
      <c r="GT63" s="66"/>
      <c r="GU63" s="66"/>
      <c r="GV63" s="66"/>
      <c r="GW63" s="66"/>
      <c r="GX63" s="66"/>
      <c r="GY63" s="66"/>
      <c r="GZ63" s="66"/>
      <c r="HA63" s="66"/>
      <c r="HB63" s="66"/>
      <c r="HC63" s="66"/>
      <c r="HD63" s="66"/>
      <c r="HE63" s="66"/>
      <c r="HF63" s="66"/>
      <c r="HG63" s="66"/>
      <c r="HH63" s="66"/>
      <c r="HI63" s="66"/>
      <c r="HJ63" s="66"/>
      <c r="HK63" s="66"/>
      <c r="HL63" s="66"/>
      <c r="HM63" s="66"/>
      <c r="HN63" s="66"/>
      <c r="HO63" s="66"/>
      <c r="HP63" s="66"/>
      <c r="HQ63" s="66"/>
      <c r="HR63" s="66"/>
      <c r="HS63" s="66"/>
      <c r="HT63" s="66"/>
      <c r="HU63" s="66"/>
      <c r="HV63" s="66"/>
      <c r="HW63" s="66"/>
      <c r="HX63" s="66"/>
      <c r="HY63" s="66"/>
      <c r="HZ63" s="66"/>
      <c r="IA63" s="66"/>
      <c r="IB63" s="66"/>
      <c r="IC63" s="66"/>
      <c r="ID63" s="66"/>
      <c r="IE63" s="66"/>
      <c r="IF63" s="66"/>
      <c r="IG63" s="66"/>
      <c r="IH63" s="66"/>
      <c r="II63" s="66"/>
      <c r="IJ63" s="66"/>
      <c r="IK63" s="66"/>
      <c r="IL63" s="66"/>
      <c r="IM63" s="66"/>
      <c r="IN63" s="66"/>
      <c r="IO63" s="66"/>
      <c r="IP63" s="66"/>
      <c r="IQ63" s="66"/>
      <c r="IR63" s="66"/>
      <c r="IS63" s="66"/>
      <c r="IT63" s="66"/>
      <c r="IU63" s="66"/>
      <c r="IV63" s="66"/>
      <c r="IW63" s="66"/>
      <c r="IX63" s="66"/>
      <c r="IY63" s="66"/>
      <c r="IZ63" s="66"/>
      <c r="JA63" s="66"/>
      <c r="JB63" s="66"/>
      <c r="JC63" s="66"/>
      <c r="JD63" s="66"/>
      <c r="JE63" s="66"/>
      <c r="JF63" s="66"/>
      <c r="JG63" s="66"/>
      <c r="JH63" s="66"/>
      <c r="JI63" s="66"/>
      <c r="JJ63" s="66"/>
      <c r="JK63" s="66"/>
      <c r="JL63" s="66"/>
      <c r="JM63" s="66"/>
      <c r="JN63" s="66"/>
      <c r="JO63" s="66"/>
      <c r="JP63" s="66"/>
      <c r="JQ63" s="66"/>
      <c r="JR63" s="66"/>
      <c r="JS63" s="66"/>
      <c r="JT63" s="66"/>
      <c r="JU63" s="66"/>
      <c r="JV63" s="66"/>
      <c r="JW63" s="66"/>
      <c r="JX63" s="66"/>
      <c r="JY63" s="66"/>
      <c r="JZ63" s="66"/>
      <c r="KA63" s="66"/>
      <c r="KB63" s="66"/>
      <c r="KC63" s="66"/>
      <c r="KD63" s="66"/>
      <c r="KE63" s="66"/>
      <c r="KF63" s="66"/>
      <c r="KG63" s="66"/>
      <c r="KH63" s="66"/>
      <c r="KI63" s="66"/>
      <c r="KJ63" s="66"/>
      <c r="KK63" s="66"/>
      <c r="KL63" s="66"/>
      <c r="KM63" s="66"/>
      <c r="KN63" s="66"/>
      <c r="KO63" s="66"/>
      <c r="KP63" s="66"/>
      <c r="KQ63" s="66"/>
      <c r="KR63" s="66"/>
      <c r="KS63" s="66"/>
      <c r="KT63" s="66"/>
      <c r="KU63" s="66"/>
      <c r="KV63" s="66"/>
      <c r="KW63" s="66"/>
      <c r="KX63" s="66"/>
      <c r="KY63" s="66"/>
      <c r="KZ63" s="66"/>
      <c r="LA63" s="66"/>
      <c r="LB63" s="66"/>
      <c r="LC63" s="66"/>
      <c r="LD63" s="66"/>
      <c r="LE63" s="66"/>
      <c r="LF63" s="66"/>
      <c r="LG63" s="66"/>
      <c r="LH63" s="66"/>
      <c r="LI63" s="66"/>
      <c r="LJ63" s="66"/>
      <c r="LK63" s="66"/>
      <c r="LL63" s="66"/>
      <c r="LM63" s="66"/>
      <c r="LN63" s="66"/>
      <c r="LO63" s="66"/>
      <c r="LP63" s="66"/>
      <c r="LQ63" s="66"/>
      <c r="LR63" s="66"/>
      <c r="LS63" s="66"/>
      <c r="LT63" s="66"/>
      <c r="LU63" s="66"/>
      <c r="LV63" s="66"/>
      <c r="LW63" s="66"/>
      <c r="LX63" s="66"/>
      <c r="LY63" s="66"/>
      <c r="LZ63" s="66"/>
      <c r="MA63" s="66"/>
      <c r="MB63" s="66"/>
      <c r="MC63" s="66"/>
      <c r="MD63" s="66"/>
      <c r="ME63" s="66"/>
      <c r="MF63" s="66"/>
      <c r="MG63" s="66"/>
      <c r="MH63" s="66"/>
      <c r="MI63" s="66"/>
      <c r="MJ63" s="66"/>
      <c r="MK63" s="66"/>
      <c r="ML63" s="66"/>
      <c r="MM63" s="66"/>
      <c r="MN63" s="66"/>
      <c r="MO63" s="66"/>
      <c r="MP63" s="66"/>
      <c r="MQ63" s="66"/>
      <c r="MR63" s="66"/>
      <c r="MS63" s="66"/>
      <c r="MT63" s="66"/>
      <c r="MU63" s="66"/>
      <c r="MV63" s="66"/>
      <c r="MW63" s="66"/>
      <c r="MX63" s="66"/>
      <c r="MY63" s="66"/>
      <c r="MZ63" s="66"/>
      <c r="NA63" s="66"/>
      <c r="NB63" s="66"/>
      <c r="NC63" s="66"/>
      <c r="ND63" s="66"/>
      <c r="NE63" s="66"/>
      <c r="NF63" s="66"/>
      <c r="NG63" s="66"/>
      <c r="NH63" s="66"/>
      <c r="NI63" s="66"/>
      <c r="NJ63" s="66"/>
      <c r="NK63" s="66"/>
      <c r="NL63" s="66"/>
      <c r="NM63" s="66"/>
      <c r="NN63" s="66"/>
      <c r="NO63" s="66"/>
      <c r="NP63" s="66"/>
      <c r="NQ63" s="66"/>
      <c r="NR63" s="66"/>
      <c r="NS63" s="66"/>
      <c r="NT63" s="66"/>
      <c r="NU63" s="66"/>
      <c r="NV63" s="66"/>
      <c r="NW63" s="66"/>
      <c r="NX63" s="66"/>
      <c r="NY63" s="66"/>
      <c r="NZ63" s="66"/>
      <c r="OA63" s="66"/>
      <c r="OB63" s="66"/>
      <c r="OC63" s="66"/>
      <c r="OD63" s="66"/>
      <c r="OE63" s="66"/>
      <c r="OF63" s="66"/>
      <c r="OG63" s="66"/>
      <c r="OH63" s="66"/>
      <c r="OI63" s="66"/>
      <c r="OJ63" s="66"/>
      <c r="OK63" s="66"/>
      <c r="OL63" s="66"/>
      <c r="OM63" s="66"/>
      <c r="ON63" s="66"/>
      <c r="OO63" s="66"/>
      <c r="OP63" s="66"/>
      <c r="OQ63" s="66"/>
      <c r="OR63" s="66"/>
      <c r="OS63" s="66"/>
      <c r="OT63" s="66"/>
      <c r="OU63" s="66"/>
      <c r="OV63" s="66"/>
      <c r="OW63" s="66"/>
      <c r="OX63" s="66"/>
      <c r="OY63" s="66"/>
      <c r="OZ63" s="66"/>
      <c r="PA63" s="66"/>
      <c r="PB63" s="66"/>
      <c r="PC63" s="66"/>
      <c r="PD63" s="66"/>
      <c r="PE63" s="66"/>
      <c r="PF63" s="66"/>
      <c r="PG63" s="66"/>
      <c r="PH63" s="66"/>
      <c r="PI63" s="66"/>
      <c r="PJ63" s="66"/>
      <c r="PK63" s="66"/>
      <c r="PL63" s="66"/>
      <c r="PM63" s="66"/>
      <c r="PN63" s="66"/>
      <c r="PO63" s="66"/>
      <c r="PP63" s="66"/>
      <c r="PQ63" s="66"/>
      <c r="PR63" s="66"/>
      <c r="PS63" s="66"/>
      <c r="PT63" s="66"/>
      <c r="PU63" s="66"/>
      <c r="PV63" s="66"/>
      <c r="PW63" s="66"/>
      <c r="PX63" s="66"/>
      <c r="PY63" s="66"/>
      <c r="PZ63" s="66"/>
      <c r="QA63" s="66"/>
      <c r="QB63" s="66"/>
      <c r="QC63" s="66"/>
      <c r="QD63" s="66"/>
      <c r="QE63" s="66"/>
      <c r="QF63" s="66"/>
      <c r="QG63" s="66"/>
      <c r="QH63" s="66"/>
      <c r="QI63" s="66"/>
      <c r="QJ63" s="66"/>
      <c r="QK63" s="66"/>
      <c r="QL63" s="66"/>
      <c r="QM63" s="66"/>
      <c r="QN63" s="66"/>
      <c r="QO63" s="66"/>
      <c r="QP63" s="66"/>
      <c r="QQ63" s="66"/>
      <c r="QR63" s="66"/>
      <c r="QS63" s="66"/>
      <c r="QT63" s="66"/>
      <c r="QU63" s="66"/>
      <c r="QV63" s="66"/>
      <c r="QW63" s="66"/>
      <c r="QX63" s="66"/>
      <c r="QY63" s="66"/>
      <c r="QZ63" s="66"/>
      <c r="RA63" s="66"/>
      <c r="RB63" s="66"/>
      <c r="RC63" s="66"/>
      <c r="RD63" s="66"/>
      <c r="RE63" s="66"/>
      <c r="RF63" s="66"/>
      <c r="RG63" s="66"/>
      <c r="RH63" s="66"/>
      <c r="RI63" s="66"/>
      <c r="RJ63" s="66"/>
      <c r="RK63" s="66"/>
      <c r="RL63" s="66"/>
      <c r="RM63" s="66"/>
      <c r="RN63" s="66"/>
      <c r="RO63" s="66"/>
      <c r="RP63" s="66"/>
      <c r="RQ63" s="66"/>
      <c r="RR63" s="66"/>
      <c r="RS63" s="66"/>
      <c r="RT63" s="66"/>
      <c r="RU63" s="66"/>
      <c r="RV63" s="66"/>
      <c r="RW63" s="66"/>
      <c r="RX63" s="66"/>
      <c r="RY63" s="66"/>
      <c r="RZ63" s="66"/>
      <c r="SA63" s="66"/>
      <c r="SB63" s="66"/>
      <c r="SC63" s="66"/>
      <c r="SD63" s="66"/>
      <c r="SE63" s="66"/>
      <c r="SF63" s="66"/>
      <c r="SG63" s="66"/>
      <c r="SH63" s="66"/>
      <c r="SI63" s="66"/>
      <c r="SJ63" s="66"/>
      <c r="SK63" s="66"/>
      <c r="SL63" s="66"/>
      <c r="SM63" s="66"/>
      <c r="SN63" s="66"/>
      <c r="SO63" s="66"/>
      <c r="SP63" s="66"/>
      <c r="SQ63" s="66"/>
      <c r="SR63" s="66"/>
      <c r="SS63" s="66"/>
      <c r="ST63" s="66"/>
      <c r="SU63" s="66"/>
      <c r="SV63" s="66"/>
      <c r="SW63" s="66"/>
      <c r="SX63" s="66"/>
      <c r="SY63" s="66"/>
      <c r="SZ63" s="66"/>
      <c r="TA63" s="66"/>
      <c r="TB63" s="66"/>
      <c r="TC63" s="66"/>
      <c r="TD63" s="66"/>
      <c r="TE63" s="66"/>
      <c r="TF63" s="66"/>
      <c r="TG63" s="66"/>
      <c r="TH63" s="66"/>
      <c r="TI63" s="66"/>
      <c r="TJ63" s="66"/>
      <c r="TK63" s="66"/>
      <c r="TL63" s="66"/>
      <c r="TM63" s="66"/>
      <c r="TN63" s="66"/>
      <c r="TO63" s="66"/>
      <c r="TP63" s="66"/>
      <c r="TQ63" s="66"/>
      <c r="TR63" s="66"/>
      <c r="TS63" s="66"/>
      <c r="TT63" s="66"/>
      <c r="TU63" s="66"/>
      <c r="TV63" s="66"/>
      <c r="TW63" s="66"/>
      <c r="TX63" s="66"/>
      <c r="TY63" s="66"/>
      <c r="TZ63" s="66"/>
      <c r="UA63" s="66"/>
      <c r="UB63" s="66"/>
      <c r="UC63" s="66"/>
      <c r="UD63" s="66"/>
      <c r="UE63" s="66"/>
      <c r="UF63" s="66"/>
      <c r="UG63" s="66"/>
      <c r="UH63" s="66"/>
      <c r="UI63" s="66"/>
      <c r="UJ63" s="66"/>
      <c r="UK63" s="66"/>
      <c r="UL63" s="66"/>
      <c r="UM63" s="66"/>
      <c r="UN63" s="66"/>
      <c r="UO63" s="66"/>
      <c r="UP63" s="66"/>
      <c r="UQ63" s="66"/>
      <c r="UR63" s="66"/>
      <c r="US63" s="66"/>
      <c r="UT63" s="66"/>
      <c r="UU63" s="66"/>
      <c r="UV63" s="66"/>
      <c r="UW63" s="66"/>
      <c r="UX63" s="66"/>
      <c r="UY63" s="66"/>
      <c r="UZ63" s="66"/>
      <c r="VA63" s="66"/>
      <c r="VB63" s="66"/>
      <c r="VC63" s="66"/>
      <c r="VD63" s="66"/>
      <c r="VE63" s="66"/>
      <c r="VF63" s="66"/>
      <c r="VG63" s="66"/>
      <c r="VH63" s="66"/>
      <c r="VI63" s="66"/>
      <c r="VJ63" s="66"/>
      <c r="VK63" s="66"/>
      <c r="VL63" s="66"/>
      <c r="VM63" s="66"/>
      <c r="VN63" s="66"/>
      <c r="VO63" s="66"/>
      <c r="VP63" s="66"/>
      <c r="VQ63" s="66"/>
      <c r="VR63" s="66"/>
      <c r="VS63" s="66"/>
      <c r="VT63" s="66"/>
      <c r="VU63" s="66"/>
      <c r="VV63" s="66"/>
      <c r="VW63" s="66"/>
      <c r="VX63" s="66"/>
      <c r="VY63" s="66"/>
      <c r="VZ63" s="66"/>
      <c r="WA63" s="66"/>
      <c r="WB63" s="66"/>
      <c r="WC63" s="66"/>
      <c r="WD63" s="66"/>
      <c r="WE63" s="66"/>
      <c r="WF63" s="66"/>
      <c r="WG63" s="66"/>
      <c r="WH63" s="66"/>
      <c r="WI63" s="66"/>
      <c r="WJ63" s="66"/>
      <c r="WK63" s="66"/>
      <c r="WL63" s="66"/>
      <c r="WM63" s="66"/>
      <c r="WN63" s="66"/>
      <c r="WO63" s="66"/>
      <c r="WP63" s="66"/>
      <c r="WQ63" s="66"/>
      <c r="WR63" s="66"/>
      <c r="WS63" s="66"/>
      <c r="WT63" s="66"/>
      <c r="WU63" s="66"/>
      <c r="WV63" s="66"/>
      <c r="WW63" s="66"/>
      <c r="WX63" s="66"/>
      <c r="WY63" s="66"/>
      <c r="WZ63" s="66"/>
      <c r="XA63" s="66"/>
      <c r="XB63" s="66"/>
      <c r="XC63" s="66"/>
      <c r="XD63" s="66"/>
      <c r="XE63" s="66"/>
      <c r="XF63" s="66"/>
      <c r="XG63" s="66"/>
      <c r="XH63" s="66"/>
      <c r="XI63" s="66"/>
      <c r="XJ63" s="66"/>
      <c r="XK63" s="66"/>
      <c r="XL63" s="66"/>
      <c r="XM63" s="66"/>
      <c r="XN63" s="66"/>
      <c r="XO63" s="66"/>
      <c r="XP63" s="66"/>
      <c r="XQ63" s="66"/>
      <c r="XR63" s="66"/>
      <c r="XS63" s="66"/>
      <c r="XT63" s="66"/>
      <c r="XU63" s="66"/>
      <c r="XV63" s="66"/>
      <c r="XW63" s="66"/>
      <c r="XX63" s="66"/>
      <c r="XY63" s="66"/>
      <c r="XZ63" s="66"/>
      <c r="YA63" s="66"/>
      <c r="YB63" s="66"/>
      <c r="YC63" s="66"/>
      <c r="YD63" s="66"/>
      <c r="YE63" s="66"/>
      <c r="YF63" s="66"/>
      <c r="YG63" s="66"/>
      <c r="YH63" s="66"/>
      <c r="YI63" s="66"/>
      <c r="YJ63" s="66"/>
      <c r="YK63" s="66"/>
      <c r="YL63" s="66"/>
      <c r="YM63" s="66"/>
      <c r="YN63" s="66"/>
      <c r="YO63" s="66"/>
      <c r="YP63" s="66"/>
      <c r="YQ63" s="66"/>
      <c r="YR63" s="66"/>
      <c r="YS63" s="66"/>
      <c r="YT63" s="66"/>
      <c r="YU63" s="66"/>
      <c r="YV63" s="66"/>
      <c r="YW63" s="66"/>
      <c r="YX63" s="66"/>
      <c r="YY63" s="66"/>
      <c r="YZ63" s="66"/>
      <c r="ZA63" s="66"/>
      <c r="ZB63" s="66"/>
      <c r="ZC63" s="66"/>
      <c r="ZD63" s="66"/>
      <c r="ZE63" s="66"/>
      <c r="ZF63" s="66"/>
      <c r="ZG63" s="66"/>
      <c r="ZH63" s="66"/>
      <c r="ZI63" s="66"/>
      <c r="ZJ63" s="66"/>
      <c r="ZK63" s="66"/>
      <c r="ZL63" s="66"/>
      <c r="ZM63" s="66"/>
      <c r="ZN63" s="66"/>
      <c r="ZO63" s="66"/>
      <c r="ZP63" s="66"/>
      <c r="ZQ63" s="66"/>
      <c r="ZR63" s="66"/>
      <c r="ZS63" s="66"/>
      <c r="ZT63" s="66"/>
      <c r="ZU63" s="66"/>
      <c r="ZV63" s="66"/>
      <c r="ZW63" s="66"/>
      <c r="ZX63" s="66"/>
    </row>
    <row r="64" spans="1:700" s="20" customFormat="1" ht="15.75" x14ac:dyDescent="0.25">
      <c r="A64" s="143"/>
      <c r="B64" s="144"/>
      <c r="C64" s="144"/>
      <c r="D64" s="145"/>
      <c r="E64" s="110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  <c r="CH64" s="66"/>
      <c r="CI64" s="66"/>
      <c r="CJ64" s="66"/>
      <c r="CK64" s="66"/>
      <c r="CL64" s="66"/>
      <c r="CM64" s="66"/>
      <c r="CN64" s="66"/>
      <c r="CO64" s="66"/>
      <c r="CP64" s="66"/>
      <c r="CQ64" s="66"/>
      <c r="CR64" s="66"/>
      <c r="CS64" s="66"/>
      <c r="CT64" s="66"/>
      <c r="CU64" s="66"/>
      <c r="CV64" s="66"/>
      <c r="CW64" s="66"/>
      <c r="CX64" s="66"/>
      <c r="CY64" s="66"/>
      <c r="CZ64" s="66"/>
      <c r="DA64" s="66"/>
      <c r="DB64" s="66"/>
      <c r="DC64" s="66"/>
      <c r="DD64" s="66"/>
      <c r="DE64" s="66"/>
      <c r="DF64" s="66"/>
      <c r="DG64" s="66"/>
      <c r="DH64" s="66"/>
      <c r="DI64" s="66"/>
      <c r="DJ64" s="66"/>
      <c r="DK64" s="66"/>
      <c r="DL64" s="66"/>
      <c r="DM64" s="66"/>
      <c r="DN64" s="66"/>
      <c r="DO64" s="66"/>
      <c r="DP64" s="66"/>
      <c r="DQ64" s="66"/>
      <c r="DR64" s="66"/>
      <c r="DS64" s="66"/>
      <c r="DT64" s="66"/>
      <c r="DU64" s="66"/>
      <c r="DV64" s="66"/>
      <c r="DW64" s="66"/>
      <c r="DX64" s="66"/>
      <c r="DY64" s="66"/>
      <c r="DZ64" s="66"/>
      <c r="EA64" s="66"/>
      <c r="EB64" s="66"/>
      <c r="EC64" s="66"/>
      <c r="ED64" s="66"/>
      <c r="EE64" s="66"/>
      <c r="EF64" s="66"/>
      <c r="EG64" s="66"/>
      <c r="EH64" s="66"/>
      <c r="EI64" s="66"/>
      <c r="EJ64" s="66"/>
      <c r="EK64" s="66"/>
      <c r="EL64" s="66"/>
      <c r="EM64" s="66"/>
      <c r="EN64" s="66"/>
      <c r="EO64" s="66"/>
      <c r="EP64" s="66"/>
      <c r="EQ64" s="66"/>
      <c r="ER64" s="66"/>
      <c r="ES64" s="66"/>
      <c r="ET64" s="66"/>
      <c r="EU64" s="66"/>
      <c r="EV64" s="66"/>
      <c r="EW64" s="66"/>
      <c r="EX64" s="66"/>
      <c r="EY64" s="66"/>
      <c r="EZ64" s="66"/>
      <c r="FA64" s="66"/>
      <c r="FB64" s="66"/>
      <c r="FC64" s="66"/>
      <c r="FD64" s="66"/>
      <c r="FE64" s="66"/>
      <c r="FF64" s="66"/>
      <c r="FG64" s="66"/>
      <c r="FH64" s="66"/>
      <c r="FI64" s="66"/>
      <c r="FJ64" s="66"/>
      <c r="FK64" s="66"/>
      <c r="FL64" s="66"/>
      <c r="FM64" s="66"/>
      <c r="FN64" s="66"/>
      <c r="FO64" s="66"/>
      <c r="FP64" s="66"/>
      <c r="FQ64" s="66"/>
      <c r="FR64" s="66"/>
      <c r="FS64" s="66"/>
      <c r="FT64" s="66"/>
      <c r="FU64" s="66"/>
      <c r="FV64" s="66"/>
      <c r="FW64" s="66"/>
      <c r="FX64" s="66"/>
      <c r="FY64" s="66"/>
      <c r="FZ64" s="66"/>
      <c r="GA64" s="66"/>
      <c r="GB64" s="66"/>
      <c r="GC64" s="66"/>
      <c r="GD64" s="66"/>
      <c r="GE64" s="66"/>
      <c r="GF64" s="66"/>
      <c r="GG64" s="66"/>
      <c r="GH64" s="66"/>
      <c r="GI64" s="66"/>
      <c r="GJ64" s="66"/>
      <c r="GK64" s="66"/>
      <c r="GL64" s="66"/>
      <c r="GM64" s="66"/>
      <c r="GN64" s="66"/>
      <c r="GO64" s="66"/>
      <c r="GP64" s="66"/>
      <c r="GQ64" s="66"/>
      <c r="GR64" s="66"/>
      <c r="GS64" s="66"/>
      <c r="GT64" s="66"/>
      <c r="GU64" s="66"/>
      <c r="GV64" s="66"/>
      <c r="GW64" s="66"/>
      <c r="GX64" s="66"/>
      <c r="GY64" s="66"/>
      <c r="GZ64" s="66"/>
      <c r="HA64" s="66"/>
      <c r="HB64" s="66"/>
      <c r="HC64" s="66"/>
      <c r="HD64" s="66"/>
      <c r="HE64" s="66"/>
      <c r="HF64" s="66"/>
      <c r="HG64" s="66"/>
      <c r="HH64" s="66"/>
      <c r="HI64" s="66"/>
      <c r="HJ64" s="66"/>
      <c r="HK64" s="66"/>
      <c r="HL64" s="66"/>
      <c r="HM64" s="66"/>
      <c r="HN64" s="66"/>
      <c r="HO64" s="66"/>
      <c r="HP64" s="66"/>
      <c r="HQ64" s="66"/>
      <c r="HR64" s="66"/>
      <c r="HS64" s="66"/>
      <c r="HT64" s="66"/>
      <c r="HU64" s="66"/>
      <c r="HV64" s="66"/>
      <c r="HW64" s="66"/>
      <c r="HX64" s="66"/>
      <c r="HY64" s="66"/>
      <c r="HZ64" s="66"/>
      <c r="IA64" s="66"/>
      <c r="IB64" s="66"/>
      <c r="IC64" s="66"/>
      <c r="ID64" s="66"/>
      <c r="IE64" s="66"/>
      <c r="IF64" s="66"/>
      <c r="IG64" s="66"/>
      <c r="IH64" s="66"/>
      <c r="II64" s="66"/>
      <c r="IJ64" s="66"/>
      <c r="IK64" s="66"/>
      <c r="IL64" s="66"/>
      <c r="IM64" s="66"/>
      <c r="IN64" s="66"/>
      <c r="IO64" s="66"/>
      <c r="IP64" s="66"/>
      <c r="IQ64" s="66"/>
      <c r="IR64" s="66"/>
      <c r="IS64" s="66"/>
      <c r="IT64" s="66"/>
      <c r="IU64" s="66"/>
      <c r="IV64" s="66"/>
      <c r="IW64" s="66"/>
      <c r="IX64" s="66"/>
      <c r="IY64" s="66"/>
      <c r="IZ64" s="66"/>
      <c r="JA64" s="66"/>
      <c r="JB64" s="66"/>
      <c r="JC64" s="66"/>
      <c r="JD64" s="66"/>
      <c r="JE64" s="66"/>
      <c r="JF64" s="66"/>
      <c r="JG64" s="66"/>
      <c r="JH64" s="66"/>
      <c r="JI64" s="66"/>
      <c r="JJ64" s="66"/>
      <c r="JK64" s="66"/>
      <c r="JL64" s="66"/>
      <c r="JM64" s="66"/>
      <c r="JN64" s="66"/>
      <c r="JO64" s="66"/>
      <c r="JP64" s="66"/>
      <c r="JQ64" s="66"/>
      <c r="JR64" s="66"/>
      <c r="JS64" s="66"/>
      <c r="JT64" s="66"/>
      <c r="JU64" s="66"/>
      <c r="JV64" s="66"/>
      <c r="JW64" s="66"/>
      <c r="JX64" s="66"/>
      <c r="JY64" s="66"/>
      <c r="JZ64" s="66"/>
      <c r="KA64" s="66"/>
      <c r="KB64" s="66"/>
      <c r="KC64" s="66"/>
      <c r="KD64" s="66"/>
      <c r="KE64" s="66"/>
      <c r="KF64" s="66"/>
      <c r="KG64" s="66"/>
      <c r="KH64" s="66"/>
      <c r="KI64" s="66"/>
      <c r="KJ64" s="66"/>
      <c r="KK64" s="66"/>
      <c r="KL64" s="66"/>
      <c r="KM64" s="66"/>
      <c r="KN64" s="66"/>
      <c r="KO64" s="66"/>
      <c r="KP64" s="66"/>
      <c r="KQ64" s="66"/>
      <c r="KR64" s="66"/>
      <c r="KS64" s="66"/>
      <c r="KT64" s="66"/>
      <c r="KU64" s="66"/>
      <c r="KV64" s="66"/>
      <c r="KW64" s="66"/>
      <c r="KX64" s="66"/>
      <c r="KY64" s="66"/>
      <c r="KZ64" s="66"/>
      <c r="LA64" s="66"/>
      <c r="LB64" s="66"/>
      <c r="LC64" s="66"/>
      <c r="LD64" s="66"/>
      <c r="LE64" s="66"/>
      <c r="LF64" s="66"/>
      <c r="LG64" s="66"/>
      <c r="LH64" s="66"/>
      <c r="LI64" s="66"/>
      <c r="LJ64" s="66"/>
      <c r="LK64" s="66"/>
      <c r="LL64" s="66"/>
      <c r="LM64" s="66"/>
      <c r="LN64" s="66"/>
      <c r="LO64" s="66"/>
      <c r="LP64" s="66"/>
      <c r="LQ64" s="66"/>
      <c r="LR64" s="66"/>
      <c r="LS64" s="66"/>
      <c r="LT64" s="66"/>
      <c r="LU64" s="66"/>
      <c r="LV64" s="66"/>
      <c r="LW64" s="66"/>
      <c r="LX64" s="66"/>
      <c r="LY64" s="66"/>
      <c r="LZ64" s="66"/>
      <c r="MA64" s="66"/>
      <c r="MB64" s="66"/>
      <c r="MC64" s="66"/>
      <c r="MD64" s="66"/>
      <c r="ME64" s="66"/>
      <c r="MF64" s="66"/>
      <c r="MG64" s="66"/>
      <c r="MH64" s="66"/>
      <c r="MI64" s="66"/>
      <c r="MJ64" s="66"/>
      <c r="MK64" s="66"/>
      <c r="ML64" s="66"/>
      <c r="MM64" s="66"/>
      <c r="MN64" s="66"/>
      <c r="MO64" s="66"/>
      <c r="MP64" s="66"/>
      <c r="MQ64" s="66"/>
      <c r="MR64" s="66"/>
      <c r="MS64" s="66"/>
      <c r="MT64" s="66"/>
      <c r="MU64" s="66"/>
      <c r="MV64" s="66"/>
      <c r="MW64" s="66"/>
      <c r="MX64" s="66"/>
      <c r="MY64" s="66"/>
      <c r="MZ64" s="66"/>
      <c r="NA64" s="66"/>
      <c r="NB64" s="66"/>
      <c r="NC64" s="66"/>
      <c r="ND64" s="66"/>
      <c r="NE64" s="66"/>
      <c r="NF64" s="66"/>
      <c r="NG64" s="66"/>
      <c r="NH64" s="66"/>
      <c r="NI64" s="66"/>
      <c r="NJ64" s="66"/>
      <c r="NK64" s="66"/>
      <c r="NL64" s="66"/>
      <c r="NM64" s="66"/>
      <c r="NN64" s="66"/>
      <c r="NO64" s="66"/>
      <c r="NP64" s="66"/>
      <c r="NQ64" s="66"/>
      <c r="NR64" s="66"/>
      <c r="NS64" s="66"/>
      <c r="NT64" s="66"/>
      <c r="NU64" s="66"/>
      <c r="NV64" s="66"/>
      <c r="NW64" s="66"/>
      <c r="NX64" s="66"/>
      <c r="NY64" s="66"/>
      <c r="NZ64" s="66"/>
      <c r="OA64" s="66"/>
      <c r="OB64" s="66"/>
      <c r="OC64" s="66"/>
      <c r="OD64" s="66"/>
      <c r="OE64" s="66"/>
      <c r="OF64" s="66"/>
      <c r="OG64" s="66"/>
      <c r="OH64" s="66"/>
      <c r="OI64" s="66"/>
      <c r="OJ64" s="66"/>
      <c r="OK64" s="66"/>
      <c r="OL64" s="66"/>
      <c r="OM64" s="66"/>
      <c r="ON64" s="66"/>
      <c r="OO64" s="66"/>
      <c r="OP64" s="66"/>
      <c r="OQ64" s="66"/>
      <c r="OR64" s="66"/>
      <c r="OS64" s="66"/>
      <c r="OT64" s="66"/>
      <c r="OU64" s="66"/>
      <c r="OV64" s="66"/>
      <c r="OW64" s="66"/>
      <c r="OX64" s="66"/>
      <c r="OY64" s="66"/>
      <c r="OZ64" s="66"/>
      <c r="PA64" s="66"/>
      <c r="PB64" s="66"/>
      <c r="PC64" s="66"/>
      <c r="PD64" s="66"/>
      <c r="PE64" s="66"/>
      <c r="PF64" s="66"/>
      <c r="PG64" s="66"/>
      <c r="PH64" s="66"/>
      <c r="PI64" s="66"/>
      <c r="PJ64" s="66"/>
      <c r="PK64" s="66"/>
      <c r="PL64" s="66"/>
      <c r="PM64" s="66"/>
      <c r="PN64" s="66"/>
      <c r="PO64" s="66"/>
      <c r="PP64" s="66"/>
      <c r="PQ64" s="66"/>
      <c r="PR64" s="66"/>
      <c r="PS64" s="66"/>
      <c r="PT64" s="66"/>
      <c r="PU64" s="66"/>
      <c r="PV64" s="66"/>
      <c r="PW64" s="66"/>
      <c r="PX64" s="66"/>
      <c r="PY64" s="66"/>
      <c r="PZ64" s="66"/>
      <c r="QA64" s="66"/>
      <c r="QB64" s="66"/>
      <c r="QC64" s="66"/>
      <c r="QD64" s="66"/>
      <c r="QE64" s="66"/>
      <c r="QF64" s="66"/>
      <c r="QG64" s="66"/>
      <c r="QH64" s="66"/>
      <c r="QI64" s="66"/>
      <c r="QJ64" s="66"/>
      <c r="QK64" s="66"/>
      <c r="QL64" s="66"/>
      <c r="QM64" s="66"/>
      <c r="QN64" s="66"/>
      <c r="QO64" s="66"/>
      <c r="QP64" s="66"/>
      <c r="QQ64" s="66"/>
      <c r="QR64" s="66"/>
      <c r="QS64" s="66"/>
      <c r="QT64" s="66"/>
      <c r="QU64" s="66"/>
      <c r="QV64" s="66"/>
      <c r="QW64" s="66"/>
      <c r="QX64" s="66"/>
      <c r="QY64" s="66"/>
      <c r="QZ64" s="66"/>
      <c r="RA64" s="66"/>
      <c r="RB64" s="66"/>
      <c r="RC64" s="66"/>
      <c r="RD64" s="66"/>
      <c r="RE64" s="66"/>
      <c r="RF64" s="66"/>
      <c r="RG64" s="66"/>
      <c r="RH64" s="66"/>
      <c r="RI64" s="66"/>
      <c r="RJ64" s="66"/>
      <c r="RK64" s="66"/>
      <c r="RL64" s="66"/>
      <c r="RM64" s="66"/>
      <c r="RN64" s="66"/>
      <c r="RO64" s="66"/>
      <c r="RP64" s="66"/>
      <c r="RQ64" s="66"/>
      <c r="RR64" s="66"/>
      <c r="RS64" s="66"/>
      <c r="RT64" s="66"/>
      <c r="RU64" s="66"/>
      <c r="RV64" s="66"/>
      <c r="RW64" s="66"/>
      <c r="RX64" s="66"/>
      <c r="RY64" s="66"/>
      <c r="RZ64" s="66"/>
      <c r="SA64" s="66"/>
      <c r="SB64" s="66"/>
      <c r="SC64" s="66"/>
      <c r="SD64" s="66"/>
      <c r="SE64" s="66"/>
      <c r="SF64" s="66"/>
      <c r="SG64" s="66"/>
      <c r="SH64" s="66"/>
      <c r="SI64" s="66"/>
      <c r="SJ64" s="66"/>
      <c r="SK64" s="66"/>
      <c r="SL64" s="66"/>
      <c r="SM64" s="66"/>
      <c r="SN64" s="66"/>
      <c r="SO64" s="66"/>
      <c r="SP64" s="66"/>
      <c r="SQ64" s="66"/>
      <c r="SR64" s="66"/>
      <c r="SS64" s="66"/>
      <c r="ST64" s="66"/>
      <c r="SU64" s="66"/>
      <c r="SV64" s="66"/>
      <c r="SW64" s="66"/>
      <c r="SX64" s="66"/>
      <c r="SY64" s="66"/>
      <c r="SZ64" s="66"/>
      <c r="TA64" s="66"/>
      <c r="TB64" s="66"/>
      <c r="TC64" s="66"/>
      <c r="TD64" s="66"/>
      <c r="TE64" s="66"/>
      <c r="TF64" s="66"/>
      <c r="TG64" s="66"/>
      <c r="TH64" s="66"/>
      <c r="TI64" s="66"/>
      <c r="TJ64" s="66"/>
      <c r="TK64" s="66"/>
      <c r="TL64" s="66"/>
      <c r="TM64" s="66"/>
      <c r="TN64" s="66"/>
      <c r="TO64" s="66"/>
      <c r="TP64" s="66"/>
      <c r="TQ64" s="66"/>
      <c r="TR64" s="66"/>
      <c r="TS64" s="66"/>
      <c r="TT64" s="66"/>
      <c r="TU64" s="66"/>
      <c r="TV64" s="66"/>
      <c r="TW64" s="66"/>
      <c r="TX64" s="66"/>
      <c r="TY64" s="66"/>
      <c r="TZ64" s="66"/>
      <c r="UA64" s="66"/>
      <c r="UB64" s="66"/>
      <c r="UC64" s="66"/>
      <c r="UD64" s="66"/>
      <c r="UE64" s="66"/>
      <c r="UF64" s="66"/>
      <c r="UG64" s="66"/>
      <c r="UH64" s="66"/>
      <c r="UI64" s="66"/>
      <c r="UJ64" s="66"/>
      <c r="UK64" s="66"/>
      <c r="UL64" s="66"/>
      <c r="UM64" s="66"/>
      <c r="UN64" s="66"/>
      <c r="UO64" s="66"/>
      <c r="UP64" s="66"/>
      <c r="UQ64" s="66"/>
      <c r="UR64" s="66"/>
      <c r="US64" s="66"/>
      <c r="UT64" s="66"/>
      <c r="UU64" s="66"/>
      <c r="UV64" s="66"/>
      <c r="UW64" s="66"/>
      <c r="UX64" s="66"/>
      <c r="UY64" s="66"/>
      <c r="UZ64" s="66"/>
      <c r="VA64" s="66"/>
      <c r="VB64" s="66"/>
      <c r="VC64" s="66"/>
      <c r="VD64" s="66"/>
      <c r="VE64" s="66"/>
      <c r="VF64" s="66"/>
      <c r="VG64" s="66"/>
      <c r="VH64" s="66"/>
      <c r="VI64" s="66"/>
      <c r="VJ64" s="66"/>
      <c r="VK64" s="66"/>
      <c r="VL64" s="66"/>
      <c r="VM64" s="66"/>
      <c r="VN64" s="66"/>
      <c r="VO64" s="66"/>
      <c r="VP64" s="66"/>
      <c r="VQ64" s="66"/>
      <c r="VR64" s="66"/>
      <c r="VS64" s="66"/>
      <c r="VT64" s="66"/>
      <c r="VU64" s="66"/>
      <c r="VV64" s="66"/>
      <c r="VW64" s="66"/>
      <c r="VX64" s="66"/>
      <c r="VY64" s="66"/>
      <c r="VZ64" s="66"/>
      <c r="WA64" s="66"/>
      <c r="WB64" s="66"/>
      <c r="WC64" s="66"/>
      <c r="WD64" s="66"/>
      <c r="WE64" s="66"/>
      <c r="WF64" s="66"/>
      <c r="WG64" s="66"/>
      <c r="WH64" s="66"/>
      <c r="WI64" s="66"/>
      <c r="WJ64" s="66"/>
      <c r="WK64" s="66"/>
      <c r="WL64" s="66"/>
      <c r="WM64" s="66"/>
      <c r="WN64" s="66"/>
      <c r="WO64" s="66"/>
      <c r="WP64" s="66"/>
      <c r="WQ64" s="66"/>
      <c r="WR64" s="66"/>
      <c r="WS64" s="66"/>
      <c r="WT64" s="66"/>
      <c r="WU64" s="66"/>
      <c r="WV64" s="66"/>
      <c r="WW64" s="66"/>
      <c r="WX64" s="66"/>
      <c r="WY64" s="66"/>
      <c r="WZ64" s="66"/>
      <c r="XA64" s="66"/>
      <c r="XB64" s="66"/>
      <c r="XC64" s="66"/>
      <c r="XD64" s="66"/>
      <c r="XE64" s="66"/>
      <c r="XF64" s="66"/>
      <c r="XG64" s="66"/>
      <c r="XH64" s="66"/>
      <c r="XI64" s="66"/>
      <c r="XJ64" s="66"/>
      <c r="XK64" s="66"/>
      <c r="XL64" s="66"/>
      <c r="XM64" s="66"/>
      <c r="XN64" s="66"/>
      <c r="XO64" s="66"/>
      <c r="XP64" s="66"/>
      <c r="XQ64" s="66"/>
      <c r="XR64" s="66"/>
      <c r="XS64" s="66"/>
      <c r="XT64" s="66"/>
      <c r="XU64" s="66"/>
      <c r="XV64" s="66"/>
      <c r="XW64" s="66"/>
      <c r="XX64" s="66"/>
      <c r="XY64" s="66"/>
      <c r="XZ64" s="66"/>
      <c r="YA64" s="66"/>
      <c r="YB64" s="66"/>
      <c r="YC64" s="66"/>
      <c r="YD64" s="66"/>
      <c r="YE64" s="66"/>
      <c r="YF64" s="66"/>
      <c r="YG64" s="66"/>
      <c r="YH64" s="66"/>
      <c r="YI64" s="66"/>
      <c r="YJ64" s="66"/>
      <c r="YK64" s="66"/>
      <c r="YL64" s="66"/>
      <c r="YM64" s="66"/>
      <c r="YN64" s="66"/>
      <c r="YO64" s="66"/>
      <c r="YP64" s="66"/>
      <c r="YQ64" s="66"/>
      <c r="YR64" s="66"/>
      <c r="YS64" s="66"/>
      <c r="YT64" s="66"/>
      <c r="YU64" s="66"/>
      <c r="YV64" s="66"/>
      <c r="YW64" s="66"/>
      <c r="YX64" s="66"/>
      <c r="YY64" s="66"/>
      <c r="YZ64" s="66"/>
      <c r="ZA64" s="66"/>
      <c r="ZB64" s="66"/>
      <c r="ZC64" s="66"/>
      <c r="ZD64" s="66"/>
      <c r="ZE64" s="66"/>
      <c r="ZF64" s="66"/>
      <c r="ZG64" s="66"/>
      <c r="ZH64" s="66"/>
      <c r="ZI64" s="66"/>
      <c r="ZJ64" s="66"/>
      <c r="ZK64" s="66"/>
      <c r="ZL64" s="66"/>
      <c r="ZM64" s="66"/>
      <c r="ZN64" s="66"/>
      <c r="ZO64" s="66"/>
      <c r="ZP64" s="66"/>
      <c r="ZQ64" s="66"/>
      <c r="ZR64" s="66"/>
      <c r="ZS64" s="66"/>
      <c r="ZT64" s="66"/>
      <c r="ZU64" s="66"/>
      <c r="ZV64" s="66"/>
      <c r="ZW64" s="66"/>
      <c r="ZX64" s="66"/>
    </row>
    <row r="65" spans="1:700" s="20" customFormat="1" ht="15.75" x14ac:dyDescent="0.25">
      <c r="A65" s="76"/>
      <c r="B65" s="77"/>
      <c r="C65" s="77"/>
      <c r="D65" s="119"/>
      <c r="E65" s="112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  <c r="CH65" s="66"/>
      <c r="CI65" s="66"/>
      <c r="CJ65" s="66"/>
      <c r="CK65" s="66"/>
      <c r="CL65" s="66"/>
      <c r="CM65" s="66"/>
      <c r="CN65" s="66"/>
      <c r="CO65" s="66"/>
      <c r="CP65" s="66"/>
      <c r="CQ65" s="66"/>
      <c r="CR65" s="66"/>
      <c r="CS65" s="66"/>
      <c r="CT65" s="66"/>
      <c r="CU65" s="66"/>
      <c r="CV65" s="66"/>
      <c r="CW65" s="66"/>
      <c r="CX65" s="66"/>
      <c r="CY65" s="66"/>
      <c r="CZ65" s="66"/>
      <c r="DA65" s="66"/>
      <c r="DB65" s="66"/>
      <c r="DC65" s="66"/>
      <c r="DD65" s="66"/>
      <c r="DE65" s="66"/>
      <c r="DF65" s="66"/>
      <c r="DG65" s="66"/>
      <c r="DH65" s="66"/>
      <c r="DI65" s="66"/>
      <c r="DJ65" s="66"/>
      <c r="DK65" s="66"/>
      <c r="DL65" s="66"/>
      <c r="DM65" s="66"/>
      <c r="DN65" s="66"/>
      <c r="DO65" s="66"/>
      <c r="DP65" s="66"/>
      <c r="DQ65" s="66"/>
      <c r="DR65" s="66"/>
      <c r="DS65" s="66"/>
      <c r="DT65" s="66"/>
      <c r="DU65" s="66"/>
      <c r="DV65" s="66"/>
      <c r="DW65" s="66"/>
      <c r="DX65" s="66"/>
      <c r="DY65" s="66"/>
      <c r="DZ65" s="66"/>
      <c r="EA65" s="66"/>
      <c r="EB65" s="66"/>
      <c r="EC65" s="66"/>
      <c r="ED65" s="66"/>
      <c r="EE65" s="66"/>
      <c r="EF65" s="66"/>
      <c r="EG65" s="66"/>
      <c r="EH65" s="66"/>
      <c r="EI65" s="66"/>
      <c r="EJ65" s="66"/>
      <c r="EK65" s="66"/>
      <c r="EL65" s="66"/>
      <c r="EM65" s="66"/>
      <c r="EN65" s="66"/>
      <c r="EO65" s="66"/>
      <c r="EP65" s="66"/>
      <c r="EQ65" s="66"/>
      <c r="ER65" s="66"/>
      <c r="ES65" s="66"/>
      <c r="ET65" s="66"/>
      <c r="EU65" s="66"/>
      <c r="EV65" s="66"/>
      <c r="EW65" s="66"/>
      <c r="EX65" s="66"/>
      <c r="EY65" s="66"/>
      <c r="EZ65" s="66"/>
      <c r="FA65" s="66"/>
      <c r="FB65" s="66"/>
      <c r="FC65" s="66"/>
      <c r="FD65" s="66"/>
      <c r="FE65" s="66"/>
      <c r="FF65" s="66"/>
      <c r="FG65" s="66"/>
      <c r="FH65" s="66"/>
      <c r="FI65" s="66"/>
      <c r="FJ65" s="66"/>
      <c r="FK65" s="66"/>
      <c r="FL65" s="66"/>
      <c r="FM65" s="66"/>
      <c r="FN65" s="66"/>
      <c r="FO65" s="66"/>
      <c r="FP65" s="66"/>
      <c r="FQ65" s="66"/>
      <c r="FR65" s="66"/>
      <c r="FS65" s="66"/>
      <c r="FT65" s="66"/>
      <c r="FU65" s="66"/>
      <c r="FV65" s="66"/>
      <c r="FW65" s="66"/>
      <c r="FX65" s="66"/>
      <c r="FY65" s="66"/>
      <c r="FZ65" s="66"/>
      <c r="GA65" s="66"/>
      <c r="GB65" s="66"/>
      <c r="GC65" s="66"/>
      <c r="GD65" s="66"/>
      <c r="GE65" s="66"/>
      <c r="GF65" s="66"/>
      <c r="GG65" s="66"/>
      <c r="GH65" s="66"/>
      <c r="GI65" s="66"/>
      <c r="GJ65" s="66"/>
      <c r="GK65" s="66"/>
      <c r="GL65" s="66"/>
      <c r="GM65" s="66"/>
      <c r="GN65" s="66"/>
      <c r="GO65" s="66"/>
      <c r="GP65" s="66"/>
      <c r="GQ65" s="66"/>
      <c r="GR65" s="66"/>
      <c r="GS65" s="66"/>
      <c r="GT65" s="66"/>
      <c r="GU65" s="66"/>
      <c r="GV65" s="66"/>
      <c r="GW65" s="66"/>
      <c r="GX65" s="66"/>
      <c r="GY65" s="66"/>
      <c r="GZ65" s="66"/>
      <c r="HA65" s="66"/>
      <c r="HB65" s="66"/>
      <c r="HC65" s="66"/>
      <c r="HD65" s="66"/>
      <c r="HE65" s="66"/>
      <c r="HF65" s="66"/>
      <c r="HG65" s="66"/>
      <c r="HH65" s="66"/>
      <c r="HI65" s="66"/>
      <c r="HJ65" s="66"/>
      <c r="HK65" s="66"/>
      <c r="HL65" s="66"/>
      <c r="HM65" s="66"/>
      <c r="HN65" s="66"/>
      <c r="HO65" s="66"/>
      <c r="HP65" s="66"/>
      <c r="HQ65" s="66"/>
      <c r="HR65" s="66"/>
      <c r="HS65" s="66"/>
      <c r="HT65" s="66"/>
      <c r="HU65" s="66"/>
      <c r="HV65" s="66"/>
      <c r="HW65" s="66"/>
      <c r="HX65" s="66"/>
      <c r="HY65" s="66"/>
      <c r="HZ65" s="66"/>
      <c r="IA65" s="66"/>
      <c r="IB65" s="66"/>
      <c r="IC65" s="66"/>
      <c r="ID65" s="66"/>
      <c r="IE65" s="66"/>
      <c r="IF65" s="66"/>
      <c r="IG65" s="66"/>
      <c r="IH65" s="66"/>
      <c r="II65" s="66"/>
      <c r="IJ65" s="66"/>
      <c r="IK65" s="66"/>
      <c r="IL65" s="66"/>
      <c r="IM65" s="66"/>
      <c r="IN65" s="66"/>
      <c r="IO65" s="66"/>
      <c r="IP65" s="66"/>
      <c r="IQ65" s="66"/>
      <c r="IR65" s="66"/>
      <c r="IS65" s="66"/>
      <c r="IT65" s="66"/>
      <c r="IU65" s="66"/>
      <c r="IV65" s="66"/>
      <c r="IW65" s="66"/>
      <c r="IX65" s="66"/>
      <c r="IY65" s="66"/>
      <c r="IZ65" s="66"/>
      <c r="JA65" s="66"/>
      <c r="JB65" s="66"/>
      <c r="JC65" s="66"/>
      <c r="JD65" s="66"/>
      <c r="JE65" s="66"/>
      <c r="JF65" s="66"/>
      <c r="JG65" s="66"/>
      <c r="JH65" s="66"/>
      <c r="JI65" s="66"/>
      <c r="JJ65" s="66"/>
      <c r="JK65" s="66"/>
      <c r="JL65" s="66"/>
      <c r="JM65" s="66"/>
      <c r="JN65" s="66"/>
      <c r="JO65" s="66"/>
      <c r="JP65" s="66"/>
      <c r="JQ65" s="66"/>
      <c r="JR65" s="66"/>
      <c r="JS65" s="66"/>
      <c r="JT65" s="66"/>
      <c r="JU65" s="66"/>
      <c r="JV65" s="66"/>
      <c r="JW65" s="66"/>
      <c r="JX65" s="66"/>
      <c r="JY65" s="66"/>
      <c r="JZ65" s="66"/>
      <c r="KA65" s="66"/>
      <c r="KB65" s="66"/>
      <c r="KC65" s="66"/>
      <c r="KD65" s="66"/>
      <c r="KE65" s="66"/>
      <c r="KF65" s="66"/>
      <c r="KG65" s="66"/>
      <c r="KH65" s="66"/>
      <c r="KI65" s="66"/>
      <c r="KJ65" s="66"/>
      <c r="KK65" s="66"/>
      <c r="KL65" s="66"/>
      <c r="KM65" s="66"/>
      <c r="KN65" s="66"/>
      <c r="KO65" s="66"/>
      <c r="KP65" s="66"/>
      <c r="KQ65" s="66"/>
      <c r="KR65" s="66"/>
      <c r="KS65" s="66"/>
      <c r="KT65" s="66"/>
      <c r="KU65" s="66"/>
      <c r="KV65" s="66"/>
      <c r="KW65" s="66"/>
      <c r="KX65" s="66"/>
      <c r="KY65" s="66"/>
      <c r="KZ65" s="66"/>
      <c r="LA65" s="66"/>
      <c r="LB65" s="66"/>
      <c r="LC65" s="66"/>
      <c r="LD65" s="66"/>
      <c r="LE65" s="66"/>
      <c r="LF65" s="66"/>
      <c r="LG65" s="66"/>
      <c r="LH65" s="66"/>
      <c r="LI65" s="66"/>
      <c r="LJ65" s="66"/>
      <c r="LK65" s="66"/>
      <c r="LL65" s="66"/>
      <c r="LM65" s="66"/>
      <c r="LN65" s="66"/>
      <c r="LO65" s="66"/>
      <c r="LP65" s="66"/>
      <c r="LQ65" s="66"/>
      <c r="LR65" s="66"/>
      <c r="LS65" s="66"/>
      <c r="LT65" s="66"/>
      <c r="LU65" s="66"/>
      <c r="LV65" s="66"/>
      <c r="LW65" s="66"/>
      <c r="LX65" s="66"/>
      <c r="LY65" s="66"/>
      <c r="LZ65" s="66"/>
      <c r="MA65" s="66"/>
      <c r="MB65" s="66"/>
      <c r="MC65" s="66"/>
      <c r="MD65" s="66"/>
      <c r="ME65" s="66"/>
      <c r="MF65" s="66"/>
      <c r="MG65" s="66"/>
      <c r="MH65" s="66"/>
      <c r="MI65" s="66"/>
      <c r="MJ65" s="66"/>
      <c r="MK65" s="66"/>
      <c r="ML65" s="66"/>
      <c r="MM65" s="66"/>
      <c r="MN65" s="66"/>
      <c r="MO65" s="66"/>
      <c r="MP65" s="66"/>
      <c r="MQ65" s="66"/>
      <c r="MR65" s="66"/>
      <c r="MS65" s="66"/>
      <c r="MT65" s="66"/>
      <c r="MU65" s="66"/>
      <c r="MV65" s="66"/>
      <c r="MW65" s="66"/>
      <c r="MX65" s="66"/>
      <c r="MY65" s="66"/>
      <c r="MZ65" s="66"/>
      <c r="NA65" s="66"/>
      <c r="NB65" s="66"/>
      <c r="NC65" s="66"/>
      <c r="ND65" s="66"/>
      <c r="NE65" s="66"/>
      <c r="NF65" s="66"/>
      <c r="NG65" s="66"/>
      <c r="NH65" s="66"/>
      <c r="NI65" s="66"/>
      <c r="NJ65" s="66"/>
      <c r="NK65" s="66"/>
      <c r="NL65" s="66"/>
      <c r="NM65" s="66"/>
      <c r="NN65" s="66"/>
      <c r="NO65" s="66"/>
      <c r="NP65" s="66"/>
      <c r="NQ65" s="66"/>
      <c r="NR65" s="66"/>
      <c r="NS65" s="66"/>
      <c r="NT65" s="66"/>
      <c r="NU65" s="66"/>
      <c r="NV65" s="66"/>
      <c r="NW65" s="66"/>
      <c r="NX65" s="66"/>
      <c r="NY65" s="66"/>
      <c r="NZ65" s="66"/>
      <c r="OA65" s="66"/>
      <c r="OB65" s="66"/>
      <c r="OC65" s="66"/>
      <c r="OD65" s="66"/>
      <c r="OE65" s="66"/>
      <c r="OF65" s="66"/>
      <c r="OG65" s="66"/>
      <c r="OH65" s="66"/>
      <c r="OI65" s="66"/>
      <c r="OJ65" s="66"/>
      <c r="OK65" s="66"/>
      <c r="OL65" s="66"/>
      <c r="OM65" s="66"/>
      <c r="ON65" s="66"/>
      <c r="OO65" s="66"/>
      <c r="OP65" s="66"/>
      <c r="OQ65" s="66"/>
      <c r="OR65" s="66"/>
      <c r="OS65" s="66"/>
      <c r="OT65" s="66"/>
      <c r="OU65" s="66"/>
      <c r="OV65" s="66"/>
      <c r="OW65" s="66"/>
      <c r="OX65" s="66"/>
      <c r="OY65" s="66"/>
      <c r="OZ65" s="66"/>
      <c r="PA65" s="66"/>
      <c r="PB65" s="66"/>
      <c r="PC65" s="66"/>
      <c r="PD65" s="66"/>
      <c r="PE65" s="66"/>
      <c r="PF65" s="66"/>
      <c r="PG65" s="66"/>
      <c r="PH65" s="66"/>
      <c r="PI65" s="66"/>
      <c r="PJ65" s="66"/>
      <c r="PK65" s="66"/>
      <c r="PL65" s="66"/>
      <c r="PM65" s="66"/>
      <c r="PN65" s="66"/>
      <c r="PO65" s="66"/>
      <c r="PP65" s="66"/>
      <c r="PQ65" s="66"/>
      <c r="PR65" s="66"/>
      <c r="PS65" s="66"/>
      <c r="PT65" s="66"/>
      <c r="PU65" s="66"/>
      <c r="PV65" s="66"/>
      <c r="PW65" s="66"/>
      <c r="PX65" s="66"/>
      <c r="PY65" s="66"/>
      <c r="PZ65" s="66"/>
      <c r="QA65" s="66"/>
      <c r="QB65" s="66"/>
      <c r="QC65" s="66"/>
      <c r="QD65" s="66"/>
      <c r="QE65" s="66"/>
      <c r="QF65" s="66"/>
      <c r="QG65" s="66"/>
      <c r="QH65" s="66"/>
      <c r="QI65" s="66"/>
      <c r="QJ65" s="66"/>
      <c r="QK65" s="66"/>
      <c r="QL65" s="66"/>
      <c r="QM65" s="66"/>
      <c r="QN65" s="66"/>
      <c r="QO65" s="66"/>
      <c r="QP65" s="66"/>
      <c r="QQ65" s="66"/>
      <c r="QR65" s="66"/>
      <c r="QS65" s="66"/>
      <c r="QT65" s="66"/>
      <c r="QU65" s="66"/>
      <c r="QV65" s="66"/>
      <c r="QW65" s="66"/>
      <c r="QX65" s="66"/>
      <c r="QY65" s="66"/>
      <c r="QZ65" s="66"/>
      <c r="RA65" s="66"/>
      <c r="RB65" s="66"/>
      <c r="RC65" s="66"/>
      <c r="RD65" s="66"/>
      <c r="RE65" s="66"/>
      <c r="RF65" s="66"/>
      <c r="RG65" s="66"/>
      <c r="RH65" s="66"/>
      <c r="RI65" s="66"/>
      <c r="RJ65" s="66"/>
      <c r="RK65" s="66"/>
      <c r="RL65" s="66"/>
      <c r="RM65" s="66"/>
      <c r="RN65" s="66"/>
      <c r="RO65" s="66"/>
      <c r="RP65" s="66"/>
      <c r="RQ65" s="66"/>
      <c r="RR65" s="66"/>
      <c r="RS65" s="66"/>
      <c r="RT65" s="66"/>
      <c r="RU65" s="66"/>
      <c r="RV65" s="66"/>
      <c r="RW65" s="66"/>
      <c r="RX65" s="66"/>
      <c r="RY65" s="66"/>
      <c r="RZ65" s="66"/>
      <c r="SA65" s="66"/>
      <c r="SB65" s="66"/>
      <c r="SC65" s="66"/>
      <c r="SD65" s="66"/>
      <c r="SE65" s="66"/>
      <c r="SF65" s="66"/>
      <c r="SG65" s="66"/>
      <c r="SH65" s="66"/>
      <c r="SI65" s="66"/>
      <c r="SJ65" s="66"/>
      <c r="SK65" s="66"/>
      <c r="SL65" s="66"/>
      <c r="SM65" s="66"/>
      <c r="SN65" s="66"/>
      <c r="SO65" s="66"/>
      <c r="SP65" s="66"/>
      <c r="SQ65" s="66"/>
      <c r="SR65" s="66"/>
      <c r="SS65" s="66"/>
      <c r="ST65" s="66"/>
      <c r="SU65" s="66"/>
      <c r="SV65" s="66"/>
      <c r="SW65" s="66"/>
      <c r="SX65" s="66"/>
      <c r="SY65" s="66"/>
      <c r="SZ65" s="66"/>
      <c r="TA65" s="66"/>
      <c r="TB65" s="66"/>
      <c r="TC65" s="66"/>
      <c r="TD65" s="66"/>
      <c r="TE65" s="66"/>
      <c r="TF65" s="66"/>
      <c r="TG65" s="66"/>
      <c r="TH65" s="66"/>
      <c r="TI65" s="66"/>
      <c r="TJ65" s="66"/>
      <c r="TK65" s="66"/>
      <c r="TL65" s="66"/>
      <c r="TM65" s="66"/>
      <c r="TN65" s="66"/>
      <c r="TO65" s="66"/>
      <c r="TP65" s="66"/>
      <c r="TQ65" s="66"/>
      <c r="TR65" s="66"/>
      <c r="TS65" s="66"/>
      <c r="TT65" s="66"/>
      <c r="TU65" s="66"/>
      <c r="TV65" s="66"/>
      <c r="TW65" s="66"/>
      <c r="TX65" s="66"/>
      <c r="TY65" s="66"/>
      <c r="TZ65" s="66"/>
      <c r="UA65" s="66"/>
      <c r="UB65" s="66"/>
      <c r="UC65" s="66"/>
      <c r="UD65" s="66"/>
      <c r="UE65" s="66"/>
      <c r="UF65" s="66"/>
      <c r="UG65" s="66"/>
      <c r="UH65" s="66"/>
      <c r="UI65" s="66"/>
      <c r="UJ65" s="66"/>
      <c r="UK65" s="66"/>
      <c r="UL65" s="66"/>
      <c r="UM65" s="66"/>
      <c r="UN65" s="66"/>
      <c r="UO65" s="66"/>
      <c r="UP65" s="66"/>
      <c r="UQ65" s="66"/>
      <c r="UR65" s="66"/>
      <c r="US65" s="66"/>
      <c r="UT65" s="66"/>
      <c r="UU65" s="66"/>
      <c r="UV65" s="66"/>
      <c r="UW65" s="66"/>
      <c r="UX65" s="66"/>
      <c r="UY65" s="66"/>
      <c r="UZ65" s="66"/>
      <c r="VA65" s="66"/>
      <c r="VB65" s="66"/>
      <c r="VC65" s="66"/>
      <c r="VD65" s="66"/>
      <c r="VE65" s="66"/>
      <c r="VF65" s="66"/>
      <c r="VG65" s="66"/>
      <c r="VH65" s="66"/>
      <c r="VI65" s="66"/>
      <c r="VJ65" s="66"/>
      <c r="VK65" s="66"/>
      <c r="VL65" s="66"/>
      <c r="VM65" s="66"/>
      <c r="VN65" s="66"/>
      <c r="VO65" s="66"/>
      <c r="VP65" s="66"/>
      <c r="VQ65" s="66"/>
      <c r="VR65" s="66"/>
      <c r="VS65" s="66"/>
      <c r="VT65" s="66"/>
      <c r="VU65" s="66"/>
      <c r="VV65" s="66"/>
      <c r="VW65" s="66"/>
      <c r="VX65" s="66"/>
      <c r="VY65" s="66"/>
      <c r="VZ65" s="66"/>
      <c r="WA65" s="66"/>
      <c r="WB65" s="66"/>
      <c r="WC65" s="66"/>
      <c r="WD65" s="66"/>
      <c r="WE65" s="66"/>
      <c r="WF65" s="66"/>
      <c r="WG65" s="66"/>
      <c r="WH65" s="66"/>
      <c r="WI65" s="66"/>
      <c r="WJ65" s="66"/>
      <c r="WK65" s="66"/>
      <c r="WL65" s="66"/>
      <c r="WM65" s="66"/>
      <c r="WN65" s="66"/>
      <c r="WO65" s="66"/>
      <c r="WP65" s="66"/>
      <c r="WQ65" s="66"/>
      <c r="WR65" s="66"/>
      <c r="WS65" s="66"/>
      <c r="WT65" s="66"/>
      <c r="WU65" s="66"/>
      <c r="WV65" s="66"/>
      <c r="WW65" s="66"/>
      <c r="WX65" s="66"/>
      <c r="WY65" s="66"/>
      <c r="WZ65" s="66"/>
      <c r="XA65" s="66"/>
      <c r="XB65" s="66"/>
      <c r="XC65" s="66"/>
      <c r="XD65" s="66"/>
      <c r="XE65" s="66"/>
      <c r="XF65" s="66"/>
      <c r="XG65" s="66"/>
      <c r="XH65" s="66"/>
      <c r="XI65" s="66"/>
      <c r="XJ65" s="66"/>
      <c r="XK65" s="66"/>
      <c r="XL65" s="66"/>
      <c r="XM65" s="66"/>
      <c r="XN65" s="66"/>
      <c r="XO65" s="66"/>
      <c r="XP65" s="66"/>
      <c r="XQ65" s="66"/>
      <c r="XR65" s="66"/>
      <c r="XS65" s="66"/>
      <c r="XT65" s="66"/>
      <c r="XU65" s="66"/>
      <c r="XV65" s="66"/>
      <c r="XW65" s="66"/>
      <c r="XX65" s="66"/>
      <c r="XY65" s="66"/>
      <c r="XZ65" s="66"/>
      <c r="YA65" s="66"/>
      <c r="YB65" s="66"/>
      <c r="YC65" s="66"/>
      <c r="YD65" s="66"/>
      <c r="YE65" s="66"/>
      <c r="YF65" s="66"/>
      <c r="YG65" s="66"/>
      <c r="YH65" s="66"/>
      <c r="YI65" s="66"/>
      <c r="YJ65" s="66"/>
      <c r="YK65" s="66"/>
      <c r="YL65" s="66"/>
      <c r="YM65" s="66"/>
      <c r="YN65" s="66"/>
      <c r="YO65" s="66"/>
      <c r="YP65" s="66"/>
      <c r="YQ65" s="66"/>
      <c r="YR65" s="66"/>
      <c r="YS65" s="66"/>
      <c r="YT65" s="66"/>
      <c r="YU65" s="66"/>
      <c r="YV65" s="66"/>
      <c r="YW65" s="66"/>
      <c r="YX65" s="66"/>
      <c r="YY65" s="66"/>
      <c r="YZ65" s="66"/>
      <c r="ZA65" s="66"/>
      <c r="ZB65" s="66"/>
      <c r="ZC65" s="66"/>
      <c r="ZD65" s="66"/>
      <c r="ZE65" s="66"/>
      <c r="ZF65" s="66"/>
      <c r="ZG65" s="66"/>
      <c r="ZH65" s="66"/>
      <c r="ZI65" s="66"/>
      <c r="ZJ65" s="66"/>
      <c r="ZK65" s="66"/>
      <c r="ZL65" s="66"/>
      <c r="ZM65" s="66"/>
      <c r="ZN65" s="66"/>
      <c r="ZO65" s="66"/>
      <c r="ZP65" s="66"/>
      <c r="ZQ65" s="66"/>
      <c r="ZR65" s="66"/>
      <c r="ZS65" s="66"/>
      <c r="ZT65" s="66"/>
      <c r="ZU65" s="66"/>
      <c r="ZV65" s="66"/>
      <c r="ZW65" s="66"/>
      <c r="ZX65" s="66"/>
    </row>
    <row r="66" spans="1:700" s="20" customFormat="1" ht="15.75" x14ac:dyDescent="0.25">
      <c r="A66" s="74"/>
      <c r="B66" s="75"/>
      <c r="C66" s="75"/>
      <c r="D66" s="120"/>
      <c r="E66" s="112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  <c r="CH66" s="66"/>
      <c r="CI66" s="66"/>
      <c r="CJ66" s="66"/>
      <c r="CK66" s="66"/>
      <c r="CL66" s="66"/>
      <c r="CM66" s="66"/>
      <c r="CN66" s="66"/>
      <c r="CO66" s="66"/>
      <c r="CP66" s="66"/>
      <c r="CQ66" s="66"/>
      <c r="CR66" s="66"/>
      <c r="CS66" s="66"/>
      <c r="CT66" s="66"/>
      <c r="CU66" s="66"/>
      <c r="CV66" s="66"/>
      <c r="CW66" s="66"/>
      <c r="CX66" s="66"/>
      <c r="CY66" s="66"/>
      <c r="CZ66" s="66"/>
      <c r="DA66" s="66"/>
      <c r="DB66" s="66"/>
      <c r="DC66" s="66"/>
      <c r="DD66" s="66"/>
      <c r="DE66" s="66"/>
      <c r="DF66" s="66"/>
      <c r="DG66" s="66"/>
      <c r="DH66" s="66"/>
      <c r="DI66" s="66"/>
      <c r="DJ66" s="66"/>
      <c r="DK66" s="66"/>
      <c r="DL66" s="66"/>
      <c r="DM66" s="66"/>
      <c r="DN66" s="66"/>
      <c r="DO66" s="66"/>
      <c r="DP66" s="66"/>
      <c r="DQ66" s="66"/>
      <c r="DR66" s="66"/>
      <c r="DS66" s="66"/>
      <c r="DT66" s="66"/>
      <c r="DU66" s="66"/>
      <c r="DV66" s="66"/>
      <c r="DW66" s="66"/>
      <c r="DX66" s="66"/>
      <c r="DY66" s="66"/>
      <c r="DZ66" s="66"/>
      <c r="EA66" s="66"/>
      <c r="EB66" s="66"/>
      <c r="EC66" s="66"/>
      <c r="ED66" s="66"/>
      <c r="EE66" s="66"/>
      <c r="EF66" s="66"/>
      <c r="EG66" s="66"/>
      <c r="EH66" s="66"/>
      <c r="EI66" s="66"/>
      <c r="EJ66" s="66"/>
      <c r="EK66" s="66"/>
      <c r="EL66" s="66"/>
      <c r="EM66" s="66"/>
      <c r="EN66" s="66"/>
      <c r="EO66" s="66"/>
      <c r="EP66" s="66"/>
      <c r="EQ66" s="66"/>
      <c r="ER66" s="66"/>
      <c r="ES66" s="66"/>
      <c r="ET66" s="66"/>
      <c r="EU66" s="66"/>
      <c r="EV66" s="66"/>
      <c r="EW66" s="66"/>
      <c r="EX66" s="66"/>
      <c r="EY66" s="66"/>
      <c r="EZ66" s="66"/>
      <c r="FA66" s="66"/>
      <c r="FB66" s="66"/>
      <c r="FC66" s="66"/>
      <c r="FD66" s="66"/>
      <c r="FE66" s="66"/>
      <c r="FF66" s="66"/>
      <c r="FG66" s="66"/>
      <c r="FH66" s="66"/>
      <c r="FI66" s="66"/>
      <c r="FJ66" s="66"/>
      <c r="FK66" s="66"/>
      <c r="FL66" s="66"/>
      <c r="FM66" s="66"/>
      <c r="FN66" s="66"/>
      <c r="FO66" s="66"/>
      <c r="FP66" s="66"/>
      <c r="FQ66" s="66"/>
      <c r="FR66" s="66"/>
      <c r="FS66" s="66"/>
      <c r="FT66" s="66"/>
      <c r="FU66" s="66"/>
      <c r="FV66" s="66"/>
      <c r="FW66" s="66"/>
      <c r="FX66" s="66"/>
      <c r="FY66" s="66"/>
      <c r="FZ66" s="66"/>
      <c r="GA66" s="66"/>
      <c r="GB66" s="66"/>
      <c r="GC66" s="66"/>
      <c r="GD66" s="66"/>
      <c r="GE66" s="66"/>
      <c r="GF66" s="66"/>
      <c r="GG66" s="66"/>
      <c r="GH66" s="66"/>
      <c r="GI66" s="66"/>
      <c r="GJ66" s="66"/>
      <c r="GK66" s="66"/>
      <c r="GL66" s="66"/>
      <c r="GM66" s="66"/>
      <c r="GN66" s="66"/>
      <c r="GO66" s="66"/>
      <c r="GP66" s="66"/>
      <c r="GQ66" s="66"/>
      <c r="GR66" s="66"/>
      <c r="GS66" s="66"/>
      <c r="GT66" s="66"/>
      <c r="GU66" s="66"/>
      <c r="GV66" s="66"/>
      <c r="GW66" s="66"/>
      <c r="GX66" s="66"/>
      <c r="GY66" s="66"/>
      <c r="GZ66" s="66"/>
      <c r="HA66" s="66"/>
      <c r="HB66" s="66"/>
      <c r="HC66" s="66"/>
      <c r="HD66" s="66"/>
      <c r="HE66" s="66"/>
      <c r="HF66" s="66"/>
      <c r="HG66" s="66"/>
      <c r="HH66" s="66"/>
      <c r="HI66" s="66"/>
      <c r="HJ66" s="66"/>
      <c r="HK66" s="66"/>
      <c r="HL66" s="66"/>
      <c r="HM66" s="66"/>
      <c r="HN66" s="66"/>
      <c r="HO66" s="66"/>
      <c r="HP66" s="66"/>
      <c r="HQ66" s="66"/>
      <c r="HR66" s="66"/>
      <c r="HS66" s="66"/>
      <c r="HT66" s="66"/>
      <c r="HU66" s="66"/>
      <c r="HV66" s="66"/>
      <c r="HW66" s="66"/>
      <c r="HX66" s="66"/>
      <c r="HY66" s="66"/>
      <c r="HZ66" s="66"/>
      <c r="IA66" s="66"/>
      <c r="IB66" s="66"/>
      <c r="IC66" s="66"/>
      <c r="ID66" s="66"/>
      <c r="IE66" s="66"/>
      <c r="IF66" s="66"/>
      <c r="IG66" s="66"/>
      <c r="IH66" s="66"/>
      <c r="II66" s="66"/>
      <c r="IJ66" s="66"/>
      <c r="IK66" s="66"/>
      <c r="IL66" s="66"/>
      <c r="IM66" s="66"/>
      <c r="IN66" s="66"/>
      <c r="IO66" s="66"/>
      <c r="IP66" s="66"/>
      <c r="IQ66" s="66"/>
      <c r="IR66" s="66"/>
      <c r="IS66" s="66"/>
      <c r="IT66" s="66"/>
      <c r="IU66" s="66"/>
      <c r="IV66" s="66"/>
      <c r="IW66" s="66"/>
      <c r="IX66" s="66"/>
      <c r="IY66" s="66"/>
      <c r="IZ66" s="66"/>
      <c r="JA66" s="66"/>
      <c r="JB66" s="66"/>
      <c r="JC66" s="66"/>
      <c r="JD66" s="66"/>
      <c r="JE66" s="66"/>
      <c r="JF66" s="66"/>
      <c r="JG66" s="66"/>
      <c r="JH66" s="66"/>
      <c r="JI66" s="66"/>
      <c r="JJ66" s="66"/>
      <c r="JK66" s="66"/>
      <c r="JL66" s="66"/>
      <c r="JM66" s="66"/>
      <c r="JN66" s="66"/>
      <c r="JO66" s="66"/>
      <c r="JP66" s="66"/>
      <c r="JQ66" s="66"/>
      <c r="JR66" s="66"/>
      <c r="JS66" s="66"/>
      <c r="JT66" s="66"/>
      <c r="JU66" s="66"/>
      <c r="JV66" s="66"/>
      <c r="JW66" s="66"/>
      <c r="JX66" s="66"/>
      <c r="JY66" s="66"/>
      <c r="JZ66" s="66"/>
      <c r="KA66" s="66"/>
      <c r="KB66" s="66"/>
      <c r="KC66" s="66"/>
      <c r="KD66" s="66"/>
      <c r="KE66" s="66"/>
      <c r="KF66" s="66"/>
      <c r="KG66" s="66"/>
      <c r="KH66" s="66"/>
      <c r="KI66" s="66"/>
      <c r="KJ66" s="66"/>
      <c r="KK66" s="66"/>
      <c r="KL66" s="66"/>
      <c r="KM66" s="66"/>
      <c r="KN66" s="66"/>
      <c r="KO66" s="66"/>
      <c r="KP66" s="66"/>
      <c r="KQ66" s="66"/>
      <c r="KR66" s="66"/>
      <c r="KS66" s="66"/>
      <c r="KT66" s="66"/>
      <c r="KU66" s="66"/>
      <c r="KV66" s="66"/>
      <c r="KW66" s="66"/>
      <c r="KX66" s="66"/>
      <c r="KY66" s="66"/>
      <c r="KZ66" s="66"/>
      <c r="LA66" s="66"/>
      <c r="LB66" s="66"/>
      <c r="LC66" s="66"/>
      <c r="LD66" s="66"/>
      <c r="LE66" s="66"/>
      <c r="LF66" s="66"/>
      <c r="LG66" s="66"/>
      <c r="LH66" s="66"/>
      <c r="LI66" s="66"/>
      <c r="LJ66" s="66"/>
      <c r="LK66" s="66"/>
      <c r="LL66" s="66"/>
      <c r="LM66" s="66"/>
      <c r="LN66" s="66"/>
      <c r="LO66" s="66"/>
      <c r="LP66" s="66"/>
      <c r="LQ66" s="66"/>
      <c r="LR66" s="66"/>
      <c r="LS66" s="66"/>
      <c r="LT66" s="66"/>
      <c r="LU66" s="66"/>
      <c r="LV66" s="66"/>
      <c r="LW66" s="66"/>
      <c r="LX66" s="66"/>
      <c r="LY66" s="66"/>
      <c r="LZ66" s="66"/>
      <c r="MA66" s="66"/>
      <c r="MB66" s="66"/>
      <c r="MC66" s="66"/>
      <c r="MD66" s="66"/>
      <c r="ME66" s="66"/>
      <c r="MF66" s="66"/>
      <c r="MG66" s="66"/>
      <c r="MH66" s="66"/>
      <c r="MI66" s="66"/>
      <c r="MJ66" s="66"/>
      <c r="MK66" s="66"/>
      <c r="ML66" s="66"/>
      <c r="MM66" s="66"/>
      <c r="MN66" s="66"/>
      <c r="MO66" s="66"/>
      <c r="MP66" s="66"/>
      <c r="MQ66" s="66"/>
      <c r="MR66" s="66"/>
      <c r="MS66" s="66"/>
      <c r="MT66" s="66"/>
      <c r="MU66" s="66"/>
      <c r="MV66" s="66"/>
      <c r="MW66" s="66"/>
      <c r="MX66" s="66"/>
      <c r="MY66" s="66"/>
      <c r="MZ66" s="66"/>
      <c r="NA66" s="66"/>
      <c r="NB66" s="66"/>
      <c r="NC66" s="66"/>
      <c r="ND66" s="66"/>
      <c r="NE66" s="66"/>
      <c r="NF66" s="66"/>
      <c r="NG66" s="66"/>
      <c r="NH66" s="66"/>
      <c r="NI66" s="66"/>
      <c r="NJ66" s="66"/>
      <c r="NK66" s="66"/>
      <c r="NL66" s="66"/>
      <c r="NM66" s="66"/>
      <c r="NN66" s="66"/>
      <c r="NO66" s="66"/>
      <c r="NP66" s="66"/>
      <c r="NQ66" s="66"/>
      <c r="NR66" s="66"/>
      <c r="NS66" s="66"/>
      <c r="NT66" s="66"/>
      <c r="NU66" s="66"/>
      <c r="NV66" s="66"/>
      <c r="NW66" s="66"/>
      <c r="NX66" s="66"/>
      <c r="NY66" s="66"/>
      <c r="NZ66" s="66"/>
      <c r="OA66" s="66"/>
      <c r="OB66" s="66"/>
      <c r="OC66" s="66"/>
      <c r="OD66" s="66"/>
      <c r="OE66" s="66"/>
      <c r="OF66" s="66"/>
      <c r="OG66" s="66"/>
      <c r="OH66" s="66"/>
      <c r="OI66" s="66"/>
      <c r="OJ66" s="66"/>
      <c r="OK66" s="66"/>
      <c r="OL66" s="66"/>
      <c r="OM66" s="66"/>
      <c r="ON66" s="66"/>
      <c r="OO66" s="66"/>
      <c r="OP66" s="66"/>
      <c r="OQ66" s="66"/>
      <c r="OR66" s="66"/>
      <c r="OS66" s="66"/>
      <c r="OT66" s="66"/>
      <c r="OU66" s="66"/>
      <c r="OV66" s="66"/>
      <c r="OW66" s="66"/>
      <c r="OX66" s="66"/>
      <c r="OY66" s="66"/>
      <c r="OZ66" s="66"/>
      <c r="PA66" s="66"/>
      <c r="PB66" s="66"/>
      <c r="PC66" s="66"/>
      <c r="PD66" s="66"/>
      <c r="PE66" s="66"/>
      <c r="PF66" s="66"/>
      <c r="PG66" s="66"/>
      <c r="PH66" s="66"/>
      <c r="PI66" s="66"/>
      <c r="PJ66" s="66"/>
      <c r="PK66" s="66"/>
      <c r="PL66" s="66"/>
      <c r="PM66" s="66"/>
      <c r="PN66" s="66"/>
      <c r="PO66" s="66"/>
      <c r="PP66" s="66"/>
      <c r="PQ66" s="66"/>
      <c r="PR66" s="66"/>
      <c r="PS66" s="66"/>
      <c r="PT66" s="66"/>
      <c r="PU66" s="66"/>
      <c r="PV66" s="66"/>
      <c r="PW66" s="66"/>
      <c r="PX66" s="66"/>
      <c r="PY66" s="66"/>
      <c r="PZ66" s="66"/>
      <c r="QA66" s="66"/>
      <c r="QB66" s="66"/>
      <c r="QC66" s="66"/>
      <c r="QD66" s="66"/>
      <c r="QE66" s="66"/>
      <c r="QF66" s="66"/>
      <c r="QG66" s="66"/>
      <c r="QH66" s="66"/>
      <c r="QI66" s="66"/>
      <c r="QJ66" s="66"/>
      <c r="QK66" s="66"/>
      <c r="QL66" s="66"/>
      <c r="QM66" s="66"/>
      <c r="QN66" s="66"/>
      <c r="QO66" s="66"/>
      <c r="QP66" s="66"/>
      <c r="QQ66" s="66"/>
      <c r="QR66" s="66"/>
      <c r="QS66" s="66"/>
      <c r="QT66" s="66"/>
      <c r="QU66" s="66"/>
      <c r="QV66" s="66"/>
      <c r="QW66" s="66"/>
      <c r="QX66" s="66"/>
      <c r="QY66" s="66"/>
      <c r="QZ66" s="66"/>
      <c r="RA66" s="66"/>
      <c r="RB66" s="66"/>
      <c r="RC66" s="66"/>
      <c r="RD66" s="66"/>
      <c r="RE66" s="66"/>
      <c r="RF66" s="66"/>
      <c r="RG66" s="66"/>
      <c r="RH66" s="66"/>
      <c r="RI66" s="66"/>
      <c r="RJ66" s="66"/>
      <c r="RK66" s="66"/>
      <c r="RL66" s="66"/>
      <c r="RM66" s="66"/>
      <c r="RN66" s="66"/>
      <c r="RO66" s="66"/>
      <c r="RP66" s="66"/>
      <c r="RQ66" s="66"/>
      <c r="RR66" s="66"/>
      <c r="RS66" s="66"/>
      <c r="RT66" s="66"/>
      <c r="RU66" s="66"/>
      <c r="RV66" s="66"/>
      <c r="RW66" s="66"/>
      <c r="RX66" s="66"/>
      <c r="RY66" s="66"/>
      <c r="RZ66" s="66"/>
      <c r="SA66" s="66"/>
      <c r="SB66" s="66"/>
      <c r="SC66" s="66"/>
      <c r="SD66" s="66"/>
      <c r="SE66" s="66"/>
      <c r="SF66" s="66"/>
      <c r="SG66" s="66"/>
      <c r="SH66" s="66"/>
      <c r="SI66" s="66"/>
      <c r="SJ66" s="66"/>
      <c r="SK66" s="66"/>
      <c r="SL66" s="66"/>
      <c r="SM66" s="66"/>
      <c r="SN66" s="66"/>
      <c r="SO66" s="66"/>
      <c r="SP66" s="66"/>
      <c r="SQ66" s="66"/>
      <c r="SR66" s="66"/>
      <c r="SS66" s="66"/>
      <c r="ST66" s="66"/>
      <c r="SU66" s="66"/>
      <c r="SV66" s="66"/>
      <c r="SW66" s="66"/>
      <c r="SX66" s="66"/>
      <c r="SY66" s="66"/>
      <c r="SZ66" s="66"/>
      <c r="TA66" s="66"/>
      <c r="TB66" s="66"/>
      <c r="TC66" s="66"/>
      <c r="TD66" s="66"/>
      <c r="TE66" s="66"/>
      <c r="TF66" s="66"/>
      <c r="TG66" s="66"/>
      <c r="TH66" s="66"/>
      <c r="TI66" s="66"/>
      <c r="TJ66" s="66"/>
      <c r="TK66" s="66"/>
      <c r="TL66" s="66"/>
      <c r="TM66" s="66"/>
      <c r="TN66" s="66"/>
      <c r="TO66" s="66"/>
      <c r="TP66" s="66"/>
      <c r="TQ66" s="66"/>
      <c r="TR66" s="66"/>
      <c r="TS66" s="66"/>
      <c r="TT66" s="66"/>
      <c r="TU66" s="66"/>
      <c r="TV66" s="66"/>
      <c r="TW66" s="66"/>
      <c r="TX66" s="66"/>
      <c r="TY66" s="66"/>
      <c r="TZ66" s="66"/>
      <c r="UA66" s="66"/>
      <c r="UB66" s="66"/>
      <c r="UC66" s="66"/>
      <c r="UD66" s="66"/>
      <c r="UE66" s="66"/>
      <c r="UF66" s="66"/>
      <c r="UG66" s="66"/>
      <c r="UH66" s="66"/>
      <c r="UI66" s="66"/>
      <c r="UJ66" s="66"/>
      <c r="UK66" s="66"/>
      <c r="UL66" s="66"/>
      <c r="UM66" s="66"/>
      <c r="UN66" s="66"/>
      <c r="UO66" s="66"/>
      <c r="UP66" s="66"/>
      <c r="UQ66" s="66"/>
      <c r="UR66" s="66"/>
      <c r="US66" s="66"/>
      <c r="UT66" s="66"/>
      <c r="UU66" s="66"/>
      <c r="UV66" s="66"/>
      <c r="UW66" s="66"/>
      <c r="UX66" s="66"/>
      <c r="UY66" s="66"/>
      <c r="UZ66" s="66"/>
      <c r="VA66" s="66"/>
      <c r="VB66" s="66"/>
      <c r="VC66" s="66"/>
      <c r="VD66" s="66"/>
      <c r="VE66" s="66"/>
      <c r="VF66" s="66"/>
      <c r="VG66" s="66"/>
      <c r="VH66" s="66"/>
      <c r="VI66" s="66"/>
      <c r="VJ66" s="66"/>
      <c r="VK66" s="66"/>
      <c r="VL66" s="66"/>
      <c r="VM66" s="66"/>
      <c r="VN66" s="66"/>
      <c r="VO66" s="66"/>
      <c r="VP66" s="66"/>
      <c r="VQ66" s="66"/>
      <c r="VR66" s="66"/>
      <c r="VS66" s="66"/>
      <c r="VT66" s="66"/>
      <c r="VU66" s="66"/>
      <c r="VV66" s="66"/>
      <c r="VW66" s="66"/>
      <c r="VX66" s="66"/>
      <c r="VY66" s="66"/>
      <c r="VZ66" s="66"/>
      <c r="WA66" s="66"/>
      <c r="WB66" s="66"/>
      <c r="WC66" s="66"/>
      <c r="WD66" s="66"/>
      <c r="WE66" s="66"/>
      <c r="WF66" s="66"/>
      <c r="WG66" s="66"/>
      <c r="WH66" s="66"/>
      <c r="WI66" s="66"/>
      <c r="WJ66" s="66"/>
      <c r="WK66" s="66"/>
      <c r="WL66" s="66"/>
      <c r="WM66" s="66"/>
      <c r="WN66" s="66"/>
      <c r="WO66" s="66"/>
      <c r="WP66" s="66"/>
      <c r="WQ66" s="66"/>
      <c r="WR66" s="66"/>
      <c r="WS66" s="66"/>
      <c r="WT66" s="66"/>
      <c r="WU66" s="66"/>
      <c r="WV66" s="66"/>
      <c r="WW66" s="66"/>
      <c r="WX66" s="66"/>
      <c r="WY66" s="66"/>
      <c r="WZ66" s="66"/>
      <c r="XA66" s="66"/>
      <c r="XB66" s="66"/>
      <c r="XC66" s="66"/>
      <c r="XD66" s="66"/>
      <c r="XE66" s="66"/>
      <c r="XF66" s="66"/>
      <c r="XG66" s="66"/>
      <c r="XH66" s="66"/>
      <c r="XI66" s="66"/>
      <c r="XJ66" s="66"/>
      <c r="XK66" s="66"/>
      <c r="XL66" s="66"/>
      <c r="XM66" s="66"/>
      <c r="XN66" s="66"/>
      <c r="XO66" s="66"/>
      <c r="XP66" s="66"/>
      <c r="XQ66" s="66"/>
      <c r="XR66" s="66"/>
      <c r="XS66" s="66"/>
      <c r="XT66" s="66"/>
      <c r="XU66" s="66"/>
      <c r="XV66" s="66"/>
      <c r="XW66" s="66"/>
      <c r="XX66" s="66"/>
      <c r="XY66" s="66"/>
      <c r="XZ66" s="66"/>
      <c r="YA66" s="66"/>
      <c r="YB66" s="66"/>
      <c r="YC66" s="66"/>
      <c r="YD66" s="66"/>
      <c r="YE66" s="66"/>
      <c r="YF66" s="66"/>
      <c r="YG66" s="66"/>
      <c r="YH66" s="66"/>
      <c r="YI66" s="66"/>
      <c r="YJ66" s="66"/>
      <c r="YK66" s="66"/>
      <c r="YL66" s="66"/>
      <c r="YM66" s="66"/>
      <c r="YN66" s="66"/>
      <c r="YO66" s="66"/>
      <c r="YP66" s="66"/>
      <c r="YQ66" s="66"/>
      <c r="YR66" s="66"/>
      <c r="YS66" s="66"/>
      <c r="YT66" s="66"/>
      <c r="YU66" s="66"/>
      <c r="YV66" s="66"/>
      <c r="YW66" s="66"/>
      <c r="YX66" s="66"/>
      <c r="YY66" s="66"/>
      <c r="YZ66" s="66"/>
      <c r="ZA66" s="66"/>
      <c r="ZB66" s="66"/>
      <c r="ZC66" s="66"/>
      <c r="ZD66" s="66"/>
      <c r="ZE66" s="66"/>
      <c r="ZF66" s="66"/>
      <c r="ZG66" s="66"/>
      <c r="ZH66" s="66"/>
      <c r="ZI66" s="66"/>
      <c r="ZJ66" s="66"/>
      <c r="ZK66" s="66"/>
      <c r="ZL66" s="66"/>
      <c r="ZM66" s="66"/>
      <c r="ZN66" s="66"/>
      <c r="ZO66" s="66"/>
      <c r="ZP66" s="66"/>
      <c r="ZQ66" s="66"/>
      <c r="ZR66" s="66"/>
      <c r="ZS66" s="66"/>
      <c r="ZT66" s="66"/>
      <c r="ZU66" s="66"/>
      <c r="ZV66" s="66"/>
      <c r="ZW66" s="66"/>
      <c r="ZX66" s="66"/>
    </row>
    <row r="67" spans="1:700" s="20" customFormat="1" ht="15.75" x14ac:dyDescent="0.25">
      <c r="A67" s="74"/>
      <c r="B67" s="75"/>
      <c r="C67" s="75"/>
      <c r="D67" s="120"/>
      <c r="E67" s="112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  <c r="CH67" s="66"/>
      <c r="CI67" s="66"/>
      <c r="CJ67" s="66"/>
      <c r="CK67" s="66"/>
      <c r="CL67" s="66"/>
      <c r="CM67" s="66"/>
      <c r="CN67" s="66"/>
      <c r="CO67" s="66"/>
      <c r="CP67" s="66"/>
      <c r="CQ67" s="66"/>
      <c r="CR67" s="66"/>
      <c r="CS67" s="66"/>
      <c r="CT67" s="66"/>
      <c r="CU67" s="66"/>
      <c r="CV67" s="66"/>
      <c r="CW67" s="66"/>
      <c r="CX67" s="66"/>
      <c r="CY67" s="66"/>
      <c r="CZ67" s="66"/>
      <c r="DA67" s="66"/>
      <c r="DB67" s="66"/>
      <c r="DC67" s="66"/>
      <c r="DD67" s="66"/>
      <c r="DE67" s="66"/>
      <c r="DF67" s="66"/>
      <c r="DG67" s="66"/>
      <c r="DH67" s="66"/>
      <c r="DI67" s="66"/>
      <c r="DJ67" s="66"/>
      <c r="DK67" s="66"/>
      <c r="DL67" s="66"/>
      <c r="DM67" s="66"/>
      <c r="DN67" s="66"/>
      <c r="DO67" s="66"/>
      <c r="DP67" s="66"/>
      <c r="DQ67" s="66"/>
      <c r="DR67" s="66"/>
      <c r="DS67" s="66"/>
      <c r="DT67" s="66"/>
      <c r="DU67" s="66"/>
      <c r="DV67" s="66"/>
      <c r="DW67" s="66"/>
      <c r="DX67" s="66"/>
      <c r="DY67" s="66"/>
      <c r="DZ67" s="66"/>
      <c r="EA67" s="66"/>
      <c r="EB67" s="66"/>
      <c r="EC67" s="66"/>
      <c r="ED67" s="66"/>
      <c r="EE67" s="66"/>
      <c r="EF67" s="66"/>
      <c r="EG67" s="66"/>
      <c r="EH67" s="66"/>
      <c r="EI67" s="66"/>
      <c r="EJ67" s="66"/>
      <c r="EK67" s="66"/>
      <c r="EL67" s="66"/>
      <c r="EM67" s="66"/>
      <c r="EN67" s="66"/>
      <c r="EO67" s="66"/>
      <c r="EP67" s="66"/>
      <c r="EQ67" s="66"/>
      <c r="ER67" s="66"/>
      <c r="ES67" s="66"/>
      <c r="ET67" s="66"/>
      <c r="EU67" s="66"/>
      <c r="EV67" s="66"/>
      <c r="EW67" s="66"/>
      <c r="EX67" s="66"/>
      <c r="EY67" s="66"/>
      <c r="EZ67" s="66"/>
      <c r="FA67" s="66"/>
      <c r="FB67" s="66"/>
      <c r="FC67" s="66"/>
      <c r="FD67" s="66"/>
      <c r="FE67" s="66"/>
      <c r="FF67" s="66"/>
      <c r="FG67" s="66"/>
      <c r="FH67" s="66"/>
      <c r="FI67" s="66"/>
      <c r="FJ67" s="66"/>
      <c r="FK67" s="66"/>
      <c r="FL67" s="66"/>
      <c r="FM67" s="66"/>
      <c r="FN67" s="66"/>
      <c r="FO67" s="66"/>
      <c r="FP67" s="66"/>
      <c r="FQ67" s="66"/>
      <c r="FR67" s="66"/>
      <c r="FS67" s="66"/>
      <c r="FT67" s="66"/>
      <c r="FU67" s="66"/>
      <c r="FV67" s="66"/>
      <c r="FW67" s="66"/>
      <c r="FX67" s="66"/>
      <c r="FY67" s="66"/>
      <c r="FZ67" s="66"/>
      <c r="GA67" s="66"/>
      <c r="GB67" s="66"/>
      <c r="GC67" s="66"/>
      <c r="GD67" s="66"/>
      <c r="GE67" s="66"/>
      <c r="GF67" s="66"/>
      <c r="GG67" s="66"/>
      <c r="GH67" s="66"/>
      <c r="GI67" s="66"/>
      <c r="GJ67" s="66"/>
      <c r="GK67" s="66"/>
      <c r="GL67" s="66"/>
      <c r="GM67" s="66"/>
      <c r="GN67" s="66"/>
      <c r="GO67" s="66"/>
      <c r="GP67" s="66"/>
      <c r="GQ67" s="66"/>
      <c r="GR67" s="66"/>
      <c r="GS67" s="66"/>
      <c r="GT67" s="66"/>
      <c r="GU67" s="66"/>
      <c r="GV67" s="66"/>
      <c r="GW67" s="66"/>
      <c r="GX67" s="66"/>
      <c r="GY67" s="66"/>
      <c r="GZ67" s="66"/>
      <c r="HA67" s="66"/>
      <c r="HB67" s="66"/>
      <c r="HC67" s="66"/>
      <c r="HD67" s="66"/>
      <c r="HE67" s="66"/>
      <c r="HF67" s="66"/>
      <c r="HG67" s="66"/>
      <c r="HH67" s="66"/>
      <c r="HI67" s="66"/>
      <c r="HJ67" s="66"/>
      <c r="HK67" s="66"/>
      <c r="HL67" s="66"/>
      <c r="HM67" s="66"/>
      <c r="HN67" s="66"/>
      <c r="HO67" s="66"/>
      <c r="HP67" s="66"/>
      <c r="HQ67" s="66"/>
      <c r="HR67" s="66"/>
      <c r="HS67" s="66"/>
      <c r="HT67" s="66"/>
      <c r="HU67" s="66"/>
      <c r="HV67" s="66"/>
      <c r="HW67" s="66"/>
      <c r="HX67" s="66"/>
      <c r="HY67" s="66"/>
      <c r="HZ67" s="66"/>
      <c r="IA67" s="66"/>
      <c r="IB67" s="66"/>
      <c r="IC67" s="66"/>
      <c r="ID67" s="66"/>
      <c r="IE67" s="66"/>
      <c r="IF67" s="66"/>
      <c r="IG67" s="66"/>
      <c r="IH67" s="66"/>
      <c r="II67" s="66"/>
      <c r="IJ67" s="66"/>
      <c r="IK67" s="66"/>
      <c r="IL67" s="66"/>
      <c r="IM67" s="66"/>
      <c r="IN67" s="66"/>
      <c r="IO67" s="66"/>
      <c r="IP67" s="66"/>
      <c r="IQ67" s="66"/>
      <c r="IR67" s="66"/>
      <c r="IS67" s="66"/>
      <c r="IT67" s="66"/>
      <c r="IU67" s="66"/>
      <c r="IV67" s="66"/>
      <c r="IW67" s="66"/>
      <c r="IX67" s="66"/>
      <c r="IY67" s="66"/>
      <c r="IZ67" s="66"/>
      <c r="JA67" s="66"/>
      <c r="JB67" s="66"/>
      <c r="JC67" s="66"/>
      <c r="JD67" s="66"/>
      <c r="JE67" s="66"/>
      <c r="JF67" s="66"/>
      <c r="JG67" s="66"/>
      <c r="JH67" s="66"/>
      <c r="JI67" s="66"/>
      <c r="JJ67" s="66"/>
      <c r="JK67" s="66"/>
      <c r="JL67" s="66"/>
      <c r="JM67" s="66"/>
      <c r="JN67" s="66"/>
      <c r="JO67" s="66"/>
      <c r="JP67" s="66"/>
      <c r="JQ67" s="66"/>
      <c r="JR67" s="66"/>
      <c r="JS67" s="66"/>
      <c r="JT67" s="66"/>
      <c r="JU67" s="66"/>
      <c r="JV67" s="66"/>
      <c r="JW67" s="66"/>
      <c r="JX67" s="66"/>
      <c r="JY67" s="66"/>
      <c r="JZ67" s="66"/>
      <c r="KA67" s="66"/>
      <c r="KB67" s="66"/>
      <c r="KC67" s="66"/>
      <c r="KD67" s="66"/>
      <c r="KE67" s="66"/>
      <c r="KF67" s="66"/>
      <c r="KG67" s="66"/>
      <c r="KH67" s="66"/>
      <c r="KI67" s="66"/>
      <c r="KJ67" s="66"/>
      <c r="KK67" s="66"/>
      <c r="KL67" s="66"/>
      <c r="KM67" s="66"/>
      <c r="KN67" s="66"/>
      <c r="KO67" s="66"/>
      <c r="KP67" s="66"/>
      <c r="KQ67" s="66"/>
      <c r="KR67" s="66"/>
      <c r="KS67" s="66"/>
      <c r="KT67" s="66"/>
      <c r="KU67" s="66"/>
      <c r="KV67" s="66"/>
      <c r="KW67" s="66"/>
      <c r="KX67" s="66"/>
      <c r="KY67" s="66"/>
      <c r="KZ67" s="66"/>
      <c r="LA67" s="66"/>
      <c r="LB67" s="66"/>
      <c r="LC67" s="66"/>
      <c r="LD67" s="66"/>
      <c r="LE67" s="66"/>
      <c r="LF67" s="66"/>
      <c r="LG67" s="66"/>
      <c r="LH67" s="66"/>
      <c r="LI67" s="66"/>
      <c r="LJ67" s="66"/>
      <c r="LK67" s="66"/>
      <c r="LL67" s="66"/>
      <c r="LM67" s="66"/>
      <c r="LN67" s="66"/>
      <c r="LO67" s="66"/>
      <c r="LP67" s="66"/>
      <c r="LQ67" s="66"/>
      <c r="LR67" s="66"/>
      <c r="LS67" s="66"/>
      <c r="LT67" s="66"/>
      <c r="LU67" s="66"/>
      <c r="LV67" s="66"/>
      <c r="LW67" s="66"/>
      <c r="LX67" s="66"/>
      <c r="LY67" s="66"/>
      <c r="LZ67" s="66"/>
      <c r="MA67" s="66"/>
      <c r="MB67" s="66"/>
      <c r="MC67" s="66"/>
      <c r="MD67" s="66"/>
      <c r="ME67" s="66"/>
      <c r="MF67" s="66"/>
      <c r="MG67" s="66"/>
      <c r="MH67" s="66"/>
      <c r="MI67" s="66"/>
      <c r="MJ67" s="66"/>
      <c r="MK67" s="66"/>
      <c r="ML67" s="66"/>
      <c r="MM67" s="66"/>
      <c r="MN67" s="66"/>
      <c r="MO67" s="66"/>
      <c r="MP67" s="66"/>
      <c r="MQ67" s="66"/>
      <c r="MR67" s="66"/>
      <c r="MS67" s="66"/>
      <c r="MT67" s="66"/>
      <c r="MU67" s="66"/>
      <c r="MV67" s="66"/>
      <c r="MW67" s="66"/>
      <c r="MX67" s="66"/>
      <c r="MY67" s="66"/>
      <c r="MZ67" s="66"/>
      <c r="NA67" s="66"/>
      <c r="NB67" s="66"/>
      <c r="NC67" s="66"/>
      <c r="ND67" s="66"/>
      <c r="NE67" s="66"/>
      <c r="NF67" s="66"/>
      <c r="NG67" s="66"/>
      <c r="NH67" s="66"/>
      <c r="NI67" s="66"/>
      <c r="NJ67" s="66"/>
      <c r="NK67" s="66"/>
      <c r="NL67" s="66"/>
      <c r="NM67" s="66"/>
      <c r="NN67" s="66"/>
      <c r="NO67" s="66"/>
      <c r="NP67" s="66"/>
      <c r="NQ67" s="66"/>
      <c r="NR67" s="66"/>
      <c r="NS67" s="66"/>
      <c r="NT67" s="66"/>
      <c r="NU67" s="66"/>
      <c r="NV67" s="66"/>
      <c r="NW67" s="66"/>
      <c r="NX67" s="66"/>
      <c r="NY67" s="66"/>
      <c r="NZ67" s="66"/>
      <c r="OA67" s="66"/>
      <c r="OB67" s="66"/>
      <c r="OC67" s="66"/>
      <c r="OD67" s="66"/>
      <c r="OE67" s="66"/>
      <c r="OF67" s="66"/>
      <c r="OG67" s="66"/>
      <c r="OH67" s="66"/>
      <c r="OI67" s="66"/>
      <c r="OJ67" s="66"/>
      <c r="OK67" s="66"/>
      <c r="OL67" s="66"/>
      <c r="OM67" s="66"/>
      <c r="ON67" s="66"/>
      <c r="OO67" s="66"/>
      <c r="OP67" s="66"/>
      <c r="OQ67" s="66"/>
      <c r="OR67" s="66"/>
      <c r="OS67" s="66"/>
      <c r="OT67" s="66"/>
      <c r="OU67" s="66"/>
      <c r="OV67" s="66"/>
      <c r="OW67" s="66"/>
      <c r="OX67" s="66"/>
      <c r="OY67" s="66"/>
      <c r="OZ67" s="66"/>
      <c r="PA67" s="66"/>
      <c r="PB67" s="66"/>
      <c r="PC67" s="66"/>
      <c r="PD67" s="66"/>
      <c r="PE67" s="66"/>
      <c r="PF67" s="66"/>
      <c r="PG67" s="66"/>
      <c r="PH67" s="66"/>
      <c r="PI67" s="66"/>
      <c r="PJ67" s="66"/>
      <c r="PK67" s="66"/>
      <c r="PL67" s="66"/>
      <c r="PM67" s="66"/>
      <c r="PN67" s="66"/>
      <c r="PO67" s="66"/>
      <c r="PP67" s="66"/>
      <c r="PQ67" s="66"/>
      <c r="PR67" s="66"/>
      <c r="PS67" s="66"/>
      <c r="PT67" s="66"/>
      <c r="PU67" s="66"/>
      <c r="PV67" s="66"/>
      <c r="PW67" s="66"/>
      <c r="PX67" s="66"/>
      <c r="PY67" s="66"/>
      <c r="PZ67" s="66"/>
      <c r="QA67" s="66"/>
      <c r="QB67" s="66"/>
      <c r="QC67" s="66"/>
      <c r="QD67" s="66"/>
      <c r="QE67" s="66"/>
      <c r="QF67" s="66"/>
      <c r="QG67" s="66"/>
      <c r="QH67" s="66"/>
      <c r="QI67" s="66"/>
      <c r="QJ67" s="66"/>
      <c r="QK67" s="66"/>
      <c r="QL67" s="66"/>
      <c r="QM67" s="66"/>
      <c r="QN67" s="66"/>
      <c r="QO67" s="66"/>
      <c r="QP67" s="66"/>
      <c r="QQ67" s="66"/>
      <c r="QR67" s="66"/>
      <c r="QS67" s="66"/>
      <c r="QT67" s="66"/>
      <c r="QU67" s="66"/>
      <c r="QV67" s="66"/>
      <c r="QW67" s="66"/>
      <c r="QX67" s="66"/>
      <c r="QY67" s="66"/>
      <c r="QZ67" s="66"/>
      <c r="RA67" s="66"/>
      <c r="RB67" s="66"/>
      <c r="RC67" s="66"/>
      <c r="RD67" s="66"/>
      <c r="RE67" s="66"/>
      <c r="RF67" s="66"/>
      <c r="RG67" s="66"/>
      <c r="RH67" s="66"/>
      <c r="RI67" s="66"/>
      <c r="RJ67" s="66"/>
      <c r="RK67" s="66"/>
      <c r="RL67" s="66"/>
      <c r="RM67" s="66"/>
      <c r="RN67" s="66"/>
      <c r="RO67" s="66"/>
      <c r="RP67" s="66"/>
      <c r="RQ67" s="66"/>
      <c r="RR67" s="66"/>
      <c r="RS67" s="66"/>
      <c r="RT67" s="66"/>
      <c r="RU67" s="66"/>
      <c r="RV67" s="66"/>
      <c r="RW67" s="66"/>
      <c r="RX67" s="66"/>
      <c r="RY67" s="66"/>
      <c r="RZ67" s="66"/>
      <c r="SA67" s="66"/>
      <c r="SB67" s="66"/>
      <c r="SC67" s="66"/>
      <c r="SD67" s="66"/>
      <c r="SE67" s="66"/>
      <c r="SF67" s="66"/>
      <c r="SG67" s="66"/>
      <c r="SH67" s="66"/>
      <c r="SI67" s="66"/>
      <c r="SJ67" s="66"/>
      <c r="SK67" s="66"/>
      <c r="SL67" s="66"/>
      <c r="SM67" s="66"/>
      <c r="SN67" s="66"/>
      <c r="SO67" s="66"/>
      <c r="SP67" s="66"/>
      <c r="SQ67" s="66"/>
      <c r="SR67" s="66"/>
      <c r="SS67" s="66"/>
      <c r="ST67" s="66"/>
      <c r="SU67" s="66"/>
      <c r="SV67" s="66"/>
      <c r="SW67" s="66"/>
      <c r="SX67" s="66"/>
      <c r="SY67" s="66"/>
      <c r="SZ67" s="66"/>
      <c r="TA67" s="66"/>
      <c r="TB67" s="66"/>
      <c r="TC67" s="66"/>
      <c r="TD67" s="66"/>
      <c r="TE67" s="66"/>
      <c r="TF67" s="66"/>
      <c r="TG67" s="66"/>
      <c r="TH67" s="66"/>
      <c r="TI67" s="66"/>
      <c r="TJ67" s="66"/>
      <c r="TK67" s="66"/>
      <c r="TL67" s="66"/>
      <c r="TM67" s="66"/>
      <c r="TN67" s="66"/>
      <c r="TO67" s="66"/>
      <c r="TP67" s="66"/>
      <c r="TQ67" s="66"/>
      <c r="TR67" s="66"/>
      <c r="TS67" s="66"/>
      <c r="TT67" s="66"/>
      <c r="TU67" s="66"/>
      <c r="TV67" s="66"/>
      <c r="TW67" s="66"/>
      <c r="TX67" s="66"/>
      <c r="TY67" s="66"/>
      <c r="TZ67" s="66"/>
      <c r="UA67" s="66"/>
      <c r="UB67" s="66"/>
      <c r="UC67" s="66"/>
      <c r="UD67" s="66"/>
      <c r="UE67" s="66"/>
      <c r="UF67" s="66"/>
      <c r="UG67" s="66"/>
      <c r="UH67" s="66"/>
      <c r="UI67" s="66"/>
      <c r="UJ67" s="66"/>
      <c r="UK67" s="66"/>
      <c r="UL67" s="66"/>
      <c r="UM67" s="66"/>
      <c r="UN67" s="66"/>
      <c r="UO67" s="66"/>
      <c r="UP67" s="66"/>
      <c r="UQ67" s="66"/>
      <c r="UR67" s="66"/>
      <c r="US67" s="66"/>
      <c r="UT67" s="66"/>
      <c r="UU67" s="66"/>
      <c r="UV67" s="66"/>
      <c r="UW67" s="66"/>
      <c r="UX67" s="66"/>
      <c r="UY67" s="66"/>
      <c r="UZ67" s="66"/>
      <c r="VA67" s="66"/>
      <c r="VB67" s="66"/>
      <c r="VC67" s="66"/>
      <c r="VD67" s="66"/>
      <c r="VE67" s="66"/>
      <c r="VF67" s="66"/>
      <c r="VG67" s="66"/>
      <c r="VH67" s="66"/>
      <c r="VI67" s="66"/>
      <c r="VJ67" s="66"/>
      <c r="VK67" s="66"/>
      <c r="VL67" s="66"/>
      <c r="VM67" s="66"/>
      <c r="VN67" s="66"/>
      <c r="VO67" s="66"/>
      <c r="VP67" s="66"/>
      <c r="VQ67" s="66"/>
      <c r="VR67" s="66"/>
      <c r="VS67" s="66"/>
      <c r="VT67" s="66"/>
      <c r="VU67" s="66"/>
      <c r="VV67" s="66"/>
      <c r="VW67" s="66"/>
      <c r="VX67" s="66"/>
      <c r="VY67" s="66"/>
      <c r="VZ67" s="66"/>
      <c r="WA67" s="66"/>
      <c r="WB67" s="66"/>
      <c r="WC67" s="66"/>
      <c r="WD67" s="66"/>
      <c r="WE67" s="66"/>
      <c r="WF67" s="66"/>
      <c r="WG67" s="66"/>
      <c r="WH67" s="66"/>
      <c r="WI67" s="66"/>
      <c r="WJ67" s="66"/>
      <c r="WK67" s="66"/>
      <c r="WL67" s="66"/>
      <c r="WM67" s="66"/>
      <c r="WN67" s="66"/>
      <c r="WO67" s="66"/>
      <c r="WP67" s="66"/>
      <c r="WQ67" s="66"/>
      <c r="WR67" s="66"/>
      <c r="WS67" s="66"/>
      <c r="WT67" s="66"/>
      <c r="WU67" s="66"/>
      <c r="WV67" s="66"/>
      <c r="WW67" s="66"/>
      <c r="WX67" s="66"/>
      <c r="WY67" s="66"/>
      <c r="WZ67" s="66"/>
      <c r="XA67" s="66"/>
      <c r="XB67" s="66"/>
      <c r="XC67" s="66"/>
      <c r="XD67" s="66"/>
      <c r="XE67" s="66"/>
      <c r="XF67" s="66"/>
      <c r="XG67" s="66"/>
      <c r="XH67" s="66"/>
      <c r="XI67" s="66"/>
      <c r="XJ67" s="66"/>
      <c r="XK67" s="66"/>
      <c r="XL67" s="66"/>
      <c r="XM67" s="66"/>
      <c r="XN67" s="66"/>
      <c r="XO67" s="66"/>
      <c r="XP67" s="66"/>
      <c r="XQ67" s="66"/>
      <c r="XR67" s="66"/>
      <c r="XS67" s="66"/>
      <c r="XT67" s="66"/>
      <c r="XU67" s="66"/>
      <c r="XV67" s="66"/>
      <c r="XW67" s="66"/>
      <c r="XX67" s="66"/>
      <c r="XY67" s="66"/>
      <c r="XZ67" s="66"/>
      <c r="YA67" s="66"/>
      <c r="YB67" s="66"/>
      <c r="YC67" s="66"/>
      <c r="YD67" s="66"/>
      <c r="YE67" s="66"/>
      <c r="YF67" s="66"/>
      <c r="YG67" s="66"/>
      <c r="YH67" s="66"/>
      <c r="YI67" s="66"/>
      <c r="YJ67" s="66"/>
      <c r="YK67" s="66"/>
      <c r="YL67" s="66"/>
      <c r="YM67" s="66"/>
      <c r="YN67" s="66"/>
      <c r="YO67" s="66"/>
      <c r="YP67" s="66"/>
      <c r="YQ67" s="66"/>
      <c r="YR67" s="66"/>
      <c r="YS67" s="66"/>
      <c r="YT67" s="66"/>
      <c r="YU67" s="66"/>
      <c r="YV67" s="66"/>
      <c r="YW67" s="66"/>
      <c r="YX67" s="66"/>
      <c r="YY67" s="66"/>
      <c r="YZ67" s="66"/>
      <c r="ZA67" s="66"/>
      <c r="ZB67" s="66"/>
      <c r="ZC67" s="66"/>
      <c r="ZD67" s="66"/>
      <c r="ZE67" s="66"/>
      <c r="ZF67" s="66"/>
      <c r="ZG67" s="66"/>
      <c r="ZH67" s="66"/>
      <c r="ZI67" s="66"/>
      <c r="ZJ67" s="66"/>
      <c r="ZK67" s="66"/>
      <c r="ZL67" s="66"/>
      <c r="ZM67" s="66"/>
      <c r="ZN67" s="66"/>
      <c r="ZO67" s="66"/>
      <c r="ZP67" s="66"/>
      <c r="ZQ67" s="66"/>
      <c r="ZR67" s="66"/>
      <c r="ZS67" s="66"/>
      <c r="ZT67" s="66"/>
      <c r="ZU67" s="66"/>
      <c r="ZV67" s="66"/>
      <c r="ZW67" s="66"/>
      <c r="ZX67" s="66"/>
    </row>
    <row r="68" spans="1:700" s="20" customFormat="1" ht="15.75" x14ac:dyDescent="0.25">
      <c r="A68" s="74"/>
      <c r="B68" s="75"/>
      <c r="C68" s="75"/>
      <c r="D68" s="120"/>
      <c r="E68" s="112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  <c r="DO68" s="66"/>
      <c r="DP68" s="66"/>
      <c r="DQ68" s="66"/>
      <c r="DR68" s="66"/>
      <c r="DS68" s="66"/>
      <c r="DT68" s="66"/>
      <c r="DU68" s="66"/>
      <c r="DV68" s="66"/>
      <c r="DW68" s="66"/>
      <c r="DX68" s="66"/>
      <c r="DY68" s="66"/>
      <c r="DZ68" s="66"/>
      <c r="EA68" s="66"/>
      <c r="EB68" s="66"/>
      <c r="EC68" s="66"/>
      <c r="ED68" s="66"/>
      <c r="EE68" s="66"/>
      <c r="EF68" s="66"/>
      <c r="EG68" s="66"/>
      <c r="EH68" s="66"/>
      <c r="EI68" s="66"/>
      <c r="EJ68" s="6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66"/>
      <c r="EV68" s="66"/>
      <c r="EW68" s="66"/>
      <c r="EX68" s="66"/>
      <c r="EY68" s="66"/>
      <c r="EZ68" s="66"/>
      <c r="FA68" s="66"/>
      <c r="FB68" s="66"/>
      <c r="FC68" s="66"/>
      <c r="FD68" s="66"/>
      <c r="FE68" s="66"/>
      <c r="FF68" s="66"/>
      <c r="FG68" s="66"/>
      <c r="FH68" s="66"/>
      <c r="FI68" s="66"/>
      <c r="FJ68" s="66"/>
      <c r="FK68" s="66"/>
      <c r="FL68" s="66"/>
      <c r="FM68" s="66"/>
      <c r="FN68" s="66"/>
      <c r="FO68" s="66"/>
      <c r="FP68" s="66"/>
      <c r="FQ68" s="66"/>
      <c r="FR68" s="66"/>
      <c r="FS68" s="66"/>
      <c r="FT68" s="66"/>
      <c r="FU68" s="66"/>
      <c r="FV68" s="66"/>
      <c r="FW68" s="66"/>
      <c r="FX68" s="66"/>
      <c r="FY68" s="66"/>
      <c r="FZ68" s="66"/>
      <c r="GA68" s="66"/>
      <c r="GB68" s="66"/>
      <c r="GC68" s="66"/>
      <c r="GD68" s="66"/>
      <c r="GE68" s="66"/>
      <c r="GF68" s="66"/>
      <c r="GG68" s="66"/>
      <c r="GH68" s="66"/>
      <c r="GI68" s="66"/>
      <c r="GJ68" s="66"/>
      <c r="GK68" s="66"/>
      <c r="GL68" s="66"/>
      <c r="GM68" s="66"/>
      <c r="GN68" s="66"/>
      <c r="GO68" s="66"/>
      <c r="GP68" s="66"/>
      <c r="GQ68" s="66"/>
      <c r="GR68" s="66"/>
      <c r="GS68" s="66"/>
      <c r="GT68" s="66"/>
      <c r="GU68" s="66"/>
      <c r="GV68" s="66"/>
      <c r="GW68" s="66"/>
      <c r="GX68" s="66"/>
      <c r="GY68" s="66"/>
      <c r="GZ68" s="66"/>
      <c r="HA68" s="66"/>
      <c r="HB68" s="66"/>
      <c r="HC68" s="66"/>
      <c r="HD68" s="66"/>
      <c r="HE68" s="66"/>
      <c r="HF68" s="66"/>
      <c r="HG68" s="66"/>
      <c r="HH68" s="66"/>
      <c r="HI68" s="66"/>
      <c r="HJ68" s="66"/>
      <c r="HK68" s="66"/>
      <c r="HL68" s="66"/>
      <c r="HM68" s="66"/>
      <c r="HN68" s="66"/>
      <c r="HO68" s="66"/>
      <c r="HP68" s="66"/>
      <c r="HQ68" s="66"/>
      <c r="HR68" s="66"/>
      <c r="HS68" s="66"/>
      <c r="HT68" s="66"/>
      <c r="HU68" s="66"/>
      <c r="HV68" s="66"/>
      <c r="HW68" s="66"/>
      <c r="HX68" s="66"/>
      <c r="HY68" s="66"/>
      <c r="HZ68" s="66"/>
      <c r="IA68" s="66"/>
      <c r="IB68" s="66"/>
      <c r="IC68" s="66"/>
      <c r="ID68" s="66"/>
      <c r="IE68" s="66"/>
      <c r="IF68" s="66"/>
      <c r="IG68" s="66"/>
      <c r="IH68" s="66"/>
      <c r="II68" s="66"/>
      <c r="IJ68" s="66"/>
      <c r="IK68" s="66"/>
      <c r="IL68" s="66"/>
      <c r="IM68" s="66"/>
      <c r="IN68" s="66"/>
      <c r="IO68" s="66"/>
      <c r="IP68" s="66"/>
      <c r="IQ68" s="66"/>
      <c r="IR68" s="66"/>
      <c r="IS68" s="66"/>
      <c r="IT68" s="66"/>
      <c r="IU68" s="66"/>
      <c r="IV68" s="66"/>
      <c r="IW68" s="66"/>
      <c r="IX68" s="66"/>
      <c r="IY68" s="66"/>
      <c r="IZ68" s="66"/>
      <c r="JA68" s="66"/>
      <c r="JB68" s="66"/>
      <c r="JC68" s="66"/>
      <c r="JD68" s="66"/>
      <c r="JE68" s="66"/>
      <c r="JF68" s="66"/>
      <c r="JG68" s="66"/>
      <c r="JH68" s="66"/>
      <c r="JI68" s="66"/>
      <c r="JJ68" s="66"/>
      <c r="JK68" s="66"/>
      <c r="JL68" s="66"/>
      <c r="JM68" s="66"/>
      <c r="JN68" s="66"/>
      <c r="JO68" s="66"/>
      <c r="JP68" s="66"/>
      <c r="JQ68" s="66"/>
      <c r="JR68" s="66"/>
      <c r="JS68" s="66"/>
      <c r="JT68" s="66"/>
      <c r="JU68" s="66"/>
      <c r="JV68" s="66"/>
      <c r="JW68" s="66"/>
      <c r="JX68" s="66"/>
      <c r="JY68" s="66"/>
      <c r="JZ68" s="66"/>
      <c r="KA68" s="66"/>
      <c r="KB68" s="66"/>
      <c r="KC68" s="66"/>
      <c r="KD68" s="66"/>
      <c r="KE68" s="66"/>
      <c r="KF68" s="66"/>
      <c r="KG68" s="66"/>
      <c r="KH68" s="66"/>
      <c r="KI68" s="66"/>
      <c r="KJ68" s="66"/>
      <c r="KK68" s="66"/>
      <c r="KL68" s="66"/>
      <c r="KM68" s="66"/>
      <c r="KN68" s="66"/>
      <c r="KO68" s="66"/>
      <c r="KP68" s="66"/>
      <c r="KQ68" s="66"/>
      <c r="KR68" s="66"/>
      <c r="KS68" s="66"/>
      <c r="KT68" s="66"/>
      <c r="KU68" s="66"/>
      <c r="KV68" s="66"/>
      <c r="KW68" s="66"/>
      <c r="KX68" s="66"/>
      <c r="KY68" s="66"/>
      <c r="KZ68" s="66"/>
      <c r="LA68" s="66"/>
      <c r="LB68" s="66"/>
      <c r="LC68" s="66"/>
      <c r="LD68" s="66"/>
      <c r="LE68" s="66"/>
      <c r="LF68" s="66"/>
      <c r="LG68" s="66"/>
      <c r="LH68" s="66"/>
      <c r="LI68" s="66"/>
      <c r="LJ68" s="66"/>
      <c r="LK68" s="66"/>
      <c r="LL68" s="66"/>
      <c r="LM68" s="66"/>
      <c r="LN68" s="66"/>
      <c r="LO68" s="66"/>
      <c r="LP68" s="66"/>
      <c r="LQ68" s="66"/>
      <c r="LR68" s="66"/>
      <c r="LS68" s="66"/>
      <c r="LT68" s="66"/>
      <c r="LU68" s="66"/>
      <c r="LV68" s="66"/>
      <c r="LW68" s="66"/>
      <c r="LX68" s="66"/>
      <c r="LY68" s="66"/>
      <c r="LZ68" s="66"/>
      <c r="MA68" s="66"/>
      <c r="MB68" s="66"/>
      <c r="MC68" s="66"/>
      <c r="MD68" s="66"/>
      <c r="ME68" s="66"/>
      <c r="MF68" s="66"/>
      <c r="MG68" s="66"/>
      <c r="MH68" s="66"/>
      <c r="MI68" s="66"/>
      <c r="MJ68" s="66"/>
      <c r="MK68" s="66"/>
      <c r="ML68" s="66"/>
      <c r="MM68" s="66"/>
      <c r="MN68" s="66"/>
      <c r="MO68" s="66"/>
      <c r="MP68" s="66"/>
      <c r="MQ68" s="66"/>
      <c r="MR68" s="66"/>
      <c r="MS68" s="66"/>
      <c r="MT68" s="66"/>
      <c r="MU68" s="66"/>
      <c r="MV68" s="66"/>
      <c r="MW68" s="66"/>
      <c r="MX68" s="66"/>
      <c r="MY68" s="66"/>
      <c r="MZ68" s="66"/>
      <c r="NA68" s="66"/>
      <c r="NB68" s="66"/>
      <c r="NC68" s="66"/>
      <c r="ND68" s="66"/>
      <c r="NE68" s="66"/>
      <c r="NF68" s="66"/>
      <c r="NG68" s="66"/>
      <c r="NH68" s="66"/>
      <c r="NI68" s="66"/>
      <c r="NJ68" s="66"/>
      <c r="NK68" s="66"/>
      <c r="NL68" s="66"/>
      <c r="NM68" s="66"/>
      <c r="NN68" s="66"/>
      <c r="NO68" s="66"/>
      <c r="NP68" s="66"/>
      <c r="NQ68" s="66"/>
      <c r="NR68" s="66"/>
      <c r="NS68" s="66"/>
      <c r="NT68" s="66"/>
      <c r="NU68" s="66"/>
      <c r="NV68" s="66"/>
      <c r="NW68" s="66"/>
      <c r="NX68" s="66"/>
      <c r="NY68" s="66"/>
      <c r="NZ68" s="66"/>
      <c r="OA68" s="66"/>
      <c r="OB68" s="66"/>
      <c r="OC68" s="66"/>
      <c r="OD68" s="66"/>
      <c r="OE68" s="66"/>
      <c r="OF68" s="66"/>
      <c r="OG68" s="66"/>
      <c r="OH68" s="66"/>
      <c r="OI68" s="66"/>
      <c r="OJ68" s="66"/>
      <c r="OK68" s="66"/>
      <c r="OL68" s="66"/>
      <c r="OM68" s="66"/>
      <c r="ON68" s="66"/>
      <c r="OO68" s="66"/>
      <c r="OP68" s="66"/>
      <c r="OQ68" s="66"/>
      <c r="OR68" s="66"/>
      <c r="OS68" s="66"/>
      <c r="OT68" s="66"/>
      <c r="OU68" s="66"/>
      <c r="OV68" s="66"/>
      <c r="OW68" s="66"/>
      <c r="OX68" s="66"/>
      <c r="OY68" s="66"/>
      <c r="OZ68" s="66"/>
      <c r="PA68" s="66"/>
      <c r="PB68" s="66"/>
      <c r="PC68" s="66"/>
      <c r="PD68" s="66"/>
      <c r="PE68" s="66"/>
      <c r="PF68" s="66"/>
      <c r="PG68" s="66"/>
      <c r="PH68" s="66"/>
      <c r="PI68" s="66"/>
      <c r="PJ68" s="66"/>
      <c r="PK68" s="66"/>
      <c r="PL68" s="66"/>
      <c r="PM68" s="66"/>
      <c r="PN68" s="66"/>
      <c r="PO68" s="66"/>
      <c r="PP68" s="66"/>
      <c r="PQ68" s="66"/>
      <c r="PR68" s="66"/>
      <c r="PS68" s="66"/>
      <c r="PT68" s="66"/>
      <c r="PU68" s="66"/>
      <c r="PV68" s="66"/>
      <c r="PW68" s="66"/>
      <c r="PX68" s="66"/>
      <c r="PY68" s="66"/>
      <c r="PZ68" s="66"/>
      <c r="QA68" s="66"/>
      <c r="QB68" s="66"/>
      <c r="QC68" s="66"/>
      <c r="QD68" s="66"/>
      <c r="QE68" s="66"/>
      <c r="QF68" s="66"/>
      <c r="QG68" s="66"/>
      <c r="QH68" s="66"/>
      <c r="QI68" s="66"/>
      <c r="QJ68" s="66"/>
      <c r="QK68" s="66"/>
      <c r="QL68" s="66"/>
      <c r="QM68" s="66"/>
      <c r="QN68" s="66"/>
      <c r="QO68" s="66"/>
      <c r="QP68" s="66"/>
      <c r="QQ68" s="66"/>
      <c r="QR68" s="66"/>
      <c r="QS68" s="66"/>
      <c r="QT68" s="66"/>
      <c r="QU68" s="66"/>
      <c r="QV68" s="66"/>
      <c r="QW68" s="66"/>
      <c r="QX68" s="66"/>
      <c r="QY68" s="66"/>
      <c r="QZ68" s="66"/>
      <c r="RA68" s="66"/>
      <c r="RB68" s="66"/>
      <c r="RC68" s="66"/>
      <c r="RD68" s="66"/>
      <c r="RE68" s="66"/>
      <c r="RF68" s="66"/>
      <c r="RG68" s="66"/>
      <c r="RH68" s="66"/>
      <c r="RI68" s="66"/>
      <c r="RJ68" s="66"/>
      <c r="RK68" s="66"/>
      <c r="RL68" s="66"/>
      <c r="RM68" s="66"/>
      <c r="RN68" s="66"/>
      <c r="RO68" s="66"/>
      <c r="RP68" s="66"/>
      <c r="RQ68" s="66"/>
      <c r="RR68" s="66"/>
      <c r="RS68" s="66"/>
      <c r="RT68" s="66"/>
      <c r="RU68" s="66"/>
      <c r="RV68" s="66"/>
      <c r="RW68" s="66"/>
      <c r="RX68" s="66"/>
      <c r="RY68" s="66"/>
      <c r="RZ68" s="66"/>
      <c r="SA68" s="66"/>
      <c r="SB68" s="66"/>
      <c r="SC68" s="66"/>
      <c r="SD68" s="66"/>
      <c r="SE68" s="66"/>
      <c r="SF68" s="66"/>
      <c r="SG68" s="66"/>
      <c r="SH68" s="66"/>
      <c r="SI68" s="66"/>
      <c r="SJ68" s="66"/>
      <c r="SK68" s="66"/>
      <c r="SL68" s="66"/>
      <c r="SM68" s="66"/>
      <c r="SN68" s="66"/>
      <c r="SO68" s="66"/>
      <c r="SP68" s="66"/>
      <c r="SQ68" s="66"/>
      <c r="SR68" s="66"/>
      <c r="SS68" s="66"/>
      <c r="ST68" s="66"/>
      <c r="SU68" s="66"/>
      <c r="SV68" s="66"/>
      <c r="SW68" s="66"/>
      <c r="SX68" s="66"/>
      <c r="SY68" s="66"/>
      <c r="SZ68" s="66"/>
      <c r="TA68" s="66"/>
      <c r="TB68" s="66"/>
      <c r="TC68" s="66"/>
      <c r="TD68" s="66"/>
      <c r="TE68" s="66"/>
      <c r="TF68" s="66"/>
      <c r="TG68" s="66"/>
      <c r="TH68" s="66"/>
      <c r="TI68" s="66"/>
      <c r="TJ68" s="66"/>
      <c r="TK68" s="66"/>
      <c r="TL68" s="66"/>
      <c r="TM68" s="66"/>
      <c r="TN68" s="66"/>
      <c r="TO68" s="66"/>
      <c r="TP68" s="66"/>
      <c r="TQ68" s="66"/>
      <c r="TR68" s="66"/>
      <c r="TS68" s="66"/>
      <c r="TT68" s="66"/>
      <c r="TU68" s="66"/>
      <c r="TV68" s="66"/>
      <c r="TW68" s="66"/>
      <c r="TX68" s="66"/>
      <c r="TY68" s="66"/>
      <c r="TZ68" s="66"/>
      <c r="UA68" s="66"/>
      <c r="UB68" s="66"/>
      <c r="UC68" s="66"/>
      <c r="UD68" s="66"/>
      <c r="UE68" s="66"/>
      <c r="UF68" s="66"/>
      <c r="UG68" s="66"/>
      <c r="UH68" s="66"/>
      <c r="UI68" s="66"/>
      <c r="UJ68" s="66"/>
      <c r="UK68" s="66"/>
      <c r="UL68" s="66"/>
      <c r="UM68" s="66"/>
      <c r="UN68" s="66"/>
      <c r="UO68" s="66"/>
      <c r="UP68" s="66"/>
      <c r="UQ68" s="66"/>
      <c r="UR68" s="66"/>
      <c r="US68" s="66"/>
      <c r="UT68" s="66"/>
      <c r="UU68" s="66"/>
      <c r="UV68" s="66"/>
      <c r="UW68" s="66"/>
      <c r="UX68" s="66"/>
      <c r="UY68" s="66"/>
      <c r="UZ68" s="66"/>
      <c r="VA68" s="66"/>
      <c r="VB68" s="66"/>
      <c r="VC68" s="66"/>
      <c r="VD68" s="66"/>
      <c r="VE68" s="66"/>
      <c r="VF68" s="66"/>
      <c r="VG68" s="66"/>
      <c r="VH68" s="66"/>
      <c r="VI68" s="66"/>
      <c r="VJ68" s="66"/>
      <c r="VK68" s="66"/>
      <c r="VL68" s="66"/>
      <c r="VM68" s="66"/>
      <c r="VN68" s="66"/>
      <c r="VO68" s="66"/>
      <c r="VP68" s="66"/>
      <c r="VQ68" s="66"/>
      <c r="VR68" s="66"/>
      <c r="VS68" s="66"/>
      <c r="VT68" s="66"/>
      <c r="VU68" s="66"/>
      <c r="VV68" s="66"/>
      <c r="VW68" s="66"/>
      <c r="VX68" s="66"/>
      <c r="VY68" s="66"/>
      <c r="VZ68" s="66"/>
      <c r="WA68" s="66"/>
      <c r="WB68" s="66"/>
      <c r="WC68" s="66"/>
      <c r="WD68" s="66"/>
      <c r="WE68" s="66"/>
      <c r="WF68" s="66"/>
      <c r="WG68" s="66"/>
      <c r="WH68" s="66"/>
      <c r="WI68" s="66"/>
      <c r="WJ68" s="66"/>
      <c r="WK68" s="66"/>
      <c r="WL68" s="66"/>
      <c r="WM68" s="66"/>
      <c r="WN68" s="66"/>
      <c r="WO68" s="66"/>
      <c r="WP68" s="66"/>
      <c r="WQ68" s="66"/>
      <c r="WR68" s="66"/>
      <c r="WS68" s="66"/>
      <c r="WT68" s="66"/>
      <c r="WU68" s="66"/>
      <c r="WV68" s="66"/>
      <c r="WW68" s="66"/>
      <c r="WX68" s="66"/>
      <c r="WY68" s="66"/>
      <c r="WZ68" s="66"/>
      <c r="XA68" s="66"/>
      <c r="XB68" s="66"/>
      <c r="XC68" s="66"/>
      <c r="XD68" s="66"/>
      <c r="XE68" s="66"/>
      <c r="XF68" s="66"/>
      <c r="XG68" s="66"/>
      <c r="XH68" s="66"/>
      <c r="XI68" s="66"/>
      <c r="XJ68" s="66"/>
      <c r="XK68" s="66"/>
      <c r="XL68" s="66"/>
      <c r="XM68" s="66"/>
      <c r="XN68" s="66"/>
      <c r="XO68" s="66"/>
      <c r="XP68" s="66"/>
      <c r="XQ68" s="66"/>
      <c r="XR68" s="66"/>
      <c r="XS68" s="66"/>
      <c r="XT68" s="66"/>
      <c r="XU68" s="66"/>
      <c r="XV68" s="66"/>
      <c r="XW68" s="66"/>
      <c r="XX68" s="66"/>
      <c r="XY68" s="66"/>
      <c r="XZ68" s="66"/>
      <c r="YA68" s="66"/>
      <c r="YB68" s="66"/>
      <c r="YC68" s="66"/>
      <c r="YD68" s="66"/>
      <c r="YE68" s="66"/>
      <c r="YF68" s="66"/>
      <c r="YG68" s="66"/>
      <c r="YH68" s="66"/>
      <c r="YI68" s="66"/>
      <c r="YJ68" s="66"/>
      <c r="YK68" s="66"/>
      <c r="YL68" s="66"/>
      <c r="YM68" s="66"/>
      <c r="YN68" s="66"/>
      <c r="YO68" s="66"/>
      <c r="YP68" s="66"/>
      <c r="YQ68" s="66"/>
      <c r="YR68" s="66"/>
      <c r="YS68" s="66"/>
      <c r="YT68" s="66"/>
      <c r="YU68" s="66"/>
      <c r="YV68" s="66"/>
      <c r="YW68" s="66"/>
      <c r="YX68" s="66"/>
      <c r="YY68" s="66"/>
      <c r="YZ68" s="66"/>
      <c r="ZA68" s="66"/>
      <c r="ZB68" s="66"/>
      <c r="ZC68" s="66"/>
      <c r="ZD68" s="66"/>
      <c r="ZE68" s="66"/>
      <c r="ZF68" s="66"/>
      <c r="ZG68" s="66"/>
      <c r="ZH68" s="66"/>
      <c r="ZI68" s="66"/>
      <c r="ZJ68" s="66"/>
      <c r="ZK68" s="66"/>
      <c r="ZL68" s="66"/>
      <c r="ZM68" s="66"/>
      <c r="ZN68" s="66"/>
      <c r="ZO68" s="66"/>
      <c r="ZP68" s="66"/>
      <c r="ZQ68" s="66"/>
      <c r="ZR68" s="66"/>
      <c r="ZS68" s="66"/>
      <c r="ZT68" s="66"/>
      <c r="ZU68" s="66"/>
      <c r="ZV68" s="66"/>
      <c r="ZW68" s="66"/>
      <c r="ZX68" s="66"/>
    </row>
    <row r="69" spans="1:700" s="20" customFormat="1" ht="15.75" x14ac:dyDescent="0.25">
      <c r="A69" s="74"/>
      <c r="B69" s="75"/>
      <c r="C69" s="75"/>
      <c r="D69" s="120"/>
      <c r="E69" s="112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  <c r="CH69" s="66"/>
      <c r="CI69" s="66"/>
      <c r="CJ69" s="66"/>
      <c r="CK69" s="66"/>
      <c r="CL69" s="66"/>
      <c r="CM69" s="66"/>
      <c r="CN69" s="66"/>
      <c r="CO69" s="66"/>
      <c r="CP69" s="66"/>
      <c r="CQ69" s="66"/>
      <c r="CR69" s="66"/>
      <c r="CS69" s="66"/>
      <c r="CT69" s="66"/>
      <c r="CU69" s="66"/>
      <c r="CV69" s="66"/>
      <c r="CW69" s="66"/>
      <c r="CX69" s="66"/>
      <c r="CY69" s="66"/>
      <c r="CZ69" s="66"/>
      <c r="DA69" s="66"/>
      <c r="DB69" s="66"/>
      <c r="DC69" s="66"/>
      <c r="DD69" s="66"/>
      <c r="DE69" s="66"/>
      <c r="DF69" s="66"/>
      <c r="DG69" s="66"/>
      <c r="DH69" s="66"/>
      <c r="DI69" s="66"/>
      <c r="DJ69" s="66"/>
      <c r="DK69" s="66"/>
      <c r="DL69" s="66"/>
      <c r="DM69" s="66"/>
      <c r="DN69" s="66"/>
      <c r="DO69" s="66"/>
      <c r="DP69" s="66"/>
      <c r="DQ69" s="66"/>
      <c r="DR69" s="66"/>
      <c r="DS69" s="66"/>
      <c r="DT69" s="66"/>
      <c r="DU69" s="66"/>
      <c r="DV69" s="66"/>
      <c r="DW69" s="66"/>
      <c r="DX69" s="66"/>
      <c r="DY69" s="66"/>
      <c r="DZ69" s="66"/>
      <c r="EA69" s="66"/>
      <c r="EB69" s="66"/>
      <c r="EC69" s="66"/>
      <c r="ED69" s="66"/>
      <c r="EE69" s="66"/>
      <c r="EF69" s="66"/>
      <c r="EG69" s="66"/>
      <c r="EH69" s="66"/>
      <c r="EI69" s="66"/>
      <c r="EJ69" s="66"/>
      <c r="EK69" s="66"/>
      <c r="EL69" s="66"/>
      <c r="EM69" s="66"/>
      <c r="EN69" s="66"/>
      <c r="EO69" s="66"/>
      <c r="EP69" s="66"/>
      <c r="EQ69" s="66"/>
      <c r="ER69" s="66"/>
      <c r="ES69" s="66"/>
      <c r="ET69" s="66"/>
      <c r="EU69" s="66"/>
      <c r="EV69" s="66"/>
      <c r="EW69" s="66"/>
      <c r="EX69" s="66"/>
      <c r="EY69" s="66"/>
      <c r="EZ69" s="66"/>
      <c r="FA69" s="66"/>
      <c r="FB69" s="66"/>
      <c r="FC69" s="66"/>
      <c r="FD69" s="66"/>
      <c r="FE69" s="66"/>
      <c r="FF69" s="66"/>
      <c r="FG69" s="66"/>
      <c r="FH69" s="66"/>
      <c r="FI69" s="66"/>
      <c r="FJ69" s="66"/>
      <c r="FK69" s="66"/>
      <c r="FL69" s="66"/>
      <c r="FM69" s="66"/>
      <c r="FN69" s="66"/>
      <c r="FO69" s="66"/>
      <c r="FP69" s="66"/>
      <c r="FQ69" s="66"/>
      <c r="FR69" s="66"/>
      <c r="FS69" s="66"/>
      <c r="FT69" s="66"/>
      <c r="FU69" s="66"/>
      <c r="FV69" s="66"/>
      <c r="FW69" s="66"/>
      <c r="FX69" s="66"/>
      <c r="FY69" s="66"/>
      <c r="FZ69" s="66"/>
      <c r="GA69" s="66"/>
      <c r="GB69" s="66"/>
      <c r="GC69" s="66"/>
      <c r="GD69" s="66"/>
      <c r="GE69" s="66"/>
      <c r="GF69" s="66"/>
      <c r="GG69" s="66"/>
      <c r="GH69" s="66"/>
      <c r="GI69" s="66"/>
      <c r="GJ69" s="66"/>
      <c r="GK69" s="66"/>
      <c r="GL69" s="66"/>
      <c r="GM69" s="66"/>
      <c r="GN69" s="66"/>
      <c r="GO69" s="66"/>
      <c r="GP69" s="66"/>
      <c r="GQ69" s="66"/>
      <c r="GR69" s="66"/>
      <c r="GS69" s="66"/>
      <c r="GT69" s="66"/>
      <c r="GU69" s="66"/>
      <c r="GV69" s="66"/>
      <c r="GW69" s="66"/>
      <c r="GX69" s="66"/>
      <c r="GY69" s="66"/>
      <c r="GZ69" s="66"/>
      <c r="HA69" s="66"/>
      <c r="HB69" s="66"/>
      <c r="HC69" s="66"/>
      <c r="HD69" s="66"/>
      <c r="HE69" s="66"/>
      <c r="HF69" s="66"/>
      <c r="HG69" s="66"/>
      <c r="HH69" s="66"/>
      <c r="HI69" s="66"/>
      <c r="HJ69" s="66"/>
      <c r="HK69" s="66"/>
      <c r="HL69" s="66"/>
      <c r="HM69" s="66"/>
      <c r="HN69" s="66"/>
      <c r="HO69" s="66"/>
      <c r="HP69" s="66"/>
      <c r="HQ69" s="66"/>
      <c r="HR69" s="66"/>
      <c r="HS69" s="66"/>
      <c r="HT69" s="66"/>
      <c r="HU69" s="66"/>
      <c r="HV69" s="66"/>
      <c r="HW69" s="66"/>
      <c r="HX69" s="66"/>
      <c r="HY69" s="66"/>
      <c r="HZ69" s="66"/>
      <c r="IA69" s="66"/>
      <c r="IB69" s="66"/>
      <c r="IC69" s="66"/>
      <c r="ID69" s="66"/>
      <c r="IE69" s="66"/>
      <c r="IF69" s="66"/>
      <c r="IG69" s="66"/>
      <c r="IH69" s="66"/>
      <c r="II69" s="66"/>
      <c r="IJ69" s="66"/>
      <c r="IK69" s="66"/>
      <c r="IL69" s="66"/>
      <c r="IM69" s="66"/>
      <c r="IN69" s="66"/>
      <c r="IO69" s="66"/>
      <c r="IP69" s="66"/>
      <c r="IQ69" s="66"/>
      <c r="IR69" s="66"/>
      <c r="IS69" s="66"/>
      <c r="IT69" s="66"/>
      <c r="IU69" s="66"/>
      <c r="IV69" s="66"/>
      <c r="IW69" s="66"/>
      <c r="IX69" s="66"/>
      <c r="IY69" s="66"/>
      <c r="IZ69" s="66"/>
      <c r="JA69" s="66"/>
      <c r="JB69" s="66"/>
      <c r="JC69" s="66"/>
      <c r="JD69" s="66"/>
      <c r="JE69" s="66"/>
      <c r="JF69" s="66"/>
      <c r="JG69" s="66"/>
      <c r="JH69" s="66"/>
      <c r="JI69" s="66"/>
      <c r="JJ69" s="66"/>
      <c r="JK69" s="66"/>
      <c r="JL69" s="66"/>
      <c r="JM69" s="66"/>
      <c r="JN69" s="66"/>
      <c r="JO69" s="66"/>
      <c r="JP69" s="66"/>
      <c r="JQ69" s="66"/>
      <c r="JR69" s="66"/>
      <c r="JS69" s="66"/>
      <c r="JT69" s="66"/>
      <c r="JU69" s="66"/>
      <c r="JV69" s="66"/>
      <c r="JW69" s="66"/>
      <c r="JX69" s="66"/>
      <c r="JY69" s="66"/>
      <c r="JZ69" s="66"/>
      <c r="KA69" s="66"/>
      <c r="KB69" s="66"/>
      <c r="KC69" s="66"/>
      <c r="KD69" s="66"/>
      <c r="KE69" s="66"/>
      <c r="KF69" s="66"/>
      <c r="KG69" s="66"/>
      <c r="KH69" s="66"/>
      <c r="KI69" s="66"/>
      <c r="KJ69" s="66"/>
      <c r="KK69" s="66"/>
      <c r="KL69" s="66"/>
      <c r="KM69" s="66"/>
      <c r="KN69" s="66"/>
      <c r="KO69" s="66"/>
      <c r="KP69" s="66"/>
      <c r="KQ69" s="66"/>
      <c r="KR69" s="66"/>
      <c r="KS69" s="66"/>
      <c r="KT69" s="66"/>
      <c r="KU69" s="66"/>
      <c r="KV69" s="66"/>
      <c r="KW69" s="66"/>
      <c r="KX69" s="66"/>
      <c r="KY69" s="66"/>
      <c r="KZ69" s="66"/>
      <c r="LA69" s="66"/>
      <c r="LB69" s="66"/>
      <c r="LC69" s="66"/>
      <c r="LD69" s="66"/>
      <c r="LE69" s="66"/>
      <c r="LF69" s="66"/>
      <c r="LG69" s="66"/>
      <c r="LH69" s="66"/>
      <c r="LI69" s="66"/>
      <c r="LJ69" s="66"/>
      <c r="LK69" s="66"/>
      <c r="LL69" s="66"/>
      <c r="LM69" s="66"/>
      <c r="LN69" s="66"/>
      <c r="LO69" s="66"/>
      <c r="LP69" s="66"/>
      <c r="LQ69" s="66"/>
      <c r="LR69" s="66"/>
      <c r="LS69" s="66"/>
      <c r="LT69" s="66"/>
      <c r="LU69" s="66"/>
      <c r="LV69" s="66"/>
      <c r="LW69" s="66"/>
      <c r="LX69" s="66"/>
      <c r="LY69" s="66"/>
      <c r="LZ69" s="66"/>
      <c r="MA69" s="66"/>
      <c r="MB69" s="66"/>
      <c r="MC69" s="66"/>
      <c r="MD69" s="66"/>
      <c r="ME69" s="66"/>
      <c r="MF69" s="66"/>
      <c r="MG69" s="66"/>
      <c r="MH69" s="66"/>
      <c r="MI69" s="66"/>
      <c r="MJ69" s="66"/>
      <c r="MK69" s="66"/>
      <c r="ML69" s="66"/>
      <c r="MM69" s="66"/>
      <c r="MN69" s="66"/>
      <c r="MO69" s="66"/>
      <c r="MP69" s="66"/>
      <c r="MQ69" s="66"/>
      <c r="MR69" s="66"/>
      <c r="MS69" s="66"/>
      <c r="MT69" s="66"/>
      <c r="MU69" s="66"/>
      <c r="MV69" s="66"/>
      <c r="MW69" s="66"/>
      <c r="MX69" s="66"/>
      <c r="MY69" s="66"/>
      <c r="MZ69" s="66"/>
      <c r="NA69" s="66"/>
      <c r="NB69" s="66"/>
      <c r="NC69" s="66"/>
      <c r="ND69" s="66"/>
      <c r="NE69" s="66"/>
      <c r="NF69" s="66"/>
      <c r="NG69" s="66"/>
      <c r="NH69" s="66"/>
      <c r="NI69" s="66"/>
      <c r="NJ69" s="66"/>
      <c r="NK69" s="66"/>
      <c r="NL69" s="66"/>
      <c r="NM69" s="66"/>
      <c r="NN69" s="66"/>
      <c r="NO69" s="66"/>
      <c r="NP69" s="66"/>
      <c r="NQ69" s="66"/>
      <c r="NR69" s="66"/>
      <c r="NS69" s="66"/>
      <c r="NT69" s="66"/>
      <c r="NU69" s="66"/>
      <c r="NV69" s="66"/>
      <c r="NW69" s="66"/>
      <c r="NX69" s="66"/>
      <c r="NY69" s="66"/>
      <c r="NZ69" s="66"/>
      <c r="OA69" s="66"/>
      <c r="OB69" s="66"/>
      <c r="OC69" s="66"/>
      <c r="OD69" s="66"/>
      <c r="OE69" s="66"/>
      <c r="OF69" s="66"/>
      <c r="OG69" s="66"/>
      <c r="OH69" s="66"/>
      <c r="OI69" s="66"/>
      <c r="OJ69" s="66"/>
      <c r="OK69" s="66"/>
      <c r="OL69" s="66"/>
      <c r="OM69" s="66"/>
      <c r="ON69" s="66"/>
      <c r="OO69" s="66"/>
      <c r="OP69" s="66"/>
      <c r="OQ69" s="66"/>
      <c r="OR69" s="66"/>
      <c r="OS69" s="66"/>
      <c r="OT69" s="66"/>
      <c r="OU69" s="66"/>
      <c r="OV69" s="66"/>
      <c r="OW69" s="66"/>
      <c r="OX69" s="66"/>
      <c r="OY69" s="66"/>
      <c r="OZ69" s="66"/>
      <c r="PA69" s="66"/>
      <c r="PB69" s="66"/>
      <c r="PC69" s="66"/>
      <c r="PD69" s="66"/>
      <c r="PE69" s="66"/>
      <c r="PF69" s="66"/>
      <c r="PG69" s="66"/>
      <c r="PH69" s="66"/>
      <c r="PI69" s="66"/>
      <c r="PJ69" s="66"/>
      <c r="PK69" s="66"/>
      <c r="PL69" s="66"/>
      <c r="PM69" s="66"/>
      <c r="PN69" s="66"/>
      <c r="PO69" s="66"/>
      <c r="PP69" s="66"/>
      <c r="PQ69" s="66"/>
      <c r="PR69" s="66"/>
      <c r="PS69" s="66"/>
      <c r="PT69" s="66"/>
      <c r="PU69" s="66"/>
      <c r="PV69" s="66"/>
      <c r="PW69" s="66"/>
      <c r="PX69" s="66"/>
      <c r="PY69" s="66"/>
      <c r="PZ69" s="66"/>
      <c r="QA69" s="66"/>
      <c r="QB69" s="66"/>
      <c r="QC69" s="66"/>
      <c r="QD69" s="66"/>
      <c r="QE69" s="66"/>
      <c r="QF69" s="66"/>
      <c r="QG69" s="66"/>
      <c r="QH69" s="66"/>
      <c r="QI69" s="66"/>
      <c r="QJ69" s="66"/>
      <c r="QK69" s="66"/>
      <c r="QL69" s="66"/>
      <c r="QM69" s="66"/>
      <c r="QN69" s="66"/>
      <c r="QO69" s="66"/>
      <c r="QP69" s="66"/>
      <c r="QQ69" s="66"/>
      <c r="QR69" s="66"/>
      <c r="QS69" s="66"/>
      <c r="QT69" s="66"/>
      <c r="QU69" s="66"/>
      <c r="QV69" s="66"/>
      <c r="QW69" s="66"/>
      <c r="QX69" s="66"/>
      <c r="QY69" s="66"/>
      <c r="QZ69" s="66"/>
      <c r="RA69" s="66"/>
      <c r="RB69" s="66"/>
      <c r="RC69" s="66"/>
      <c r="RD69" s="66"/>
      <c r="RE69" s="66"/>
      <c r="RF69" s="66"/>
      <c r="RG69" s="66"/>
      <c r="RH69" s="66"/>
      <c r="RI69" s="66"/>
      <c r="RJ69" s="66"/>
      <c r="RK69" s="66"/>
      <c r="RL69" s="66"/>
      <c r="RM69" s="66"/>
      <c r="RN69" s="66"/>
      <c r="RO69" s="66"/>
      <c r="RP69" s="66"/>
      <c r="RQ69" s="66"/>
      <c r="RR69" s="66"/>
      <c r="RS69" s="66"/>
      <c r="RT69" s="66"/>
      <c r="RU69" s="66"/>
      <c r="RV69" s="66"/>
      <c r="RW69" s="66"/>
      <c r="RX69" s="66"/>
      <c r="RY69" s="66"/>
      <c r="RZ69" s="66"/>
      <c r="SA69" s="66"/>
      <c r="SB69" s="66"/>
      <c r="SC69" s="66"/>
      <c r="SD69" s="66"/>
      <c r="SE69" s="66"/>
      <c r="SF69" s="66"/>
      <c r="SG69" s="66"/>
      <c r="SH69" s="66"/>
      <c r="SI69" s="66"/>
      <c r="SJ69" s="66"/>
      <c r="SK69" s="66"/>
      <c r="SL69" s="66"/>
      <c r="SM69" s="66"/>
      <c r="SN69" s="66"/>
      <c r="SO69" s="66"/>
      <c r="SP69" s="66"/>
      <c r="SQ69" s="66"/>
      <c r="SR69" s="66"/>
      <c r="SS69" s="66"/>
      <c r="ST69" s="66"/>
      <c r="SU69" s="66"/>
      <c r="SV69" s="66"/>
      <c r="SW69" s="66"/>
      <c r="SX69" s="66"/>
      <c r="SY69" s="66"/>
      <c r="SZ69" s="66"/>
      <c r="TA69" s="66"/>
      <c r="TB69" s="66"/>
      <c r="TC69" s="66"/>
      <c r="TD69" s="66"/>
      <c r="TE69" s="66"/>
      <c r="TF69" s="66"/>
      <c r="TG69" s="66"/>
      <c r="TH69" s="66"/>
      <c r="TI69" s="66"/>
      <c r="TJ69" s="66"/>
      <c r="TK69" s="66"/>
      <c r="TL69" s="66"/>
      <c r="TM69" s="66"/>
      <c r="TN69" s="66"/>
      <c r="TO69" s="66"/>
      <c r="TP69" s="66"/>
      <c r="TQ69" s="66"/>
      <c r="TR69" s="66"/>
      <c r="TS69" s="66"/>
      <c r="TT69" s="66"/>
      <c r="TU69" s="66"/>
      <c r="TV69" s="66"/>
      <c r="TW69" s="66"/>
      <c r="TX69" s="66"/>
      <c r="TY69" s="66"/>
      <c r="TZ69" s="66"/>
      <c r="UA69" s="66"/>
      <c r="UB69" s="66"/>
      <c r="UC69" s="66"/>
      <c r="UD69" s="66"/>
      <c r="UE69" s="66"/>
      <c r="UF69" s="66"/>
      <c r="UG69" s="66"/>
      <c r="UH69" s="66"/>
      <c r="UI69" s="66"/>
      <c r="UJ69" s="66"/>
      <c r="UK69" s="66"/>
      <c r="UL69" s="66"/>
      <c r="UM69" s="66"/>
      <c r="UN69" s="66"/>
      <c r="UO69" s="66"/>
      <c r="UP69" s="66"/>
      <c r="UQ69" s="66"/>
      <c r="UR69" s="66"/>
      <c r="US69" s="66"/>
      <c r="UT69" s="66"/>
      <c r="UU69" s="66"/>
      <c r="UV69" s="66"/>
      <c r="UW69" s="66"/>
      <c r="UX69" s="66"/>
      <c r="UY69" s="66"/>
      <c r="UZ69" s="66"/>
      <c r="VA69" s="66"/>
      <c r="VB69" s="66"/>
      <c r="VC69" s="66"/>
      <c r="VD69" s="66"/>
      <c r="VE69" s="66"/>
      <c r="VF69" s="66"/>
      <c r="VG69" s="66"/>
      <c r="VH69" s="66"/>
      <c r="VI69" s="66"/>
      <c r="VJ69" s="66"/>
      <c r="VK69" s="66"/>
      <c r="VL69" s="66"/>
      <c r="VM69" s="66"/>
      <c r="VN69" s="66"/>
      <c r="VO69" s="66"/>
      <c r="VP69" s="66"/>
      <c r="VQ69" s="66"/>
      <c r="VR69" s="66"/>
      <c r="VS69" s="66"/>
      <c r="VT69" s="66"/>
      <c r="VU69" s="66"/>
      <c r="VV69" s="66"/>
      <c r="VW69" s="66"/>
      <c r="VX69" s="66"/>
      <c r="VY69" s="66"/>
      <c r="VZ69" s="66"/>
      <c r="WA69" s="66"/>
      <c r="WB69" s="66"/>
      <c r="WC69" s="66"/>
      <c r="WD69" s="66"/>
      <c r="WE69" s="66"/>
      <c r="WF69" s="66"/>
      <c r="WG69" s="66"/>
      <c r="WH69" s="66"/>
      <c r="WI69" s="66"/>
      <c r="WJ69" s="66"/>
      <c r="WK69" s="66"/>
      <c r="WL69" s="66"/>
      <c r="WM69" s="66"/>
      <c r="WN69" s="66"/>
      <c r="WO69" s="66"/>
      <c r="WP69" s="66"/>
      <c r="WQ69" s="66"/>
      <c r="WR69" s="66"/>
      <c r="WS69" s="66"/>
      <c r="WT69" s="66"/>
      <c r="WU69" s="66"/>
      <c r="WV69" s="66"/>
      <c r="WW69" s="66"/>
      <c r="WX69" s="66"/>
      <c r="WY69" s="66"/>
      <c r="WZ69" s="66"/>
      <c r="XA69" s="66"/>
      <c r="XB69" s="66"/>
      <c r="XC69" s="66"/>
      <c r="XD69" s="66"/>
      <c r="XE69" s="66"/>
      <c r="XF69" s="66"/>
      <c r="XG69" s="66"/>
      <c r="XH69" s="66"/>
      <c r="XI69" s="66"/>
      <c r="XJ69" s="66"/>
      <c r="XK69" s="66"/>
      <c r="XL69" s="66"/>
      <c r="XM69" s="66"/>
      <c r="XN69" s="66"/>
      <c r="XO69" s="66"/>
      <c r="XP69" s="66"/>
      <c r="XQ69" s="66"/>
      <c r="XR69" s="66"/>
      <c r="XS69" s="66"/>
      <c r="XT69" s="66"/>
      <c r="XU69" s="66"/>
      <c r="XV69" s="66"/>
      <c r="XW69" s="66"/>
      <c r="XX69" s="66"/>
      <c r="XY69" s="66"/>
      <c r="XZ69" s="66"/>
      <c r="YA69" s="66"/>
      <c r="YB69" s="66"/>
      <c r="YC69" s="66"/>
      <c r="YD69" s="66"/>
      <c r="YE69" s="66"/>
      <c r="YF69" s="66"/>
      <c r="YG69" s="66"/>
      <c r="YH69" s="66"/>
      <c r="YI69" s="66"/>
      <c r="YJ69" s="66"/>
      <c r="YK69" s="66"/>
      <c r="YL69" s="66"/>
      <c r="YM69" s="66"/>
      <c r="YN69" s="66"/>
      <c r="YO69" s="66"/>
      <c r="YP69" s="66"/>
      <c r="YQ69" s="66"/>
      <c r="YR69" s="66"/>
      <c r="YS69" s="66"/>
      <c r="YT69" s="66"/>
      <c r="YU69" s="66"/>
      <c r="YV69" s="66"/>
      <c r="YW69" s="66"/>
      <c r="YX69" s="66"/>
      <c r="YY69" s="66"/>
      <c r="YZ69" s="66"/>
      <c r="ZA69" s="66"/>
      <c r="ZB69" s="66"/>
      <c r="ZC69" s="66"/>
      <c r="ZD69" s="66"/>
      <c r="ZE69" s="66"/>
      <c r="ZF69" s="66"/>
      <c r="ZG69" s="66"/>
      <c r="ZH69" s="66"/>
      <c r="ZI69" s="66"/>
      <c r="ZJ69" s="66"/>
      <c r="ZK69" s="66"/>
      <c r="ZL69" s="66"/>
      <c r="ZM69" s="66"/>
      <c r="ZN69" s="66"/>
      <c r="ZO69" s="66"/>
      <c r="ZP69" s="66"/>
      <c r="ZQ69" s="66"/>
      <c r="ZR69" s="66"/>
      <c r="ZS69" s="66"/>
      <c r="ZT69" s="66"/>
      <c r="ZU69" s="66"/>
      <c r="ZV69" s="66"/>
      <c r="ZW69" s="66"/>
      <c r="ZX69" s="66"/>
    </row>
    <row r="70" spans="1:700" s="20" customFormat="1" ht="15.75" x14ac:dyDescent="0.25">
      <c r="A70" s="74"/>
      <c r="B70" s="75"/>
      <c r="C70" s="75"/>
      <c r="D70" s="120"/>
      <c r="E70" s="112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  <c r="CH70" s="66"/>
      <c r="CI70" s="66"/>
      <c r="CJ70" s="66"/>
      <c r="CK70" s="66"/>
      <c r="CL70" s="66"/>
      <c r="CM70" s="66"/>
      <c r="CN70" s="66"/>
      <c r="CO70" s="66"/>
      <c r="CP70" s="66"/>
      <c r="CQ70" s="66"/>
      <c r="CR70" s="66"/>
      <c r="CS70" s="66"/>
      <c r="CT70" s="66"/>
      <c r="CU70" s="66"/>
      <c r="CV70" s="66"/>
      <c r="CW70" s="66"/>
      <c r="CX70" s="66"/>
      <c r="CY70" s="66"/>
      <c r="CZ70" s="66"/>
      <c r="DA70" s="66"/>
      <c r="DB70" s="66"/>
      <c r="DC70" s="66"/>
      <c r="DD70" s="66"/>
      <c r="DE70" s="66"/>
      <c r="DF70" s="66"/>
      <c r="DG70" s="66"/>
      <c r="DH70" s="66"/>
      <c r="DI70" s="66"/>
      <c r="DJ70" s="66"/>
      <c r="DK70" s="66"/>
      <c r="DL70" s="66"/>
      <c r="DM70" s="66"/>
      <c r="DN70" s="66"/>
      <c r="DO70" s="66"/>
      <c r="DP70" s="66"/>
      <c r="DQ70" s="66"/>
      <c r="DR70" s="66"/>
      <c r="DS70" s="66"/>
      <c r="DT70" s="66"/>
      <c r="DU70" s="66"/>
      <c r="DV70" s="66"/>
      <c r="DW70" s="66"/>
      <c r="DX70" s="66"/>
      <c r="DY70" s="66"/>
      <c r="DZ70" s="66"/>
      <c r="EA70" s="66"/>
      <c r="EB70" s="66"/>
      <c r="EC70" s="66"/>
      <c r="ED70" s="66"/>
      <c r="EE70" s="66"/>
      <c r="EF70" s="66"/>
      <c r="EG70" s="66"/>
      <c r="EH70" s="66"/>
      <c r="EI70" s="66"/>
      <c r="EJ70" s="66"/>
      <c r="EK70" s="66"/>
      <c r="EL70" s="66"/>
      <c r="EM70" s="66"/>
      <c r="EN70" s="66"/>
      <c r="EO70" s="66"/>
      <c r="EP70" s="66"/>
      <c r="EQ70" s="66"/>
      <c r="ER70" s="66"/>
      <c r="ES70" s="66"/>
      <c r="ET70" s="66"/>
      <c r="EU70" s="66"/>
      <c r="EV70" s="66"/>
      <c r="EW70" s="66"/>
      <c r="EX70" s="66"/>
      <c r="EY70" s="66"/>
      <c r="EZ70" s="66"/>
      <c r="FA70" s="66"/>
      <c r="FB70" s="66"/>
      <c r="FC70" s="66"/>
      <c r="FD70" s="66"/>
      <c r="FE70" s="66"/>
      <c r="FF70" s="66"/>
      <c r="FG70" s="66"/>
      <c r="FH70" s="66"/>
      <c r="FI70" s="66"/>
      <c r="FJ70" s="66"/>
      <c r="FK70" s="66"/>
      <c r="FL70" s="66"/>
      <c r="FM70" s="66"/>
      <c r="FN70" s="66"/>
      <c r="FO70" s="66"/>
      <c r="FP70" s="66"/>
      <c r="FQ70" s="66"/>
      <c r="FR70" s="66"/>
      <c r="FS70" s="66"/>
      <c r="FT70" s="66"/>
      <c r="FU70" s="66"/>
      <c r="FV70" s="66"/>
      <c r="FW70" s="66"/>
      <c r="FX70" s="66"/>
      <c r="FY70" s="66"/>
      <c r="FZ70" s="66"/>
      <c r="GA70" s="66"/>
      <c r="GB70" s="66"/>
      <c r="GC70" s="66"/>
      <c r="GD70" s="66"/>
      <c r="GE70" s="66"/>
      <c r="GF70" s="66"/>
      <c r="GG70" s="66"/>
      <c r="GH70" s="66"/>
      <c r="GI70" s="66"/>
      <c r="GJ70" s="66"/>
      <c r="GK70" s="66"/>
      <c r="GL70" s="66"/>
      <c r="GM70" s="66"/>
      <c r="GN70" s="66"/>
      <c r="GO70" s="66"/>
      <c r="GP70" s="66"/>
      <c r="GQ70" s="66"/>
      <c r="GR70" s="66"/>
      <c r="GS70" s="66"/>
      <c r="GT70" s="66"/>
      <c r="GU70" s="66"/>
      <c r="GV70" s="66"/>
      <c r="GW70" s="66"/>
      <c r="GX70" s="66"/>
      <c r="GY70" s="66"/>
      <c r="GZ70" s="66"/>
      <c r="HA70" s="66"/>
      <c r="HB70" s="66"/>
      <c r="HC70" s="66"/>
      <c r="HD70" s="66"/>
      <c r="HE70" s="66"/>
      <c r="HF70" s="66"/>
      <c r="HG70" s="66"/>
      <c r="HH70" s="66"/>
      <c r="HI70" s="66"/>
      <c r="HJ70" s="66"/>
      <c r="HK70" s="66"/>
      <c r="HL70" s="66"/>
      <c r="HM70" s="66"/>
      <c r="HN70" s="66"/>
      <c r="HO70" s="66"/>
      <c r="HP70" s="66"/>
      <c r="HQ70" s="66"/>
      <c r="HR70" s="66"/>
      <c r="HS70" s="66"/>
      <c r="HT70" s="66"/>
      <c r="HU70" s="66"/>
      <c r="HV70" s="66"/>
      <c r="HW70" s="66"/>
      <c r="HX70" s="66"/>
      <c r="HY70" s="66"/>
      <c r="HZ70" s="66"/>
      <c r="IA70" s="66"/>
      <c r="IB70" s="66"/>
      <c r="IC70" s="66"/>
      <c r="ID70" s="66"/>
      <c r="IE70" s="66"/>
      <c r="IF70" s="66"/>
      <c r="IG70" s="66"/>
      <c r="IH70" s="66"/>
      <c r="II70" s="66"/>
      <c r="IJ70" s="66"/>
      <c r="IK70" s="66"/>
      <c r="IL70" s="66"/>
      <c r="IM70" s="66"/>
      <c r="IN70" s="66"/>
      <c r="IO70" s="66"/>
      <c r="IP70" s="66"/>
      <c r="IQ70" s="66"/>
      <c r="IR70" s="66"/>
      <c r="IS70" s="66"/>
      <c r="IT70" s="66"/>
      <c r="IU70" s="66"/>
      <c r="IV70" s="66"/>
      <c r="IW70" s="66"/>
      <c r="IX70" s="66"/>
      <c r="IY70" s="66"/>
      <c r="IZ70" s="66"/>
      <c r="JA70" s="66"/>
      <c r="JB70" s="66"/>
      <c r="JC70" s="66"/>
      <c r="JD70" s="66"/>
      <c r="JE70" s="66"/>
      <c r="JF70" s="66"/>
      <c r="JG70" s="66"/>
      <c r="JH70" s="66"/>
      <c r="JI70" s="66"/>
      <c r="JJ70" s="66"/>
      <c r="JK70" s="66"/>
      <c r="JL70" s="66"/>
      <c r="JM70" s="66"/>
      <c r="JN70" s="66"/>
      <c r="JO70" s="66"/>
      <c r="JP70" s="66"/>
      <c r="JQ70" s="66"/>
      <c r="JR70" s="66"/>
      <c r="JS70" s="66"/>
      <c r="JT70" s="66"/>
      <c r="JU70" s="66"/>
      <c r="JV70" s="66"/>
      <c r="JW70" s="66"/>
      <c r="JX70" s="66"/>
      <c r="JY70" s="66"/>
      <c r="JZ70" s="66"/>
      <c r="KA70" s="66"/>
      <c r="KB70" s="66"/>
      <c r="KC70" s="66"/>
      <c r="KD70" s="66"/>
      <c r="KE70" s="66"/>
      <c r="KF70" s="66"/>
      <c r="KG70" s="66"/>
      <c r="KH70" s="66"/>
      <c r="KI70" s="66"/>
      <c r="KJ70" s="66"/>
      <c r="KK70" s="66"/>
      <c r="KL70" s="66"/>
      <c r="KM70" s="66"/>
      <c r="KN70" s="66"/>
      <c r="KO70" s="66"/>
      <c r="KP70" s="66"/>
      <c r="KQ70" s="66"/>
      <c r="KR70" s="66"/>
      <c r="KS70" s="66"/>
      <c r="KT70" s="66"/>
      <c r="KU70" s="66"/>
      <c r="KV70" s="66"/>
      <c r="KW70" s="66"/>
      <c r="KX70" s="66"/>
      <c r="KY70" s="66"/>
      <c r="KZ70" s="66"/>
      <c r="LA70" s="66"/>
      <c r="LB70" s="66"/>
      <c r="LC70" s="66"/>
      <c r="LD70" s="66"/>
      <c r="LE70" s="66"/>
      <c r="LF70" s="66"/>
      <c r="LG70" s="66"/>
      <c r="LH70" s="66"/>
      <c r="LI70" s="66"/>
      <c r="LJ70" s="66"/>
      <c r="LK70" s="66"/>
      <c r="LL70" s="66"/>
      <c r="LM70" s="66"/>
      <c r="LN70" s="66"/>
      <c r="LO70" s="66"/>
      <c r="LP70" s="66"/>
      <c r="LQ70" s="66"/>
      <c r="LR70" s="66"/>
      <c r="LS70" s="66"/>
      <c r="LT70" s="66"/>
      <c r="LU70" s="66"/>
      <c r="LV70" s="66"/>
      <c r="LW70" s="66"/>
      <c r="LX70" s="66"/>
      <c r="LY70" s="66"/>
      <c r="LZ70" s="66"/>
      <c r="MA70" s="66"/>
      <c r="MB70" s="66"/>
      <c r="MC70" s="66"/>
      <c r="MD70" s="66"/>
      <c r="ME70" s="66"/>
      <c r="MF70" s="66"/>
      <c r="MG70" s="66"/>
      <c r="MH70" s="66"/>
      <c r="MI70" s="66"/>
      <c r="MJ70" s="66"/>
      <c r="MK70" s="66"/>
      <c r="ML70" s="66"/>
      <c r="MM70" s="66"/>
      <c r="MN70" s="66"/>
      <c r="MO70" s="66"/>
      <c r="MP70" s="66"/>
      <c r="MQ70" s="66"/>
      <c r="MR70" s="66"/>
      <c r="MS70" s="66"/>
      <c r="MT70" s="66"/>
      <c r="MU70" s="66"/>
      <c r="MV70" s="66"/>
      <c r="MW70" s="66"/>
      <c r="MX70" s="66"/>
      <c r="MY70" s="66"/>
      <c r="MZ70" s="66"/>
      <c r="NA70" s="66"/>
      <c r="NB70" s="66"/>
      <c r="NC70" s="66"/>
      <c r="ND70" s="66"/>
      <c r="NE70" s="66"/>
      <c r="NF70" s="66"/>
      <c r="NG70" s="66"/>
      <c r="NH70" s="66"/>
      <c r="NI70" s="66"/>
      <c r="NJ70" s="66"/>
      <c r="NK70" s="66"/>
      <c r="NL70" s="66"/>
      <c r="NM70" s="66"/>
      <c r="NN70" s="66"/>
      <c r="NO70" s="66"/>
      <c r="NP70" s="66"/>
      <c r="NQ70" s="66"/>
      <c r="NR70" s="66"/>
      <c r="NS70" s="66"/>
      <c r="NT70" s="66"/>
      <c r="NU70" s="66"/>
      <c r="NV70" s="66"/>
      <c r="NW70" s="66"/>
      <c r="NX70" s="66"/>
      <c r="NY70" s="66"/>
      <c r="NZ70" s="66"/>
      <c r="OA70" s="66"/>
      <c r="OB70" s="66"/>
      <c r="OC70" s="66"/>
      <c r="OD70" s="66"/>
      <c r="OE70" s="66"/>
      <c r="OF70" s="66"/>
      <c r="OG70" s="66"/>
      <c r="OH70" s="66"/>
      <c r="OI70" s="66"/>
      <c r="OJ70" s="66"/>
      <c r="OK70" s="66"/>
      <c r="OL70" s="66"/>
      <c r="OM70" s="66"/>
      <c r="ON70" s="66"/>
      <c r="OO70" s="66"/>
      <c r="OP70" s="66"/>
      <c r="OQ70" s="66"/>
      <c r="OR70" s="66"/>
      <c r="OS70" s="66"/>
      <c r="OT70" s="66"/>
      <c r="OU70" s="66"/>
      <c r="OV70" s="66"/>
      <c r="OW70" s="66"/>
      <c r="OX70" s="66"/>
      <c r="OY70" s="66"/>
      <c r="OZ70" s="66"/>
      <c r="PA70" s="66"/>
      <c r="PB70" s="66"/>
      <c r="PC70" s="66"/>
      <c r="PD70" s="66"/>
      <c r="PE70" s="66"/>
      <c r="PF70" s="66"/>
      <c r="PG70" s="66"/>
      <c r="PH70" s="66"/>
      <c r="PI70" s="66"/>
      <c r="PJ70" s="66"/>
      <c r="PK70" s="66"/>
      <c r="PL70" s="66"/>
      <c r="PM70" s="66"/>
      <c r="PN70" s="66"/>
      <c r="PO70" s="66"/>
      <c r="PP70" s="66"/>
      <c r="PQ70" s="66"/>
      <c r="PR70" s="66"/>
      <c r="PS70" s="66"/>
      <c r="PT70" s="66"/>
      <c r="PU70" s="66"/>
      <c r="PV70" s="66"/>
      <c r="PW70" s="66"/>
      <c r="PX70" s="66"/>
      <c r="PY70" s="66"/>
      <c r="PZ70" s="66"/>
      <c r="QA70" s="66"/>
      <c r="QB70" s="66"/>
      <c r="QC70" s="66"/>
      <c r="QD70" s="66"/>
      <c r="QE70" s="66"/>
      <c r="QF70" s="66"/>
      <c r="QG70" s="66"/>
      <c r="QH70" s="66"/>
      <c r="QI70" s="66"/>
      <c r="QJ70" s="66"/>
      <c r="QK70" s="66"/>
      <c r="QL70" s="66"/>
      <c r="QM70" s="66"/>
      <c r="QN70" s="66"/>
      <c r="QO70" s="66"/>
      <c r="QP70" s="66"/>
      <c r="QQ70" s="66"/>
      <c r="QR70" s="66"/>
      <c r="QS70" s="66"/>
      <c r="QT70" s="66"/>
      <c r="QU70" s="66"/>
      <c r="QV70" s="66"/>
      <c r="QW70" s="66"/>
      <c r="QX70" s="66"/>
      <c r="QY70" s="66"/>
      <c r="QZ70" s="66"/>
      <c r="RA70" s="66"/>
      <c r="RB70" s="66"/>
      <c r="RC70" s="66"/>
      <c r="RD70" s="66"/>
      <c r="RE70" s="66"/>
      <c r="RF70" s="66"/>
      <c r="RG70" s="66"/>
      <c r="RH70" s="66"/>
      <c r="RI70" s="66"/>
      <c r="RJ70" s="66"/>
      <c r="RK70" s="66"/>
      <c r="RL70" s="66"/>
      <c r="RM70" s="66"/>
      <c r="RN70" s="66"/>
      <c r="RO70" s="66"/>
      <c r="RP70" s="66"/>
      <c r="RQ70" s="66"/>
      <c r="RR70" s="66"/>
      <c r="RS70" s="66"/>
      <c r="RT70" s="66"/>
      <c r="RU70" s="66"/>
      <c r="RV70" s="66"/>
      <c r="RW70" s="66"/>
      <c r="RX70" s="66"/>
      <c r="RY70" s="66"/>
      <c r="RZ70" s="66"/>
      <c r="SA70" s="66"/>
      <c r="SB70" s="66"/>
      <c r="SC70" s="66"/>
      <c r="SD70" s="66"/>
      <c r="SE70" s="66"/>
      <c r="SF70" s="66"/>
      <c r="SG70" s="66"/>
      <c r="SH70" s="66"/>
      <c r="SI70" s="66"/>
      <c r="SJ70" s="66"/>
      <c r="SK70" s="66"/>
      <c r="SL70" s="66"/>
      <c r="SM70" s="66"/>
      <c r="SN70" s="66"/>
      <c r="SO70" s="66"/>
      <c r="SP70" s="66"/>
      <c r="SQ70" s="66"/>
      <c r="SR70" s="66"/>
      <c r="SS70" s="66"/>
      <c r="ST70" s="66"/>
      <c r="SU70" s="66"/>
      <c r="SV70" s="66"/>
      <c r="SW70" s="66"/>
      <c r="SX70" s="66"/>
      <c r="SY70" s="66"/>
      <c r="SZ70" s="66"/>
      <c r="TA70" s="66"/>
      <c r="TB70" s="66"/>
      <c r="TC70" s="66"/>
      <c r="TD70" s="66"/>
      <c r="TE70" s="66"/>
      <c r="TF70" s="66"/>
      <c r="TG70" s="66"/>
      <c r="TH70" s="66"/>
      <c r="TI70" s="66"/>
      <c r="TJ70" s="66"/>
      <c r="TK70" s="66"/>
      <c r="TL70" s="66"/>
      <c r="TM70" s="66"/>
      <c r="TN70" s="66"/>
      <c r="TO70" s="66"/>
      <c r="TP70" s="66"/>
      <c r="TQ70" s="66"/>
      <c r="TR70" s="66"/>
      <c r="TS70" s="66"/>
      <c r="TT70" s="66"/>
      <c r="TU70" s="66"/>
      <c r="TV70" s="66"/>
      <c r="TW70" s="66"/>
      <c r="TX70" s="66"/>
      <c r="TY70" s="66"/>
      <c r="TZ70" s="66"/>
      <c r="UA70" s="66"/>
      <c r="UB70" s="66"/>
      <c r="UC70" s="66"/>
      <c r="UD70" s="66"/>
      <c r="UE70" s="66"/>
      <c r="UF70" s="66"/>
      <c r="UG70" s="66"/>
      <c r="UH70" s="66"/>
      <c r="UI70" s="66"/>
      <c r="UJ70" s="66"/>
      <c r="UK70" s="66"/>
      <c r="UL70" s="66"/>
      <c r="UM70" s="66"/>
      <c r="UN70" s="66"/>
      <c r="UO70" s="66"/>
      <c r="UP70" s="66"/>
      <c r="UQ70" s="66"/>
      <c r="UR70" s="66"/>
      <c r="US70" s="66"/>
      <c r="UT70" s="66"/>
      <c r="UU70" s="66"/>
      <c r="UV70" s="66"/>
      <c r="UW70" s="66"/>
      <c r="UX70" s="66"/>
      <c r="UY70" s="66"/>
      <c r="UZ70" s="66"/>
      <c r="VA70" s="66"/>
      <c r="VB70" s="66"/>
      <c r="VC70" s="66"/>
      <c r="VD70" s="66"/>
      <c r="VE70" s="66"/>
      <c r="VF70" s="66"/>
      <c r="VG70" s="66"/>
      <c r="VH70" s="66"/>
      <c r="VI70" s="66"/>
      <c r="VJ70" s="66"/>
      <c r="VK70" s="66"/>
      <c r="VL70" s="66"/>
      <c r="VM70" s="66"/>
      <c r="VN70" s="66"/>
      <c r="VO70" s="66"/>
      <c r="VP70" s="66"/>
      <c r="VQ70" s="66"/>
      <c r="VR70" s="66"/>
      <c r="VS70" s="66"/>
      <c r="VT70" s="66"/>
      <c r="VU70" s="66"/>
      <c r="VV70" s="66"/>
      <c r="VW70" s="66"/>
      <c r="VX70" s="66"/>
      <c r="VY70" s="66"/>
      <c r="VZ70" s="66"/>
      <c r="WA70" s="66"/>
      <c r="WB70" s="66"/>
      <c r="WC70" s="66"/>
      <c r="WD70" s="66"/>
      <c r="WE70" s="66"/>
      <c r="WF70" s="66"/>
      <c r="WG70" s="66"/>
      <c r="WH70" s="66"/>
      <c r="WI70" s="66"/>
      <c r="WJ70" s="66"/>
      <c r="WK70" s="66"/>
      <c r="WL70" s="66"/>
      <c r="WM70" s="66"/>
      <c r="WN70" s="66"/>
      <c r="WO70" s="66"/>
      <c r="WP70" s="66"/>
      <c r="WQ70" s="66"/>
      <c r="WR70" s="66"/>
      <c r="WS70" s="66"/>
      <c r="WT70" s="66"/>
      <c r="WU70" s="66"/>
      <c r="WV70" s="66"/>
      <c r="WW70" s="66"/>
      <c r="WX70" s="66"/>
      <c r="WY70" s="66"/>
      <c r="WZ70" s="66"/>
      <c r="XA70" s="66"/>
      <c r="XB70" s="66"/>
      <c r="XC70" s="66"/>
      <c r="XD70" s="66"/>
      <c r="XE70" s="66"/>
      <c r="XF70" s="66"/>
      <c r="XG70" s="66"/>
      <c r="XH70" s="66"/>
      <c r="XI70" s="66"/>
      <c r="XJ70" s="66"/>
      <c r="XK70" s="66"/>
      <c r="XL70" s="66"/>
      <c r="XM70" s="66"/>
      <c r="XN70" s="66"/>
      <c r="XO70" s="66"/>
      <c r="XP70" s="66"/>
      <c r="XQ70" s="66"/>
      <c r="XR70" s="66"/>
      <c r="XS70" s="66"/>
      <c r="XT70" s="66"/>
      <c r="XU70" s="66"/>
      <c r="XV70" s="66"/>
      <c r="XW70" s="66"/>
      <c r="XX70" s="66"/>
      <c r="XY70" s="66"/>
      <c r="XZ70" s="66"/>
      <c r="YA70" s="66"/>
      <c r="YB70" s="66"/>
      <c r="YC70" s="66"/>
      <c r="YD70" s="66"/>
      <c r="YE70" s="66"/>
      <c r="YF70" s="66"/>
      <c r="YG70" s="66"/>
      <c r="YH70" s="66"/>
      <c r="YI70" s="66"/>
      <c r="YJ70" s="66"/>
      <c r="YK70" s="66"/>
      <c r="YL70" s="66"/>
      <c r="YM70" s="66"/>
      <c r="YN70" s="66"/>
      <c r="YO70" s="66"/>
      <c r="YP70" s="66"/>
      <c r="YQ70" s="66"/>
      <c r="YR70" s="66"/>
      <c r="YS70" s="66"/>
      <c r="YT70" s="66"/>
      <c r="YU70" s="66"/>
      <c r="YV70" s="66"/>
      <c r="YW70" s="66"/>
      <c r="YX70" s="66"/>
      <c r="YY70" s="66"/>
      <c r="YZ70" s="66"/>
      <c r="ZA70" s="66"/>
      <c r="ZB70" s="66"/>
      <c r="ZC70" s="66"/>
      <c r="ZD70" s="66"/>
      <c r="ZE70" s="66"/>
      <c r="ZF70" s="66"/>
      <c r="ZG70" s="66"/>
      <c r="ZH70" s="66"/>
      <c r="ZI70" s="66"/>
      <c r="ZJ70" s="66"/>
      <c r="ZK70" s="66"/>
      <c r="ZL70" s="66"/>
      <c r="ZM70" s="66"/>
      <c r="ZN70" s="66"/>
      <c r="ZO70" s="66"/>
      <c r="ZP70" s="66"/>
      <c r="ZQ70" s="66"/>
      <c r="ZR70" s="66"/>
      <c r="ZS70" s="66"/>
      <c r="ZT70" s="66"/>
      <c r="ZU70" s="66"/>
      <c r="ZV70" s="66"/>
      <c r="ZW70" s="66"/>
      <c r="ZX70" s="66"/>
    </row>
    <row r="71" spans="1:700" s="20" customFormat="1" ht="15.75" x14ac:dyDescent="0.25">
      <c r="A71" s="74"/>
      <c r="B71" s="75"/>
      <c r="C71" s="75"/>
      <c r="D71" s="120"/>
      <c r="E71" s="112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  <c r="CH71" s="66"/>
      <c r="CI71" s="66"/>
      <c r="CJ71" s="66"/>
      <c r="CK71" s="66"/>
      <c r="CL71" s="66"/>
      <c r="CM71" s="66"/>
      <c r="CN71" s="66"/>
      <c r="CO71" s="66"/>
      <c r="CP71" s="66"/>
      <c r="CQ71" s="66"/>
      <c r="CR71" s="66"/>
      <c r="CS71" s="66"/>
      <c r="CT71" s="66"/>
      <c r="CU71" s="66"/>
      <c r="CV71" s="66"/>
      <c r="CW71" s="66"/>
      <c r="CX71" s="66"/>
      <c r="CY71" s="66"/>
      <c r="CZ71" s="66"/>
      <c r="DA71" s="66"/>
      <c r="DB71" s="66"/>
      <c r="DC71" s="66"/>
      <c r="DD71" s="66"/>
      <c r="DE71" s="66"/>
      <c r="DF71" s="66"/>
      <c r="DG71" s="66"/>
      <c r="DH71" s="66"/>
      <c r="DI71" s="66"/>
      <c r="DJ71" s="66"/>
      <c r="DK71" s="66"/>
      <c r="DL71" s="66"/>
      <c r="DM71" s="66"/>
      <c r="DN71" s="66"/>
      <c r="DO71" s="66"/>
      <c r="DP71" s="66"/>
      <c r="DQ71" s="66"/>
      <c r="DR71" s="66"/>
      <c r="DS71" s="66"/>
      <c r="DT71" s="66"/>
      <c r="DU71" s="66"/>
      <c r="DV71" s="66"/>
      <c r="DW71" s="66"/>
      <c r="DX71" s="66"/>
      <c r="DY71" s="66"/>
      <c r="DZ71" s="66"/>
      <c r="EA71" s="66"/>
      <c r="EB71" s="66"/>
      <c r="EC71" s="66"/>
      <c r="ED71" s="66"/>
      <c r="EE71" s="66"/>
      <c r="EF71" s="66"/>
      <c r="EG71" s="66"/>
      <c r="EH71" s="66"/>
      <c r="EI71" s="66"/>
      <c r="EJ71" s="66"/>
      <c r="EK71" s="66"/>
      <c r="EL71" s="66"/>
      <c r="EM71" s="66"/>
      <c r="EN71" s="66"/>
      <c r="EO71" s="66"/>
      <c r="EP71" s="66"/>
      <c r="EQ71" s="66"/>
      <c r="ER71" s="66"/>
      <c r="ES71" s="66"/>
      <c r="ET71" s="66"/>
      <c r="EU71" s="66"/>
      <c r="EV71" s="66"/>
      <c r="EW71" s="66"/>
      <c r="EX71" s="66"/>
      <c r="EY71" s="66"/>
      <c r="EZ71" s="66"/>
      <c r="FA71" s="66"/>
      <c r="FB71" s="66"/>
      <c r="FC71" s="66"/>
      <c r="FD71" s="66"/>
      <c r="FE71" s="66"/>
      <c r="FF71" s="66"/>
      <c r="FG71" s="66"/>
      <c r="FH71" s="66"/>
      <c r="FI71" s="66"/>
      <c r="FJ71" s="66"/>
      <c r="FK71" s="66"/>
      <c r="FL71" s="66"/>
      <c r="FM71" s="66"/>
      <c r="FN71" s="66"/>
      <c r="FO71" s="66"/>
      <c r="FP71" s="66"/>
      <c r="FQ71" s="66"/>
      <c r="FR71" s="66"/>
      <c r="FS71" s="66"/>
      <c r="FT71" s="66"/>
      <c r="FU71" s="66"/>
      <c r="FV71" s="66"/>
      <c r="FW71" s="66"/>
      <c r="FX71" s="66"/>
      <c r="FY71" s="66"/>
      <c r="FZ71" s="66"/>
      <c r="GA71" s="66"/>
      <c r="GB71" s="66"/>
      <c r="GC71" s="66"/>
      <c r="GD71" s="66"/>
      <c r="GE71" s="66"/>
      <c r="GF71" s="66"/>
      <c r="GG71" s="66"/>
      <c r="GH71" s="66"/>
      <c r="GI71" s="66"/>
      <c r="GJ71" s="66"/>
      <c r="GK71" s="66"/>
      <c r="GL71" s="66"/>
      <c r="GM71" s="66"/>
      <c r="GN71" s="66"/>
      <c r="GO71" s="66"/>
      <c r="GP71" s="66"/>
      <c r="GQ71" s="66"/>
      <c r="GR71" s="66"/>
      <c r="GS71" s="66"/>
      <c r="GT71" s="66"/>
      <c r="GU71" s="66"/>
      <c r="GV71" s="66"/>
      <c r="GW71" s="66"/>
      <c r="GX71" s="66"/>
      <c r="GY71" s="66"/>
      <c r="GZ71" s="66"/>
      <c r="HA71" s="66"/>
      <c r="HB71" s="66"/>
      <c r="HC71" s="66"/>
      <c r="HD71" s="66"/>
      <c r="HE71" s="66"/>
      <c r="HF71" s="66"/>
      <c r="HG71" s="66"/>
      <c r="HH71" s="66"/>
      <c r="HI71" s="66"/>
      <c r="HJ71" s="66"/>
      <c r="HK71" s="66"/>
      <c r="HL71" s="66"/>
      <c r="HM71" s="66"/>
      <c r="HN71" s="66"/>
      <c r="HO71" s="66"/>
      <c r="HP71" s="66"/>
      <c r="HQ71" s="66"/>
      <c r="HR71" s="66"/>
      <c r="HS71" s="66"/>
      <c r="HT71" s="66"/>
      <c r="HU71" s="66"/>
      <c r="HV71" s="66"/>
      <c r="HW71" s="66"/>
      <c r="HX71" s="66"/>
      <c r="HY71" s="66"/>
      <c r="HZ71" s="66"/>
      <c r="IA71" s="66"/>
      <c r="IB71" s="66"/>
      <c r="IC71" s="66"/>
      <c r="ID71" s="66"/>
      <c r="IE71" s="66"/>
      <c r="IF71" s="66"/>
      <c r="IG71" s="66"/>
      <c r="IH71" s="66"/>
      <c r="II71" s="66"/>
      <c r="IJ71" s="66"/>
      <c r="IK71" s="66"/>
      <c r="IL71" s="66"/>
      <c r="IM71" s="66"/>
      <c r="IN71" s="66"/>
      <c r="IO71" s="66"/>
      <c r="IP71" s="66"/>
      <c r="IQ71" s="66"/>
      <c r="IR71" s="66"/>
      <c r="IS71" s="66"/>
      <c r="IT71" s="66"/>
      <c r="IU71" s="66"/>
      <c r="IV71" s="66"/>
      <c r="IW71" s="66"/>
      <c r="IX71" s="66"/>
      <c r="IY71" s="66"/>
      <c r="IZ71" s="66"/>
      <c r="JA71" s="66"/>
      <c r="JB71" s="66"/>
      <c r="JC71" s="66"/>
      <c r="JD71" s="66"/>
      <c r="JE71" s="66"/>
      <c r="JF71" s="66"/>
      <c r="JG71" s="66"/>
      <c r="JH71" s="66"/>
      <c r="JI71" s="66"/>
      <c r="JJ71" s="66"/>
      <c r="JK71" s="66"/>
      <c r="JL71" s="66"/>
      <c r="JM71" s="66"/>
      <c r="JN71" s="66"/>
      <c r="JO71" s="66"/>
      <c r="JP71" s="66"/>
      <c r="JQ71" s="66"/>
      <c r="JR71" s="66"/>
      <c r="JS71" s="66"/>
      <c r="JT71" s="66"/>
      <c r="JU71" s="66"/>
      <c r="JV71" s="66"/>
      <c r="JW71" s="66"/>
      <c r="JX71" s="66"/>
      <c r="JY71" s="66"/>
      <c r="JZ71" s="66"/>
      <c r="KA71" s="66"/>
      <c r="KB71" s="66"/>
      <c r="KC71" s="66"/>
      <c r="KD71" s="66"/>
      <c r="KE71" s="66"/>
      <c r="KF71" s="66"/>
      <c r="KG71" s="66"/>
      <c r="KH71" s="66"/>
      <c r="KI71" s="66"/>
      <c r="KJ71" s="66"/>
      <c r="KK71" s="66"/>
      <c r="KL71" s="66"/>
      <c r="KM71" s="66"/>
      <c r="KN71" s="66"/>
      <c r="KO71" s="66"/>
      <c r="KP71" s="66"/>
      <c r="KQ71" s="66"/>
      <c r="KR71" s="66"/>
      <c r="KS71" s="66"/>
      <c r="KT71" s="66"/>
      <c r="KU71" s="66"/>
      <c r="KV71" s="66"/>
      <c r="KW71" s="66"/>
      <c r="KX71" s="66"/>
      <c r="KY71" s="66"/>
      <c r="KZ71" s="66"/>
      <c r="LA71" s="66"/>
      <c r="LB71" s="66"/>
      <c r="LC71" s="66"/>
      <c r="LD71" s="66"/>
      <c r="LE71" s="66"/>
      <c r="LF71" s="66"/>
      <c r="LG71" s="66"/>
      <c r="LH71" s="66"/>
      <c r="LI71" s="66"/>
      <c r="LJ71" s="66"/>
      <c r="LK71" s="66"/>
      <c r="LL71" s="66"/>
      <c r="LM71" s="66"/>
      <c r="LN71" s="66"/>
      <c r="LO71" s="66"/>
      <c r="LP71" s="66"/>
      <c r="LQ71" s="66"/>
      <c r="LR71" s="66"/>
      <c r="LS71" s="66"/>
      <c r="LT71" s="66"/>
      <c r="LU71" s="66"/>
      <c r="LV71" s="66"/>
      <c r="LW71" s="66"/>
      <c r="LX71" s="66"/>
      <c r="LY71" s="66"/>
      <c r="LZ71" s="66"/>
      <c r="MA71" s="66"/>
      <c r="MB71" s="66"/>
      <c r="MC71" s="66"/>
      <c r="MD71" s="66"/>
      <c r="ME71" s="66"/>
      <c r="MF71" s="66"/>
      <c r="MG71" s="66"/>
      <c r="MH71" s="66"/>
      <c r="MI71" s="66"/>
      <c r="MJ71" s="66"/>
      <c r="MK71" s="66"/>
      <c r="ML71" s="66"/>
      <c r="MM71" s="66"/>
      <c r="MN71" s="66"/>
      <c r="MO71" s="66"/>
      <c r="MP71" s="66"/>
      <c r="MQ71" s="66"/>
      <c r="MR71" s="66"/>
      <c r="MS71" s="66"/>
      <c r="MT71" s="66"/>
      <c r="MU71" s="66"/>
      <c r="MV71" s="66"/>
      <c r="MW71" s="66"/>
      <c r="MX71" s="66"/>
      <c r="MY71" s="66"/>
      <c r="MZ71" s="66"/>
      <c r="NA71" s="66"/>
      <c r="NB71" s="66"/>
      <c r="NC71" s="66"/>
      <c r="ND71" s="66"/>
      <c r="NE71" s="66"/>
      <c r="NF71" s="66"/>
      <c r="NG71" s="66"/>
      <c r="NH71" s="66"/>
      <c r="NI71" s="66"/>
      <c r="NJ71" s="66"/>
      <c r="NK71" s="66"/>
      <c r="NL71" s="66"/>
      <c r="NM71" s="66"/>
      <c r="NN71" s="66"/>
      <c r="NO71" s="66"/>
      <c r="NP71" s="66"/>
      <c r="NQ71" s="66"/>
      <c r="NR71" s="66"/>
      <c r="NS71" s="66"/>
      <c r="NT71" s="66"/>
      <c r="NU71" s="66"/>
      <c r="NV71" s="66"/>
      <c r="NW71" s="66"/>
      <c r="NX71" s="66"/>
      <c r="NY71" s="66"/>
      <c r="NZ71" s="66"/>
      <c r="OA71" s="66"/>
      <c r="OB71" s="66"/>
      <c r="OC71" s="66"/>
      <c r="OD71" s="66"/>
      <c r="OE71" s="66"/>
      <c r="OF71" s="66"/>
      <c r="OG71" s="66"/>
      <c r="OH71" s="66"/>
      <c r="OI71" s="66"/>
      <c r="OJ71" s="66"/>
      <c r="OK71" s="66"/>
      <c r="OL71" s="66"/>
      <c r="OM71" s="66"/>
      <c r="ON71" s="66"/>
      <c r="OO71" s="66"/>
      <c r="OP71" s="66"/>
      <c r="OQ71" s="66"/>
      <c r="OR71" s="66"/>
      <c r="OS71" s="66"/>
      <c r="OT71" s="66"/>
      <c r="OU71" s="66"/>
      <c r="OV71" s="66"/>
      <c r="OW71" s="66"/>
      <c r="OX71" s="66"/>
      <c r="OY71" s="66"/>
      <c r="OZ71" s="66"/>
      <c r="PA71" s="66"/>
      <c r="PB71" s="66"/>
      <c r="PC71" s="66"/>
      <c r="PD71" s="66"/>
      <c r="PE71" s="66"/>
      <c r="PF71" s="66"/>
      <c r="PG71" s="66"/>
      <c r="PH71" s="66"/>
      <c r="PI71" s="66"/>
      <c r="PJ71" s="66"/>
      <c r="PK71" s="66"/>
      <c r="PL71" s="66"/>
      <c r="PM71" s="66"/>
      <c r="PN71" s="66"/>
      <c r="PO71" s="66"/>
      <c r="PP71" s="66"/>
      <c r="PQ71" s="66"/>
      <c r="PR71" s="66"/>
      <c r="PS71" s="66"/>
      <c r="PT71" s="66"/>
      <c r="PU71" s="66"/>
      <c r="PV71" s="66"/>
      <c r="PW71" s="66"/>
      <c r="PX71" s="66"/>
      <c r="PY71" s="66"/>
      <c r="PZ71" s="66"/>
      <c r="QA71" s="66"/>
      <c r="QB71" s="66"/>
      <c r="QC71" s="66"/>
      <c r="QD71" s="66"/>
      <c r="QE71" s="66"/>
      <c r="QF71" s="66"/>
      <c r="QG71" s="66"/>
      <c r="QH71" s="66"/>
      <c r="QI71" s="66"/>
      <c r="QJ71" s="66"/>
      <c r="QK71" s="66"/>
      <c r="QL71" s="66"/>
      <c r="QM71" s="66"/>
      <c r="QN71" s="66"/>
      <c r="QO71" s="66"/>
      <c r="QP71" s="66"/>
      <c r="QQ71" s="66"/>
      <c r="QR71" s="66"/>
      <c r="QS71" s="66"/>
      <c r="QT71" s="66"/>
      <c r="QU71" s="66"/>
      <c r="QV71" s="66"/>
      <c r="QW71" s="66"/>
      <c r="QX71" s="66"/>
      <c r="QY71" s="66"/>
      <c r="QZ71" s="66"/>
      <c r="RA71" s="66"/>
      <c r="RB71" s="66"/>
      <c r="RC71" s="66"/>
      <c r="RD71" s="66"/>
      <c r="RE71" s="66"/>
      <c r="RF71" s="66"/>
      <c r="RG71" s="66"/>
      <c r="RH71" s="66"/>
      <c r="RI71" s="66"/>
      <c r="RJ71" s="66"/>
      <c r="RK71" s="66"/>
      <c r="RL71" s="66"/>
      <c r="RM71" s="66"/>
      <c r="RN71" s="66"/>
      <c r="RO71" s="66"/>
      <c r="RP71" s="66"/>
      <c r="RQ71" s="66"/>
      <c r="RR71" s="66"/>
      <c r="RS71" s="66"/>
      <c r="RT71" s="66"/>
      <c r="RU71" s="66"/>
      <c r="RV71" s="66"/>
      <c r="RW71" s="66"/>
      <c r="RX71" s="66"/>
      <c r="RY71" s="66"/>
      <c r="RZ71" s="66"/>
      <c r="SA71" s="66"/>
      <c r="SB71" s="66"/>
      <c r="SC71" s="66"/>
      <c r="SD71" s="66"/>
      <c r="SE71" s="66"/>
      <c r="SF71" s="66"/>
      <c r="SG71" s="66"/>
      <c r="SH71" s="66"/>
      <c r="SI71" s="66"/>
      <c r="SJ71" s="66"/>
      <c r="SK71" s="66"/>
      <c r="SL71" s="66"/>
      <c r="SM71" s="66"/>
      <c r="SN71" s="66"/>
      <c r="SO71" s="66"/>
      <c r="SP71" s="66"/>
      <c r="SQ71" s="66"/>
      <c r="SR71" s="66"/>
      <c r="SS71" s="66"/>
      <c r="ST71" s="66"/>
      <c r="SU71" s="66"/>
      <c r="SV71" s="66"/>
      <c r="SW71" s="66"/>
      <c r="SX71" s="66"/>
      <c r="SY71" s="66"/>
      <c r="SZ71" s="66"/>
      <c r="TA71" s="66"/>
      <c r="TB71" s="66"/>
      <c r="TC71" s="66"/>
      <c r="TD71" s="66"/>
      <c r="TE71" s="66"/>
      <c r="TF71" s="66"/>
      <c r="TG71" s="66"/>
      <c r="TH71" s="66"/>
      <c r="TI71" s="66"/>
      <c r="TJ71" s="66"/>
      <c r="TK71" s="66"/>
      <c r="TL71" s="66"/>
      <c r="TM71" s="66"/>
      <c r="TN71" s="66"/>
      <c r="TO71" s="66"/>
      <c r="TP71" s="66"/>
      <c r="TQ71" s="66"/>
      <c r="TR71" s="66"/>
      <c r="TS71" s="66"/>
      <c r="TT71" s="66"/>
      <c r="TU71" s="66"/>
      <c r="TV71" s="66"/>
      <c r="TW71" s="66"/>
      <c r="TX71" s="66"/>
      <c r="TY71" s="66"/>
      <c r="TZ71" s="66"/>
      <c r="UA71" s="66"/>
      <c r="UB71" s="66"/>
      <c r="UC71" s="66"/>
      <c r="UD71" s="66"/>
      <c r="UE71" s="66"/>
      <c r="UF71" s="66"/>
      <c r="UG71" s="66"/>
      <c r="UH71" s="66"/>
      <c r="UI71" s="66"/>
      <c r="UJ71" s="66"/>
      <c r="UK71" s="66"/>
      <c r="UL71" s="66"/>
      <c r="UM71" s="66"/>
      <c r="UN71" s="66"/>
      <c r="UO71" s="66"/>
      <c r="UP71" s="66"/>
      <c r="UQ71" s="66"/>
      <c r="UR71" s="66"/>
      <c r="US71" s="66"/>
      <c r="UT71" s="66"/>
      <c r="UU71" s="66"/>
      <c r="UV71" s="66"/>
      <c r="UW71" s="66"/>
      <c r="UX71" s="66"/>
      <c r="UY71" s="66"/>
      <c r="UZ71" s="66"/>
      <c r="VA71" s="66"/>
      <c r="VB71" s="66"/>
      <c r="VC71" s="66"/>
      <c r="VD71" s="66"/>
      <c r="VE71" s="66"/>
      <c r="VF71" s="66"/>
      <c r="VG71" s="66"/>
      <c r="VH71" s="66"/>
      <c r="VI71" s="66"/>
      <c r="VJ71" s="66"/>
      <c r="VK71" s="66"/>
      <c r="VL71" s="66"/>
      <c r="VM71" s="66"/>
      <c r="VN71" s="66"/>
      <c r="VO71" s="66"/>
      <c r="VP71" s="66"/>
      <c r="VQ71" s="66"/>
      <c r="VR71" s="66"/>
      <c r="VS71" s="66"/>
      <c r="VT71" s="66"/>
      <c r="VU71" s="66"/>
      <c r="VV71" s="66"/>
      <c r="VW71" s="66"/>
      <c r="VX71" s="66"/>
      <c r="VY71" s="66"/>
      <c r="VZ71" s="66"/>
      <c r="WA71" s="66"/>
      <c r="WB71" s="66"/>
      <c r="WC71" s="66"/>
      <c r="WD71" s="66"/>
      <c r="WE71" s="66"/>
      <c r="WF71" s="66"/>
      <c r="WG71" s="66"/>
      <c r="WH71" s="66"/>
      <c r="WI71" s="66"/>
      <c r="WJ71" s="66"/>
      <c r="WK71" s="66"/>
      <c r="WL71" s="66"/>
      <c r="WM71" s="66"/>
      <c r="WN71" s="66"/>
      <c r="WO71" s="66"/>
      <c r="WP71" s="66"/>
      <c r="WQ71" s="66"/>
      <c r="WR71" s="66"/>
      <c r="WS71" s="66"/>
      <c r="WT71" s="66"/>
      <c r="WU71" s="66"/>
      <c r="WV71" s="66"/>
      <c r="WW71" s="66"/>
      <c r="WX71" s="66"/>
      <c r="WY71" s="66"/>
      <c r="WZ71" s="66"/>
      <c r="XA71" s="66"/>
      <c r="XB71" s="66"/>
      <c r="XC71" s="66"/>
      <c r="XD71" s="66"/>
      <c r="XE71" s="66"/>
      <c r="XF71" s="66"/>
      <c r="XG71" s="66"/>
      <c r="XH71" s="66"/>
      <c r="XI71" s="66"/>
      <c r="XJ71" s="66"/>
      <c r="XK71" s="66"/>
      <c r="XL71" s="66"/>
      <c r="XM71" s="66"/>
      <c r="XN71" s="66"/>
      <c r="XO71" s="66"/>
      <c r="XP71" s="66"/>
      <c r="XQ71" s="66"/>
      <c r="XR71" s="66"/>
      <c r="XS71" s="66"/>
      <c r="XT71" s="66"/>
      <c r="XU71" s="66"/>
      <c r="XV71" s="66"/>
      <c r="XW71" s="66"/>
      <c r="XX71" s="66"/>
      <c r="XY71" s="66"/>
      <c r="XZ71" s="66"/>
      <c r="YA71" s="66"/>
      <c r="YB71" s="66"/>
      <c r="YC71" s="66"/>
      <c r="YD71" s="66"/>
      <c r="YE71" s="66"/>
      <c r="YF71" s="66"/>
      <c r="YG71" s="66"/>
      <c r="YH71" s="66"/>
      <c r="YI71" s="66"/>
      <c r="YJ71" s="66"/>
      <c r="YK71" s="66"/>
      <c r="YL71" s="66"/>
      <c r="YM71" s="66"/>
      <c r="YN71" s="66"/>
      <c r="YO71" s="66"/>
      <c r="YP71" s="66"/>
      <c r="YQ71" s="66"/>
      <c r="YR71" s="66"/>
      <c r="YS71" s="66"/>
      <c r="YT71" s="66"/>
      <c r="YU71" s="66"/>
      <c r="YV71" s="66"/>
      <c r="YW71" s="66"/>
      <c r="YX71" s="66"/>
      <c r="YY71" s="66"/>
      <c r="YZ71" s="66"/>
      <c r="ZA71" s="66"/>
      <c r="ZB71" s="66"/>
      <c r="ZC71" s="66"/>
      <c r="ZD71" s="66"/>
      <c r="ZE71" s="66"/>
      <c r="ZF71" s="66"/>
      <c r="ZG71" s="66"/>
      <c r="ZH71" s="66"/>
      <c r="ZI71" s="66"/>
      <c r="ZJ71" s="66"/>
      <c r="ZK71" s="66"/>
      <c r="ZL71" s="66"/>
      <c r="ZM71" s="66"/>
      <c r="ZN71" s="66"/>
      <c r="ZO71" s="66"/>
      <c r="ZP71" s="66"/>
      <c r="ZQ71" s="66"/>
      <c r="ZR71" s="66"/>
      <c r="ZS71" s="66"/>
      <c r="ZT71" s="66"/>
      <c r="ZU71" s="66"/>
      <c r="ZV71" s="66"/>
      <c r="ZW71" s="66"/>
      <c r="ZX71" s="66"/>
    </row>
    <row r="72" spans="1:700" x14ac:dyDescent="0.25">
      <c r="A72" s="78"/>
      <c r="B72" s="79"/>
      <c r="C72" s="79"/>
      <c r="D72" s="121"/>
      <c r="E72" s="113"/>
    </row>
    <row r="73" spans="1:700" x14ac:dyDescent="0.25">
      <c r="A73" s="80"/>
      <c r="B73" s="81"/>
      <c r="C73" s="81"/>
      <c r="D73" s="122"/>
      <c r="E73" s="114"/>
    </row>
    <row r="74" spans="1:700" x14ac:dyDescent="0.25">
      <c r="A74" s="80"/>
      <c r="B74" s="81"/>
      <c r="C74" s="81"/>
      <c r="D74" s="122"/>
      <c r="E74" s="114"/>
    </row>
    <row r="75" spans="1:700" x14ac:dyDescent="0.25">
      <c r="A75" s="80"/>
      <c r="B75" s="81"/>
      <c r="C75" s="81"/>
      <c r="D75" s="122"/>
      <c r="E75" s="114"/>
    </row>
    <row r="76" spans="1:700" x14ac:dyDescent="0.25">
      <c r="A76" s="80"/>
      <c r="B76" s="81"/>
      <c r="C76" s="81"/>
      <c r="D76" s="122"/>
      <c r="E76" s="114"/>
    </row>
    <row r="77" spans="1:700" x14ac:dyDescent="0.25">
      <c r="A77" s="80"/>
      <c r="B77" s="81"/>
      <c r="C77" s="81"/>
      <c r="D77" s="122"/>
      <c r="E77" s="114"/>
    </row>
    <row r="78" spans="1:700" x14ac:dyDescent="0.25">
      <c r="A78" s="80"/>
      <c r="B78" s="81"/>
      <c r="C78" s="81"/>
      <c r="D78" s="122"/>
      <c r="E78" s="114"/>
    </row>
    <row r="79" spans="1:700" x14ac:dyDescent="0.25">
      <c r="A79" s="80"/>
      <c r="B79" s="81"/>
      <c r="C79" s="81"/>
      <c r="D79" s="122"/>
      <c r="E79" s="114"/>
    </row>
    <row r="80" spans="1:700" ht="16.5" customHeight="1" x14ac:dyDescent="0.25">
      <c r="A80" s="80"/>
      <c r="B80" s="81"/>
      <c r="C80" s="81"/>
      <c r="D80" s="122"/>
      <c r="E80" s="114"/>
    </row>
    <row r="81" spans="1:5" x14ac:dyDescent="0.25">
      <c r="A81" s="80"/>
      <c r="B81" s="81"/>
      <c r="C81" s="81"/>
      <c r="D81" s="122"/>
      <c r="E81" s="114"/>
    </row>
    <row r="82" spans="1:5" x14ac:dyDescent="0.25">
      <c r="A82" s="80"/>
      <c r="B82" s="81"/>
      <c r="C82" s="81"/>
      <c r="D82" s="122"/>
      <c r="E82" s="114"/>
    </row>
    <row r="83" spans="1:5" x14ac:dyDescent="0.25">
      <c r="A83" s="80"/>
      <c r="B83" s="81"/>
      <c r="C83" s="81"/>
      <c r="D83" s="122"/>
      <c r="E83" s="114"/>
    </row>
    <row r="84" spans="1:5" x14ac:dyDescent="0.25">
      <c r="A84" s="80"/>
      <c r="B84" s="81"/>
      <c r="C84" s="81"/>
      <c r="D84" s="122"/>
      <c r="E84" s="114"/>
    </row>
    <row r="85" spans="1:5" x14ac:dyDescent="0.25">
      <c r="A85" s="80"/>
      <c r="B85" s="81"/>
      <c r="C85" s="81"/>
      <c r="D85" s="122"/>
      <c r="E85" s="114"/>
    </row>
    <row r="86" spans="1:5" x14ac:dyDescent="0.25">
      <c r="A86" s="80"/>
      <c r="B86" s="81"/>
      <c r="C86" s="81"/>
      <c r="D86" s="122"/>
      <c r="E86" s="114"/>
    </row>
    <row r="87" spans="1:5" x14ac:dyDescent="0.25">
      <c r="A87" s="80"/>
      <c r="B87" s="81"/>
      <c r="C87" s="81"/>
      <c r="D87" s="122"/>
      <c r="E87" s="114"/>
    </row>
    <row r="88" spans="1:5" x14ac:dyDescent="0.25">
      <c r="A88" s="80"/>
      <c r="B88" s="81"/>
      <c r="C88" s="81"/>
      <c r="D88" s="122"/>
      <c r="E88" s="114"/>
    </row>
    <row r="89" spans="1:5" x14ac:dyDescent="0.25">
      <c r="A89" s="80"/>
      <c r="B89" s="81"/>
      <c r="C89" s="81"/>
      <c r="D89" s="122"/>
      <c r="E89" s="114"/>
    </row>
    <row r="90" spans="1:5" x14ac:dyDescent="0.25">
      <c r="A90" s="80"/>
      <c r="B90" s="81"/>
      <c r="C90" s="81"/>
      <c r="D90" s="122"/>
      <c r="E90" s="114"/>
    </row>
    <row r="91" spans="1:5" x14ac:dyDescent="0.25">
      <c r="A91" s="80"/>
      <c r="B91" s="81"/>
      <c r="C91" s="81"/>
      <c r="D91" s="122"/>
      <c r="E91" s="114"/>
    </row>
    <row r="92" spans="1:5" x14ac:dyDescent="0.25">
      <c r="A92" s="80"/>
      <c r="B92" s="81"/>
      <c r="C92" s="81"/>
      <c r="D92" s="122"/>
      <c r="E92" s="114"/>
    </row>
    <row r="93" spans="1:5" x14ac:dyDescent="0.25">
      <c r="A93" s="80"/>
      <c r="B93" s="81"/>
      <c r="C93" s="81"/>
      <c r="D93" s="122"/>
      <c r="E93" s="114"/>
    </row>
    <row r="94" spans="1:5" x14ac:dyDescent="0.25">
      <c r="A94" s="80"/>
      <c r="B94" s="81"/>
      <c r="C94" s="81"/>
      <c r="D94" s="122"/>
      <c r="E94" s="114"/>
    </row>
    <row r="95" spans="1:5" x14ac:dyDescent="0.25">
      <c r="A95" s="80"/>
      <c r="B95" s="81"/>
      <c r="C95" s="81"/>
      <c r="D95" s="122"/>
      <c r="E95" s="114"/>
    </row>
    <row r="96" spans="1:5" x14ac:dyDescent="0.25">
      <c r="A96" s="80"/>
      <c r="B96" s="81"/>
      <c r="C96" s="81"/>
      <c r="D96" s="122"/>
      <c r="E96" s="114"/>
    </row>
    <row r="97" spans="1:5" x14ac:dyDescent="0.25">
      <c r="A97" s="80"/>
      <c r="B97" s="81"/>
      <c r="C97" s="81"/>
      <c r="D97" s="122"/>
      <c r="E97" s="114"/>
    </row>
    <row r="98" spans="1:5" x14ac:dyDescent="0.25">
      <c r="A98" s="80"/>
      <c r="B98" s="81"/>
      <c r="C98" s="81"/>
      <c r="D98" s="122"/>
      <c r="E98" s="114"/>
    </row>
    <row r="99" spans="1:5" x14ac:dyDescent="0.25">
      <c r="A99" s="80"/>
      <c r="B99" s="81"/>
      <c r="C99" s="81"/>
      <c r="D99" s="122"/>
      <c r="E99" s="114"/>
    </row>
    <row r="100" spans="1:5" x14ac:dyDescent="0.25">
      <c r="A100" s="80"/>
      <c r="B100" s="81"/>
      <c r="C100" s="81"/>
      <c r="D100" s="122"/>
      <c r="E100" s="114"/>
    </row>
    <row r="101" spans="1:5" x14ac:dyDescent="0.25">
      <c r="A101" s="80"/>
      <c r="B101" s="81"/>
      <c r="C101" s="81"/>
      <c r="D101" s="122"/>
      <c r="E101" s="114"/>
    </row>
    <row r="102" spans="1:5" x14ac:dyDescent="0.25">
      <c r="A102" s="80"/>
      <c r="B102" s="81"/>
      <c r="C102" s="81"/>
      <c r="D102" s="122"/>
      <c r="E102" s="114"/>
    </row>
    <row r="103" spans="1:5" x14ac:dyDescent="0.25">
      <c r="A103" s="80"/>
      <c r="B103" s="81"/>
      <c r="C103" s="81"/>
      <c r="D103" s="122"/>
      <c r="E103" s="114"/>
    </row>
    <row r="104" spans="1:5" x14ac:dyDescent="0.25">
      <c r="A104" s="80"/>
      <c r="B104" s="81"/>
      <c r="C104" s="81"/>
      <c r="D104" s="122"/>
      <c r="E104" s="114"/>
    </row>
    <row r="105" spans="1:5" x14ac:dyDescent="0.25">
      <c r="A105" s="80"/>
      <c r="B105" s="81"/>
      <c r="C105" s="81"/>
      <c r="D105" s="122"/>
      <c r="E105" s="114"/>
    </row>
    <row r="106" spans="1:5" x14ac:dyDescent="0.25">
      <c r="A106" s="80"/>
      <c r="B106" s="81"/>
      <c r="C106" s="81"/>
      <c r="D106" s="122"/>
      <c r="E106" s="114"/>
    </row>
    <row r="107" spans="1:5" x14ac:dyDescent="0.25">
      <c r="A107" s="80"/>
      <c r="B107" s="81"/>
      <c r="C107" s="81"/>
      <c r="D107" s="122"/>
      <c r="E107" s="114"/>
    </row>
    <row r="108" spans="1:5" x14ac:dyDescent="0.25">
      <c r="A108" s="80"/>
      <c r="B108" s="81"/>
      <c r="C108" s="81"/>
      <c r="D108" s="122"/>
      <c r="E108" s="114"/>
    </row>
    <row r="109" spans="1:5" x14ac:dyDescent="0.25">
      <c r="A109" s="80"/>
      <c r="B109" s="81"/>
      <c r="C109" s="81"/>
      <c r="D109" s="122"/>
      <c r="E109" s="114"/>
    </row>
    <row r="110" spans="1:5" x14ac:dyDescent="0.25">
      <c r="A110" s="80"/>
      <c r="B110" s="81"/>
      <c r="C110" s="81"/>
      <c r="D110" s="122"/>
      <c r="E110" s="114"/>
    </row>
    <row r="111" spans="1:5" x14ac:dyDescent="0.25">
      <c r="A111" s="80"/>
      <c r="B111" s="81"/>
      <c r="C111" s="81"/>
      <c r="D111" s="122"/>
      <c r="E111" s="114"/>
    </row>
    <row r="112" spans="1:5" x14ac:dyDescent="0.25">
      <c r="A112" s="80"/>
      <c r="B112" s="81"/>
      <c r="C112" s="81"/>
      <c r="D112" s="122"/>
      <c r="E112" s="114"/>
    </row>
    <row r="113" spans="1:5" x14ac:dyDescent="0.25">
      <c r="A113" s="80"/>
      <c r="B113" s="81"/>
      <c r="C113" s="81"/>
      <c r="D113" s="122"/>
      <c r="E113" s="114"/>
    </row>
    <row r="114" spans="1:5" x14ac:dyDescent="0.25">
      <c r="A114" s="80"/>
      <c r="B114" s="81"/>
      <c r="C114" s="81"/>
      <c r="D114" s="122"/>
      <c r="E114" s="114"/>
    </row>
    <row r="115" spans="1:5" x14ac:dyDescent="0.25">
      <c r="A115" s="80"/>
      <c r="B115" s="81"/>
      <c r="C115" s="81"/>
      <c r="D115" s="122"/>
      <c r="E115" s="114"/>
    </row>
    <row r="116" spans="1:5" x14ac:dyDescent="0.25">
      <c r="A116" s="80"/>
      <c r="B116" s="81"/>
      <c r="C116" s="81"/>
      <c r="D116" s="122"/>
      <c r="E116" s="114"/>
    </row>
    <row r="117" spans="1:5" x14ac:dyDescent="0.25">
      <c r="A117" s="80"/>
      <c r="B117" s="81"/>
      <c r="C117" s="81"/>
      <c r="D117" s="122"/>
      <c r="E117" s="114"/>
    </row>
    <row r="118" spans="1:5" x14ac:dyDescent="0.25">
      <c r="A118" s="80"/>
      <c r="B118" s="81"/>
      <c r="C118" s="81"/>
      <c r="D118" s="122"/>
      <c r="E118" s="114"/>
    </row>
    <row r="119" spans="1:5" x14ac:dyDescent="0.25">
      <c r="A119" s="80"/>
      <c r="B119" s="81"/>
      <c r="C119" s="81"/>
      <c r="D119" s="122"/>
      <c r="E119" s="114"/>
    </row>
    <row r="120" spans="1:5" x14ac:dyDescent="0.25">
      <c r="A120" s="80"/>
      <c r="B120" s="81"/>
      <c r="C120" s="81"/>
      <c r="D120" s="122"/>
      <c r="E120" s="114"/>
    </row>
    <row r="121" spans="1:5" x14ac:dyDescent="0.25">
      <c r="A121" s="80"/>
      <c r="B121" s="81"/>
      <c r="C121" s="81"/>
      <c r="D121" s="122"/>
      <c r="E121" s="114"/>
    </row>
    <row r="122" spans="1:5" x14ac:dyDescent="0.25">
      <c r="A122" s="80"/>
      <c r="B122" s="81"/>
      <c r="C122" s="81"/>
      <c r="D122" s="122"/>
      <c r="E122" s="114"/>
    </row>
    <row r="123" spans="1:5" x14ac:dyDescent="0.25">
      <c r="A123" s="80"/>
      <c r="B123" s="81"/>
      <c r="C123" s="81"/>
      <c r="D123" s="122"/>
      <c r="E123" s="114"/>
    </row>
    <row r="124" spans="1:5" x14ac:dyDescent="0.25">
      <c r="A124" s="80"/>
      <c r="B124" s="81"/>
      <c r="C124" s="81"/>
      <c r="D124" s="122"/>
      <c r="E124" s="114"/>
    </row>
    <row r="125" spans="1:5" x14ac:dyDescent="0.25">
      <c r="A125" s="80"/>
      <c r="B125" s="81"/>
      <c r="C125" s="81"/>
      <c r="D125" s="122"/>
      <c r="E125" s="114"/>
    </row>
    <row r="126" spans="1:5" x14ac:dyDescent="0.25">
      <c r="A126" s="80"/>
      <c r="B126" s="81"/>
      <c r="C126" s="81"/>
      <c r="D126" s="122"/>
      <c r="E126" s="114"/>
    </row>
    <row r="127" spans="1:5" x14ac:dyDescent="0.25">
      <c r="A127" s="80"/>
      <c r="B127" s="81"/>
      <c r="C127" s="81"/>
      <c r="D127" s="122"/>
      <c r="E127" s="114"/>
    </row>
    <row r="128" spans="1:5" x14ac:dyDescent="0.25">
      <c r="A128" s="80"/>
      <c r="B128" s="81"/>
      <c r="C128" s="81"/>
      <c r="D128" s="122"/>
      <c r="E128" s="114"/>
    </row>
    <row r="129" spans="1:5" x14ac:dyDescent="0.25">
      <c r="A129" s="80"/>
      <c r="B129" s="81"/>
      <c r="C129" s="81"/>
      <c r="D129" s="122"/>
      <c r="E129" s="114"/>
    </row>
    <row r="130" spans="1:5" x14ac:dyDescent="0.25">
      <c r="A130" s="80"/>
      <c r="B130" s="81"/>
      <c r="C130" s="81"/>
      <c r="D130" s="122"/>
      <c r="E130" s="114"/>
    </row>
    <row r="131" spans="1:5" x14ac:dyDescent="0.25">
      <c r="A131" s="80"/>
      <c r="B131" s="81"/>
      <c r="C131" s="81"/>
      <c r="D131" s="122"/>
      <c r="E131" s="114"/>
    </row>
    <row r="132" spans="1:5" x14ac:dyDescent="0.25">
      <c r="A132" s="80"/>
      <c r="B132" s="81"/>
      <c r="C132" s="81"/>
      <c r="D132" s="122"/>
      <c r="E132" s="114"/>
    </row>
    <row r="133" spans="1:5" x14ac:dyDescent="0.25">
      <c r="A133" s="80"/>
      <c r="B133" s="81"/>
      <c r="C133" s="81"/>
      <c r="D133" s="122"/>
      <c r="E133" s="114"/>
    </row>
    <row r="134" spans="1:5" x14ac:dyDescent="0.25">
      <c r="A134" s="80"/>
      <c r="B134" s="81"/>
      <c r="C134" s="81"/>
      <c r="D134" s="122"/>
      <c r="E134" s="114"/>
    </row>
    <row r="135" spans="1:5" x14ac:dyDescent="0.25">
      <c r="A135" s="80"/>
      <c r="B135" s="81"/>
      <c r="C135" s="81"/>
      <c r="D135" s="122"/>
      <c r="E135" s="114"/>
    </row>
    <row r="136" spans="1:5" x14ac:dyDescent="0.25">
      <c r="A136" s="80"/>
      <c r="B136" s="81"/>
      <c r="C136" s="81"/>
      <c r="D136" s="122"/>
      <c r="E136" s="114"/>
    </row>
    <row r="137" spans="1:5" x14ac:dyDescent="0.25">
      <c r="A137" s="80"/>
      <c r="B137" s="81"/>
      <c r="C137" s="81"/>
      <c r="D137" s="122"/>
      <c r="E137" s="114"/>
    </row>
    <row r="138" spans="1:5" x14ac:dyDescent="0.25">
      <c r="A138" s="80"/>
      <c r="B138" s="81"/>
      <c r="C138" s="81"/>
      <c r="D138" s="122"/>
      <c r="E138" s="114"/>
    </row>
    <row r="139" spans="1:5" x14ac:dyDescent="0.25">
      <c r="A139" s="80"/>
      <c r="B139" s="81"/>
      <c r="C139" s="81"/>
      <c r="D139" s="122"/>
      <c r="E139" s="114"/>
    </row>
    <row r="140" spans="1:5" x14ac:dyDescent="0.25">
      <c r="A140" s="82"/>
      <c r="B140" s="81"/>
      <c r="C140" s="81"/>
      <c r="D140" s="122"/>
      <c r="E140" s="114"/>
    </row>
    <row r="141" spans="1:5" x14ac:dyDescent="0.25">
      <c r="A141" s="82"/>
      <c r="B141" s="81"/>
      <c r="C141" s="81"/>
      <c r="D141" s="122"/>
      <c r="E141" s="114"/>
    </row>
    <row r="142" spans="1:5" x14ac:dyDescent="0.25">
      <c r="A142" s="82"/>
      <c r="B142" s="81"/>
      <c r="C142" s="81"/>
      <c r="D142" s="122"/>
      <c r="E142" s="114"/>
    </row>
    <row r="143" spans="1:5" x14ac:dyDescent="0.25">
      <c r="A143" s="82"/>
      <c r="B143" s="81"/>
      <c r="C143" s="81"/>
      <c r="D143" s="122"/>
      <c r="E143" s="114"/>
    </row>
    <row r="144" spans="1:5" x14ac:dyDescent="0.25">
      <c r="A144" s="82"/>
      <c r="B144" s="81"/>
      <c r="C144" s="81"/>
      <c r="D144" s="122"/>
      <c r="E144" s="114"/>
    </row>
    <row r="145" spans="1:5" x14ac:dyDescent="0.25">
      <c r="A145" s="82"/>
      <c r="B145" s="81"/>
      <c r="C145" s="81"/>
      <c r="D145" s="122"/>
      <c r="E145" s="114"/>
    </row>
    <row r="146" spans="1:5" x14ac:dyDescent="0.25">
      <c r="A146" s="82"/>
      <c r="B146" s="81"/>
      <c r="C146" s="81"/>
      <c r="D146" s="122"/>
      <c r="E146" s="114"/>
    </row>
    <row r="147" spans="1:5" x14ac:dyDescent="0.25">
      <c r="A147" s="82"/>
      <c r="B147" s="81"/>
      <c r="C147" s="81"/>
      <c r="D147" s="122"/>
      <c r="E147" s="114"/>
    </row>
    <row r="148" spans="1:5" x14ac:dyDescent="0.25">
      <c r="A148" s="82"/>
      <c r="B148" s="81"/>
      <c r="C148" s="81"/>
      <c r="D148" s="122"/>
      <c r="E148" s="114"/>
    </row>
    <row r="149" spans="1:5" x14ac:dyDescent="0.25">
      <c r="A149" s="82"/>
      <c r="B149" s="81"/>
      <c r="C149" s="81"/>
      <c r="D149" s="122"/>
      <c r="E149" s="114"/>
    </row>
    <row r="150" spans="1:5" x14ac:dyDescent="0.25">
      <c r="A150" s="82"/>
      <c r="B150" s="81"/>
      <c r="C150" s="81"/>
      <c r="D150" s="122"/>
      <c r="E150" s="114"/>
    </row>
    <row r="151" spans="1:5" x14ac:dyDescent="0.25">
      <c r="A151" s="82"/>
      <c r="B151" s="81"/>
      <c r="C151" s="81"/>
      <c r="D151" s="122"/>
      <c r="E151" s="114"/>
    </row>
    <row r="152" spans="1:5" x14ac:dyDescent="0.25">
      <c r="A152" s="82"/>
      <c r="B152" s="81"/>
      <c r="C152" s="81"/>
      <c r="D152" s="122"/>
      <c r="E152" s="114"/>
    </row>
    <row r="153" spans="1:5" x14ac:dyDescent="0.25">
      <c r="A153" s="82"/>
      <c r="B153" s="81"/>
      <c r="C153" s="81"/>
      <c r="D153" s="122"/>
      <c r="E153" s="114"/>
    </row>
    <row r="154" spans="1:5" x14ac:dyDescent="0.25">
      <c r="A154" s="82"/>
      <c r="B154" s="81"/>
      <c r="C154" s="81"/>
      <c r="D154" s="122"/>
      <c r="E154" s="114"/>
    </row>
    <row r="155" spans="1:5" x14ac:dyDescent="0.25">
      <c r="A155" s="82"/>
      <c r="B155" s="81"/>
      <c r="C155" s="81"/>
      <c r="D155" s="122"/>
      <c r="E155" s="114"/>
    </row>
    <row r="156" spans="1:5" x14ac:dyDescent="0.25">
      <c r="A156" s="82"/>
      <c r="B156" s="81"/>
      <c r="C156" s="81"/>
      <c r="D156" s="122"/>
      <c r="E156" s="114"/>
    </row>
    <row r="157" spans="1:5" x14ac:dyDescent="0.25">
      <c r="A157" s="82"/>
      <c r="B157" s="81"/>
      <c r="C157" s="81"/>
      <c r="D157" s="122"/>
      <c r="E157" s="114"/>
    </row>
    <row r="158" spans="1:5" x14ac:dyDescent="0.25">
      <c r="A158" s="82"/>
      <c r="B158" s="81"/>
      <c r="C158" s="81"/>
      <c r="D158" s="122"/>
      <c r="E158" s="114"/>
    </row>
    <row r="159" spans="1:5" x14ac:dyDescent="0.25">
      <c r="A159" s="82"/>
      <c r="B159" s="81"/>
      <c r="C159" s="81"/>
      <c r="D159" s="122"/>
      <c r="E159" s="114"/>
    </row>
    <row r="160" spans="1:5" x14ac:dyDescent="0.25">
      <c r="A160" s="82"/>
      <c r="B160" s="81"/>
      <c r="C160" s="81"/>
      <c r="D160" s="122"/>
      <c r="E160" s="114"/>
    </row>
    <row r="161" spans="1:5" x14ac:dyDescent="0.25">
      <c r="A161" s="82"/>
      <c r="B161" s="81"/>
      <c r="C161" s="81"/>
      <c r="D161" s="122"/>
      <c r="E161" s="114"/>
    </row>
    <row r="162" spans="1:5" x14ac:dyDescent="0.25">
      <c r="A162" s="82"/>
      <c r="B162" s="81"/>
      <c r="C162" s="81"/>
      <c r="D162" s="122"/>
      <c r="E162" s="114"/>
    </row>
    <row r="163" spans="1:5" x14ac:dyDescent="0.25">
      <c r="A163" s="82"/>
      <c r="B163" s="81"/>
      <c r="C163" s="81"/>
      <c r="D163" s="122"/>
      <c r="E163" s="114"/>
    </row>
    <row r="164" spans="1:5" x14ac:dyDescent="0.25">
      <c r="A164" s="82"/>
      <c r="B164" s="81"/>
      <c r="C164" s="81"/>
      <c r="D164" s="122"/>
      <c r="E164" s="114"/>
    </row>
    <row r="165" spans="1:5" x14ac:dyDescent="0.25">
      <c r="A165" s="82"/>
      <c r="B165" s="81"/>
      <c r="C165" s="81"/>
      <c r="D165" s="122"/>
      <c r="E165" s="114"/>
    </row>
    <row r="166" spans="1:5" x14ac:dyDescent="0.25">
      <c r="A166" s="82"/>
      <c r="B166" s="81"/>
      <c r="C166" s="81"/>
      <c r="D166" s="122"/>
      <c r="E166" s="114"/>
    </row>
    <row r="167" spans="1:5" x14ac:dyDescent="0.25">
      <c r="A167" s="82"/>
      <c r="B167" s="81"/>
      <c r="C167" s="81"/>
      <c r="D167" s="122"/>
      <c r="E167" s="114"/>
    </row>
    <row r="168" spans="1:5" x14ac:dyDescent="0.25">
      <c r="A168" s="82"/>
      <c r="B168" s="81"/>
      <c r="C168" s="81"/>
      <c r="D168" s="122"/>
      <c r="E168" s="114"/>
    </row>
    <row r="169" spans="1:5" x14ac:dyDescent="0.25">
      <c r="A169" s="82"/>
      <c r="B169" s="81"/>
      <c r="C169" s="81"/>
      <c r="D169" s="122"/>
      <c r="E169" s="114"/>
    </row>
    <row r="170" spans="1:5" x14ac:dyDescent="0.25">
      <c r="A170" s="82"/>
      <c r="B170" s="81"/>
      <c r="C170" s="81"/>
      <c r="D170" s="122"/>
      <c r="E170" s="114"/>
    </row>
    <row r="171" spans="1:5" x14ac:dyDescent="0.25">
      <c r="A171" s="82"/>
      <c r="B171" s="81"/>
      <c r="C171" s="81"/>
      <c r="D171" s="122"/>
      <c r="E171" s="114"/>
    </row>
    <row r="172" spans="1:5" x14ac:dyDescent="0.25">
      <c r="A172" s="82"/>
      <c r="B172" s="81"/>
      <c r="C172" s="81"/>
      <c r="D172" s="122"/>
      <c r="E172" s="114"/>
    </row>
    <row r="173" spans="1:5" x14ac:dyDescent="0.25">
      <c r="A173" s="82"/>
      <c r="B173" s="81"/>
      <c r="C173" s="81"/>
      <c r="D173" s="122"/>
      <c r="E173" s="114"/>
    </row>
    <row r="174" spans="1:5" x14ac:dyDescent="0.25">
      <c r="A174" s="82"/>
      <c r="B174" s="81"/>
      <c r="C174" s="81"/>
      <c r="D174" s="122"/>
      <c r="E174" s="114"/>
    </row>
    <row r="175" spans="1:5" x14ac:dyDescent="0.25">
      <c r="A175" s="82"/>
      <c r="B175" s="81"/>
      <c r="C175" s="81"/>
      <c r="D175" s="122"/>
      <c r="E175" s="114"/>
    </row>
    <row r="176" spans="1:5" x14ac:dyDescent="0.25">
      <c r="A176" s="82"/>
      <c r="B176" s="81"/>
      <c r="C176" s="81"/>
      <c r="D176" s="122"/>
      <c r="E176" s="114"/>
    </row>
    <row r="177" spans="1:5" x14ac:dyDescent="0.25">
      <c r="A177" s="82"/>
      <c r="B177" s="81"/>
      <c r="C177" s="81"/>
      <c r="D177" s="122"/>
      <c r="E177" s="114"/>
    </row>
    <row r="178" spans="1:5" x14ac:dyDescent="0.25">
      <c r="A178" s="82"/>
      <c r="B178" s="81"/>
      <c r="C178" s="81"/>
      <c r="D178" s="122"/>
      <c r="E178" s="114"/>
    </row>
    <row r="179" spans="1:5" x14ac:dyDescent="0.25">
      <c r="A179" s="82"/>
      <c r="B179" s="81"/>
      <c r="C179" s="81"/>
      <c r="D179" s="122"/>
      <c r="E179" s="114"/>
    </row>
    <row r="180" spans="1:5" x14ac:dyDescent="0.25">
      <c r="A180" s="82"/>
      <c r="B180" s="81"/>
      <c r="C180" s="81"/>
      <c r="D180" s="122"/>
      <c r="E180" s="114"/>
    </row>
    <row r="181" spans="1:5" x14ac:dyDescent="0.25">
      <c r="A181" s="82"/>
      <c r="B181" s="81"/>
      <c r="C181" s="81"/>
      <c r="D181" s="122"/>
      <c r="E181" s="114"/>
    </row>
    <row r="182" spans="1:5" x14ac:dyDescent="0.25">
      <c r="A182" s="82"/>
      <c r="B182" s="81"/>
      <c r="C182" s="81"/>
      <c r="D182" s="122"/>
      <c r="E182" s="114"/>
    </row>
    <row r="183" spans="1:5" x14ac:dyDescent="0.25">
      <c r="A183" s="82"/>
      <c r="B183" s="81"/>
      <c r="C183" s="81"/>
      <c r="D183" s="122"/>
      <c r="E183" s="114"/>
    </row>
    <row r="184" spans="1:5" x14ac:dyDescent="0.25">
      <c r="A184" s="82"/>
      <c r="B184" s="81"/>
      <c r="C184" s="81"/>
      <c r="D184" s="122"/>
      <c r="E184" s="114"/>
    </row>
    <row r="185" spans="1:5" x14ac:dyDescent="0.25">
      <c r="A185" s="82"/>
      <c r="B185" s="81"/>
      <c r="C185" s="81"/>
      <c r="D185" s="122"/>
      <c r="E185" s="114"/>
    </row>
    <row r="186" spans="1:5" x14ac:dyDescent="0.25">
      <c r="A186" s="82"/>
      <c r="B186" s="81"/>
      <c r="C186" s="81"/>
      <c r="D186" s="122"/>
      <c r="E186" s="114"/>
    </row>
    <row r="187" spans="1:5" x14ac:dyDescent="0.25">
      <c r="A187" s="82"/>
      <c r="B187" s="81"/>
      <c r="C187" s="81"/>
      <c r="D187" s="122"/>
      <c r="E187" s="114"/>
    </row>
    <row r="188" spans="1:5" x14ac:dyDescent="0.25">
      <c r="A188" s="82"/>
      <c r="B188" s="81"/>
      <c r="C188" s="81"/>
      <c r="D188" s="122"/>
      <c r="E188" s="114"/>
    </row>
    <row r="189" spans="1:5" x14ac:dyDescent="0.25">
      <c r="A189" s="82"/>
      <c r="B189" s="81"/>
      <c r="C189" s="81"/>
      <c r="D189" s="122"/>
      <c r="E189" s="114"/>
    </row>
    <row r="190" spans="1:5" x14ac:dyDescent="0.25">
      <c r="A190" s="82"/>
      <c r="B190" s="81"/>
      <c r="C190" s="81"/>
      <c r="D190" s="122"/>
      <c r="E190" s="114"/>
    </row>
    <row r="191" spans="1:5" x14ac:dyDescent="0.25">
      <c r="A191" s="82"/>
      <c r="B191" s="81"/>
      <c r="C191" s="81"/>
      <c r="D191" s="122"/>
      <c r="E191" s="114"/>
    </row>
    <row r="192" spans="1:5" x14ac:dyDescent="0.25">
      <c r="A192" s="82"/>
      <c r="B192" s="81"/>
      <c r="C192" s="81"/>
      <c r="D192" s="122"/>
      <c r="E192" s="114"/>
    </row>
    <row r="193" spans="1:5" x14ac:dyDescent="0.25">
      <c r="A193" s="82"/>
      <c r="B193" s="81"/>
      <c r="C193" s="81"/>
      <c r="D193" s="122"/>
      <c r="E193" s="114"/>
    </row>
    <row r="194" spans="1:5" x14ac:dyDescent="0.25">
      <c r="A194" s="82"/>
      <c r="B194" s="81"/>
      <c r="C194" s="81"/>
      <c r="D194" s="122"/>
      <c r="E194" s="114"/>
    </row>
    <row r="195" spans="1:5" x14ac:dyDescent="0.25">
      <c r="A195" s="82"/>
      <c r="B195" s="81"/>
      <c r="C195" s="81"/>
      <c r="D195" s="122"/>
      <c r="E195" s="114"/>
    </row>
    <row r="196" spans="1:5" x14ac:dyDescent="0.25">
      <c r="A196" s="82"/>
      <c r="B196" s="81"/>
      <c r="C196" s="81"/>
      <c r="D196" s="122"/>
      <c r="E196" s="114"/>
    </row>
    <row r="197" spans="1:5" x14ac:dyDescent="0.25">
      <c r="A197" s="82"/>
      <c r="B197" s="81"/>
      <c r="C197" s="81"/>
      <c r="D197" s="122"/>
      <c r="E197" s="114"/>
    </row>
    <row r="198" spans="1:5" x14ac:dyDescent="0.25">
      <c r="A198" s="82"/>
      <c r="B198" s="81"/>
      <c r="C198" s="81"/>
      <c r="D198" s="122"/>
      <c r="E198" s="114"/>
    </row>
    <row r="199" spans="1:5" x14ac:dyDescent="0.25">
      <c r="A199" s="82"/>
      <c r="B199" s="81"/>
      <c r="C199" s="81"/>
      <c r="D199" s="122"/>
      <c r="E199" s="114"/>
    </row>
    <row r="200" spans="1:5" x14ac:dyDescent="0.25">
      <c r="A200" s="82"/>
      <c r="B200" s="81"/>
      <c r="C200" s="81"/>
      <c r="D200" s="122"/>
      <c r="E200" s="114"/>
    </row>
    <row r="201" spans="1:5" x14ac:dyDescent="0.25">
      <c r="A201" s="82"/>
      <c r="B201" s="81"/>
      <c r="C201" s="81"/>
      <c r="D201" s="122"/>
      <c r="E201" s="114"/>
    </row>
    <row r="202" spans="1:5" x14ac:dyDescent="0.25">
      <c r="A202" s="82"/>
      <c r="B202" s="81"/>
      <c r="C202" s="81"/>
      <c r="D202" s="122"/>
      <c r="E202" s="114"/>
    </row>
    <row r="203" spans="1:5" x14ac:dyDescent="0.25">
      <c r="A203" s="82"/>
      <c r="B203" s="81"/>
      <c r="C203" s="81"/>
      <c r="D203" s="122"/>
      <c r="E203" s="114"/>
    </row>
    <row r="204" spans="1:5" x14ac:dyDescent="0.25">
      <c r="A204" s="82"/>
      <c r="B204" s="81"/>
      <c r="C204" s="81"/>
      <c r="D204" s="122"/>
      <c r="E204" s="114"/>
    </row>
    <row r="205" spans="1:5" x14ac:dyDescent="0.25">
      <c r="A205" s="82"/>
      <c r="B205" s="81"/>
      <c r="C205" s="81"/>
      <c r="D205" s="122"/>
      <c r="E205" s="114"/>
    </row>
    <row r="206" spans="1:5" x14ac:dyDescent="0.25">
      <c r="A206" s="82"/>
      <c r="B206" s="81"/>
      <c r="C206" s="81"/>
      <c r="D206" s="122"/>
      <c r="E206" s="114"/>
    </row>
    <row r="207" spans="1:5" x14ac:dyDescent="0.25">
      <c r="A207" s="82"/>
      <c r="B207" s="81"/>
      <c r="C207" s="81"/>
      <c r="D207" s="122"/>
      <c r="E207" s="114"/>
    </row>
    <row r="208" spans="1:5" x14ac:dyDescent="0.25">
      <c r="A208" s="82"/>
      <c r="B208" s="81"/>
      <c r="C208" s="81"/>
      <c r="D208" s="122"/>
      <c r="E208" s="114"/>
    </row>
    <row r="209" spans="1:5" x14ac:dyDescent="0.25">
      <c r="A209" s="82"/>
      <c r="B209" s="81"/>
      <c r="C209" s="81"/>
      <c r="D209" s="122"/>
      <c r="E209" s="114"/>
    </row>
    <row r="210" spans="1:5" x14ac:dyDescent="0.25">
      <c r="A210" s="82"/>
      <c r="B210" s="81"/>
      <c r="C210" s="81"/>
      <c r="D210" s="122"/>
      <c r="E210" s="114"/>
    </row>
    <row r="211" spans="1:5" x14ac:dyDescent="0.25">
      <c r="A211" s="82"/>
      <c r="B211" s="81"/>
      <c r="C211" s="81"/>
      <c r="D211" s="122"/>
      <c r="E211" s="114"/>
    </row>
    <row r="212" spans="1:5" x14ac:dyDescent="0.25">
      <c r="A212" s="82"/>
      <c r="B212" s="81"/>
      <c r="C212" s="81"/>
      <c r="D212" s="122"/>
      <c r="E212" s="114"/>
    </row>
    <row r="213" spans="1:5" x14ac:dyDescent="0.25">
      <c r="A213" s="82"/>
      <c r="B213" s="81"/>
      <c r="C213" s="81"/>
      <c r="D213" s="122"/>
      <c r="E213" s="114"/>
    </row>
    <row r="214" spans="1:5" x14ac:dyDescent="0.25">
      <c r="A214" s="82"/>
      <c r="B214" s="81"/>
      <c r="C214" s="81"/>
      <c r="D214" s="122"/>
      <c r="E214" s="114"/>
    </row>
    <row r="215" spans="1:5" x14ac:dyDescent="0.25">
      <c r="A215" s="82"/>
      <c r="B215" s="81"/>
      <c r="C215" s="81"/>
      <c r="D215" s="122"/>
      <c r="E215" s="114"/>
    </row>
    <row r="216" spans="1:5" x14ac:dyDescent="0.25">
      <c r="A216" s="82"/>
      <c r="B216" s="81"/>
      <c r="C216" s="81"/>
      <c r="D216" s="122"/>
      <c r="E216" s="114"/>
    </row>
    <row r="217" spans="1:5" x14ac:dyDescent="0.25">
      <c r="A217" s="82"/>
      <c r="B217" s="81"/>
      <c r="C217" s="81"/>
      <c r="D217" s="122"/>
      <c r="E217" s="114"/>
    </row>
    <row r="218" spans="1:5" x14ac:dyDescent="0.25">
      <c r="A218" s="82"/>
      <c r="B218" s="81"/>
      <c r="C218" s="81"/>
      <c r="D218" s="122"/>
      <c r="E218" s="114"/>
    </row>
    <row r="219" spans="1:5" x14ac:dyDescent="0.25">
      <c r="A219" s="82"/>
      <c r="B219" s="81"/>
      <c r="C219" s="81"/>
      <c r="D219" s="122"/>
      <c r="E219" s="114"/>
    </row>
    <row r="220" spans="1:5" x14ac:dyDescent="0.25">
      <c r="A220" s="82"/>
      <c r="B220" s="81"/>
      <c r="C220" s="81"/>
      <c r="D220" s="122"/>
      <c r="E220" s="114"/>
    </row>
    <row r="221" spans="1:5" x14ac:dyDescent="0.25">
      <c r="A221" s="82"/>
      <c r="B221" s="81"/>
      <c r="C221" s="81"/>
      <c r="D221" s="122"/>
      <c r="E221" s="114"/>
    </row>
    <row r="222" spans="1:5" x14ac:dyDescent="0.25">
      <c r="A222" s="82"/>
      <c r="B222" s="81"/>
      <c r="C222" s="81"/>
      <c r="D222" s="122"/>
      <c r="E222" s="114"/>
    </row>
    <row r="223" spans="1:5" x14ac:dyDescent="0.25">
      <c r="A223" s="82"/>
      <c r="B223" s="81"/>
      <c r="C223" s="81"/>
      <c r="D223" s="122"/>
      <c r="E223" s="114"/>
    </row>
    <row r="224" spans="1:5" x14ac:dyDescent="0.25">
      <c r="A224" s="82"/>
      <c r="B224" s="81"/>
      <c r="C224" s="81"/>
      <c r="D224" s="122"/>
      <c r="E224" s="114"/>
    </row>
    <row r="225" spans="1:5" x14ac:dyDescent="0.25">
      <c r="A225" s="82"/>
      <c r="B225" s="81"/>
      <c r="C225" s="81"/>
      <c r="D225" s="122"/>
      <c r="E225" s="114"/>
    </row>
    <row r="226" spans="1:5" x14ac:dyDescent="0.25">
      <c r="A226" s="82"/>
      <c r="B226" s="81"/>
      <c r="C226" s="81"/>
      <c r="D226" s="122"/>
      <c r="E226" s="114"/>
    </row>
    <row r="227" spans="1:5" x14ac:dyDescent="0.25">
      <c r="A227" s="82"/>
      <c r="B227" s="81"/>
      <c r="C227" s="81"/>
      <c r="D227" s="122"/>
      <c r="E227" s="114"/>
    </row>
    <row r="228" spans="1:5" x14ac:dyDescent="0.25">
      <c r="A228" s="82"/>
      <c r="B228" s="81"/>
      <c r="C228" s="81"/>
      <c r="D228" s="122"/>
      <c r="E228" s="114"/>
    </row>
    <row r="229" spans="1:5" x14ac:dyDescent="0.25">
      <c r="A229" s="82"/>
      <c r="B229" s="81"/>
      <c r="C229" s="81"/>
      <c r="D229" s="122"/>
      <c r="E229" s="114"/>
    </row>
    <row r="230" spans="1:5" x14ac:dyDescent="0.25">
      <c r="A230" s="82"/>
      <c r="B230" s="81"/>
      <c r="C230" s="81"/>
      <c r="D230" s="122"/>
      <c r="E230" s="114"/>
    </row>
    <row r="231" spans="1:5" x14ac:dyDescent="0.25">
      <c r="A231" s="82"/>
      <c r="B231" s="81"/>
      <c r="C231" s="81"/>
      <c r="D231" s="122"/>
      <c r="E231" s="114"/>
    </row>
    <row r="232" spans="1:5" x14ac:dyDescent="0.25">
      <c r="A232" s="82"/>
      <c r="B232" s="81"/>
      <c r="C232" s="81"/>
      <c r="D232" s="122"/>
      <c r="E232" s="114"/>
    </row>
    <row r="233" spans="1:5" x14ac:dyDescent="0.25">
      <c r="A233" s="82"/>
      <c r="B233" s="81"/>
      <c r="C233" s="81"/>
      <c r="D233" s="122"/>
      <c r="E233" s="114"/>
    </row>
    <row r="234" spans="1:5" x14ac:dyDescent="0.25">
      <c r="A234" s="82"/>
      <c r="B234" s="81"/>
      <c r="C234" s="81"/>
      <c r="D234" s="122"/>
      <c r="E234" s="114"/>
    </row>
    <row r="235" spans="1:5" x14ac:dyDescent="0.25">
      <c r="A235" s="82"/>
      <c r="B235" s="81"/>
      <c r="C235" s="81"/>
      <c r="D235" s="122"/>
      <c r="E235" s="114"/>
    </row>
    <row r="236" spans="1:5" x14ac:dyDescent="0.25">
      <c r="A236" s="82"/>
      <c r="B236" s="81"/>
      <c r="C236" s="81"/>
      <c r="D236" s="122"/>
      <c r="E236" s="114"/>
    </row>
    <row r="237" spans="1:5" x14ac:dyDescent="0.25">
      <c r="A237" s="82"/>
      <c r="B237" s="81"/>
      <c r="C237" s="81"/>
      <c r="D237" s="122"/>
      <c r="E237" s="114"/>
    </row>
    <row r="238" spans="1:5" x14ac:dyDescent="0.25">
      <c r="A238" s="82"/>
      <c r="B238" s="81"/>
      <c r="C238" s="81"/>
      <c r="D238" s="122"/>
      <c r="E238" s="114"/>
    </row>
    <row r="239" spans="1:5" x14ac:dyDescent="0.25">
      <c r="A239" s="82"/>
      <c r="B239" s="81"/>
      <c r="C239" s="81"/>
      <c r="D239" s="122"/>
      <c r="E239" s="114"/>
    </row>
    <row r="240" spans="1:5" x14ac:dyDescent="0.25">
      <c r="A240" s="82"/>
      <c r="B240" s="81"/>
      <c r="C240" s="81"/>
      <c r="D240" s="122"/>
      <c r="E240" s="114"/>
    </row>
    <row r="241" spans="1:5" x14ac:dyDescent="0.25">
      <c r="A241" s="82"/>
      <c r="B241" s="81"/>
      <c r="C241" s="81"/>
      <c r="D241" s="122"/>
      <c r="E241" s="114"/>
    </row>
    <row r="242" spans="1:5" x14ac:dyDescent="0.25">
      <c r="A242" s="82"/>
      <c r="B242" s="81"/>
      <c r="C242" s="81"/>
      <c r="D242" s="122"/>
      <c r="E242" s="114"/>
    </row>
    <row r="243" spans="1:5" x14ac:dyDescent="0.25">
      <c r="A243" s="82"/>
      <c r="B243" s="81"/>
      <c r="C243" s="81"/>
      <c r="D243" s="122"/>
      <c r="E243" s="114"/>
    </row>
    <row r="244" spans="1:5" x14ac:dyDescent="0.25">
      <c r="A244" s="82"/>
      <c r="B244" s="81"/>
      <c r="C244" s="81"/>
      <c r="D244" s="122"/>
      <c r="E244" s="114"/>
    </row>
    <row r="245" spans="1:5" x14ac:dyDescent="0.25">
      <c r="A245" s="82"/>
      <c r="B245" s="81"/>
      <c r="C245" s="81"/>
      <c r="D245" s="122"/>
      <c r="E245" s="114"/>
    </row>
    <row r="246" spans="1:5" x14ac:dyDescent="0.25">
      <c r="A246" s="82"/>
      <c r="B246" s="81"/>
      <c r="C246" s="81"/>
      <c r="D246" s="122"/>
      <c r="E246" s="114"/>
    </row>
    <row r="247" spans="1:5" x14ac:dyDescent="0.25">
      <c r="A247" s="82"/>
      <c r="B247" s="81"/>
      <c r="C247" s="81"/>
      <c r="D247" s="122"/>
      <c r="E247" s="114"/>
    </row>
    <row r="248" spans="1:5" x14ac:dyDescent="0.25">
      <c r="A248" s="82"/>
      <c r="B248" s="81"/>
      <c r="C248" s="81"/>
      <c r="D248" s="122"/>
      <c r="E248" s="114"/>
    </row>
    <row r="249" spans="1:5" x14ac:dyDescent="0.25">
      <c r="A249" s="82"/>
      <c r="B249" s="81"/>
      <c r="C249" s="81"/>
      <c r="D249" s="122"/>
      <c r="E249" s="114"/>
    </row>
    <row r="250" spans="1:5" x14ac:dyDescent="0.25">
      <c r="A250" s="82"/>
      <c r="B250" s="81"/>
      <c r="C250" s="81"/>
      <c r="D250" s="122"/>
      <c r="E250" s="114"/>
    </row>
    <row r="251" spans="1:5" x14ac:dyDescent="0.25">
      <c r="A251" s="82"/>
      <c r="B251" s="81"/>
      <c r="C251" s="81"/>
      <c r="D251" s="122"/>
      <c r="E251" s="114"/>
    </row>
    <row r="252" spans="1:5" x14ac:dyDescent="0.25">
      <c r="A252" s="82"/>
      <c r="B252" s="81"/>
      <c r="C252" s="81"/>
      <c r="D252" s="122"/>
      <c r="E252" s="114"/>
    </row>
    <row r="253" spans="1:5" x14ac:dyDescent="0.25">
      <c r="A253" s="82"/>
      <c r="B253" s="81"/>
      <c r="C253" s="81"/>
      <c r="D253" s="122"/>
      <c r="E253" s="114"/>
    </row>
    <row r="254" spans="1:5" x14ac:dyDescent="0.25">
      <c r="A254" s="82"/>
      <c r="B254" s="81"/>
      <c r="C254" s="81"/>
      <c r="D254" s="122"/>
      <c r="E254" s="114"/>
    </row>
    <row r="255" spans="1:5" x14ac:dyDescent="0.25">
      <c r="A255" s="82"/>
      <c r="B255" s="81"/>
      <c r="C255" s="81"/>
      <c r="D255" s="122"/>
      <c r="E255" s="114"/>
    </row>
    <row r="256" spans="1:5" x14ac:dyDescent="0.25">
      <c r="A256" s="82"/>
      <c r="B256" s="81"/>
      <c r="C256" s="81"/>
      <c r="D256" s="122"/>
      <c r="E256" s="114"/>
    </row>
    <row r="257" spans="1:5" x14ac:dyDescent="0.25">
      <c r="A257" s="82"/>
      <c r="B257" s="81"/>
      <c r="C257" s="81"/>
      <c r="D257" s="122"/>
      <c r="E257" s="114"/>
    </row>
    <row r="258" spans="1:5" x14ac:dyDescent="0.25">
      <c r="A258" s="82"/>
      <c r="B258" s="81"/>
      <c r="C258" s="81"/>
      <c r="D258" s="122"/>
      <c r="E258" s="114"/>
    </row>
    <row r="259" spans="1:5" x14ac:dyDescent="0.25">
      <c r="A259" s="82"/>
      <c r="B259" s="81"/>
      <c r="C259" s="81"/>
      <c r="D259" s="122"/>
      <c r="E259" s="114"/>
    </row>
    <row r="260" spans="1:5" x14ac:dyDescent="0.25">
      <c r="A260" s="82"/>
      <c r="B260" s="81"/>
      <c r="C260" s="81"/>
      <c r="D260" s="122"/>
      <c r="E260" s="114"/>
    </row>
    <row r="261" spans="1:5" x14ac:dyDescent="0.25">
      <c r="A261" s="82"/>
      <c r="B261" s="81"/>
      <c r="C261" s="81"/>
      <c r="D261" s="122"/>
      <c r="E261" s="114"/>
    </row>
    <row r="262" spans="1:5" x14ac:dyDescent="0.25">
      <c r="A262" s="82"/>
      <c r="B262" s="81"/>
      <c r="C262" s="81"/>
      <c r="D262" s="122"/>
      <c r="E262" s="114"/>
    </row>
    <row r="263" spans="1:5" x14ac:dyDescent="0.25">
      <c r="A263" s="82"/>
      <c r="B263" s="81"/>
      <c r="C263" s="81"/>
      <c r="D263" s="122"/>
      <c r="E263" s="114"/>
    </row>
    <row r="264" spans="1:5" x14ac:dyDescent="0.25">
      <c r="A264" s="82"/>
      <c r="B264" s="81"/>
      <c r="C264" s="81"/>
      <c r="D264" s="122"/>
      <c r="E264" s="114"/>
    </row>
    <row r="265" spans="1:5" x14ac:dyDescent="0.25">
      <c r="A265" s="82"/>
      <c r="B265" s="81"/>
      <c r="C265" s="81"/>
      <c r="D265" s="122"/>
      <c r="E265" s="114"/>
    </row>
    <row r="266" spans="1:5" x14ac:dyDescent="0.25">
      <c r="A266" s="82"/>
      <c r="B266" s="81"/>
      <c r="C266" s="81"/>
      <c r="D266" s="122"/>
      <c r="E266" s="114"/>
    </row>
    <row r="267" spans="1:5" x14ac:dyDescent="0.25">
      <c r="A267" s="82"/>
      <c r="B267" s="81"/>
      <c r="C267" s="81"/>
      <c r="D267" s="122"/>
      <c r="E267" s="114"/>
    </row>
    <row r="268" spans="1:5" x14ac:dyDescent="0.25">
      <c r="A268" s="82"/>
      <c r="B268" s="81"/>
      <c r="C268" s="81"/>
      <c r="D268" s="122"/>
      <c r="E268" s="114"/>
    </row>
    <row r="269" spans="1:5" x14ac:dyDescent="0.25">
      <c r="A269" s="82"/>
      <c r="B269" s="81"/>
      <c r="C269" s="81"/>
      <c r="D269" s="122"/>
      <c r="E269" s="114"/>
    </row>
    <row r="270" spans="1:5" x14ac:dyDescent="0.25">
      <c r="A270" s="82"/>
      <c r="B270" s="81"/>
      <c r="C270" s="81"/>
      <c r="D270" s="122"/>
      <c r="E270" s="114"/>
    </row>
    <row r="271" spans="1:5" x14ac:dyDescent="0.25">
      <c r="A271" s="82"/>
      <c r="B271" s="81"/>
      <c r="C271" s="81"/>
      <c r="D271" s="122"/>
      <c r="E271" s="114"/>
    </row>
    <row r="272" spans="1:5" x14ac:dyDescent="0.25">
      <c r="A272" s="82"/>
      <c r="B272" s="81"/>
      <c r="C272" s="81"/>
      <c r="D272" s="122"/>
      <c r="E272" s="114"/>
    </row>
    <row r="273" spans="1:5" x14ac:dyDescent="0.25">
      <c r="A273" s="82"/>
      <c r="B273" s="81"/>
      <c r="C273" s="81"/>
      <c r="D273" s="122"/>
      <c r="E273" s="114"/>
    </row>
    <row r="274" spans="1:5" x14ac:dyDescent="0.25">
      <c r="A274" s="82"/>
      <c r="B274" s="81"/>
      <c r="C274" s="81"/>
      <c r="D274" s="122"/>
      <c r="E274" s="114"/>
    </row>
    <row r="275" spans="1:5" x14ac:dyDescent="0.25">
      <c r="A275" s="82"/>
      <c r="B275" s="81"/>
      <c r="C275" s="81"/>
      <c r="D275" s="122"/>
      <c r="E275" s="114"/>
    </row>
    <row r="276" spans="1:5" x14ac:dyDescent="0.25">
      <c r="A276" s="82"/>
      <c r="B276" s="81"/>
      <c r="C276" s="81"/>
      <c r="D276" s="122"/>
      <c r="E276" s="114"/>
    </row>
    <row r="277" spans="1:5" x14ac:dyDescent="0.25">
      <c r="A277" s="82"/>
      <c r="B277" s="81"/>
      <c r="C277" s="81"/>
      <c r="D277" s="122"/>
      <c r="E277" s="114"/>
    </row>
    <row r="278" spans="1:5" x14ac:dyDescent="0.25">
      <c r="A278" s="82"/>
      <c r="B278" s="81"/>
      <c r="C278" s="81"/>
      <c r="D278" s="122"/>
      <c r="E278" s="114"/>
    </row>
    <row r="279" spans="1:5" x14ac:dyDescent="0.25">
      <c r="A279" s="82"/>
      <c r="B279" s="81"/>
      <c r="C279" s="81"/>
      <c r="D279" s="122"/>
      <c r="E279" s="114"/>
    </row>
    <row r="280" spans="1:5" x14ac:dyDescent="0.25">
      <c r="A280" s="82"/>
      <c r="B280" s="81"/>
      <c r="C280" s="81"/>
      <c r="D280" s="122"/>
      <c r="E280" s="114"/>
    </row>
    <row r="281" spans="1:5" x14ac:dyDescent="0.25">
      <c r="A281" s="82"/>
      <c r="B281" s="81"/>
      <c r="C281" s="81"/>
      <c r="D281" s="122"/>
      <c r="E281" s="114"/>
    </row>
    <row r="282" spans="1:5" x14ac:dyDescent="0.25">
      <c r="A282" s="82"/>
      <c r="B282" s="81"/>
      <c r="C282" s="81"/>
      <c r="D282" s="122"/>
      <c r="E282" s="114"/>
    </row>
    <row r="283" spans="1:5" x14ac:dyDescent="0.25">
      <c r="A283" s="82"/>
      <c r="B283" s="81"/>
      <c r="C283" s="81"/>
      <c r="D283" s="122"/>
      <c r="E283" s="114"/>
    </row>
    <row r="284" spans="1:5" x14ac:dyDescent="0.25">
      <c r="A284" s="82"/>
      <c r="B284" s="81"/>
      <c r="C284" s="81"/>
      <c r="D284" s="122"/>
      <c r="E284" s="114"/>
    </row>
    <row r="285" spans="1:5" x14ac:dyDescent="0.25">
      <c r="A285" s="82"/>
      <c r="B285" s="81"/>
      <c r="C285" s="81"/>
      <c r="D285" s="122"/>
      <c r="E285" s="114"/>
    </row>
    <row r="286" spans="1:5" x14ac:dyDescent="0.25">
      <c r="A286" s="82"/>
      <c r="B286" s="81"/>
      <c r="C286" s="81"/>
      <c r="D286" s="122"/>
      <c r="E286" s="114"/>
    </row>
    <row r="287" spans="1:5" x14ac:dyDescent="0.25">
      <c r="A287" s="82"/>
      <c r="B287" s="81"/>
      <c r="C287" s="81"/>
      <c r="D287" s="122"/>
      <c r="E287" s="114"/>
    </row>
    <row r="288" spans="1:5" x14ac:dyDescent="0.25">
      <c r="A288" s="82"/>
      <c r="B288" s="81"/>
      <c r="C288" s="81"/>
      <c r="D288" s="122"/>
      <c r="E288" s="114"/>
    </row>
    <row r="289" spans="1:5" x14ac:dyDescent="0.25">
      <c r="A289" s="82"/>
      <c r="B289" s="81"/>
      <c r="C289" s="81"/>
      <c r="D289" s="122"/>
      <c r="E289" s="114"/>
    </row>
    <row r="290" spans="1:5" x14ac:dyDescent="0.25">
      <c r="A290" s="82"/>
      <c r="B290" s="81"/>
      <c r="C290" s="81"/>
      <c r="D290" s="122"/>
      <c r="E290" s="114"/>
    </row>
    <row r="291" spans="1:5" x14ac:dyDescent="0.25">
      <c r="A291" s="82"/>
      <c r="B291" s="81"/>
      <c r="C291" s="81"/>
      <c r="D291" s="122"/>
      <c r="E291" s="114"/>
    </row>
    <row r="292" spans="1:5" x14ac:dyDescent="0.25">
      <c r="A292" s="82"/>
      <c r="B292" s="81"/>
      <c r="C292" s="81"/>
      <c r="D292" s="122"/>
      <c r="E292" s="114"/>
    </row>
    <row r="293" spans="1:5" x14ac:dyDescent="0.25">
      <c r="A293" s="82"/>
      <c r="B293" s="81"/>
      <c r="C293" s="81"/>
      <c r="D293" s="122"/>
      <c r="E293" s="114"/>
    </row>
    <row r="294" spans="1:5" x14ac:dyDescent="0.25">
      <c r="A294" s="82"/>
      <c r="B294" s="81"/>
      <c r="C294" s="81"/>
      <c r="D294" s="122"/>
      <c r="E294" s="114"/>
    </row>
    <row r="295" spans="1:5" x14ac:dyDescent="0.25">
      <c r="A295" s="82"/>
      <c r="B295" s="81"/>
      <c r="C295" s="81"/>
      <c r="D295" s="122"/>
      <c r="E295" s="114"/>
    </row>
    <row r="296" spans="1:5" x14ac:dyDescent="0.25">
      <c r="A296" s="82"/>
      <c r="B296" s="81"/>
      <c r="C296" s="81"/>
      <c r="D296" s="122"/>
      <c r="E296" s="114"/>
    </row>
    <row r="297" spans="1:5" x14ac:dyDescent="0.25">
      <c r="A297" s="82"/>
      <c r="B297" s="81"/>
      <c r="C297" s="81"/>
      <c r="D297" s="122"/>
      <c r="E297" s="114"/>
    </row>
    <row r="298" spans="1:5" x14ac:dyDescent="0.25">
      <c r="A298" s="82"/>
      <c r="B298" s="81"/>
      <c r="C298" s="81"/>
      <c r="D298" s="122"/>
      <c r="E298" s="114"/>
    </row>
    <row r="299" spans="1:5" x14ac:dyDescent="0.25">
      <c r="A299" s="82"/>
      <c r="B299" s="81"/>
      <c r="C299" s="81"/>
      <c r="D299" s="122"/>
      <c r="E299" s="114"/>
    </row>
    <row r="300" spans="1:5" x14ac:dyDescent="0.25">
      <c r="A300" s="82"/>
      <c r="B300" s="81"/>
      <c r="C300" s="81"/>
      <c r="D300" s="122"/>
      <c r="E300" s="114"/>
    </row>
    <row r="301" spans="1:5" x14ac:dyDescent="0.25">
      <c r="A301" s="82"/>
      <c r="B301" s="81"/>
      <c r="C301" s="81"/>
      <c r="D301" s="122"/>
      <c r="E301" s="114"/>
    </row>
    <row r="302" spans="1:5" x14ac:dyDescent="0.25">
      <c r="A302" s="82"/>
      <c r="B302" s="81"/>
      <c r="C302" s="81"/>
      <c r="D302" s="122"/>
      <c r="E302" s="114"/>
    </row>
    <row r="303" spans="1:5" x14ac:dyDescent="0.25">
      <c r="A303" s="82"/>
      <c r="B303" s="81"/>
      <c r="C303" s="81"/>
      <c r="D303" s="122"/>
      <c r="E303" s="114"/>
    </row>
    <row r="304" spans="1:5" x14ac:dyDescent="0.25">
      <c r="A304" s="82"/>
      <c r="B304" s="81"/>
      <c r="C304" s="81"/>
      <c r="D304" s="122"/>
      <c r="E304" s="114"/>
    </row>
    <row r="305" spans="1:5" x14ac:dyDescent="0.25">
      <c r="A305" s="82"/>
      <c r="B305" s="81"/>
      <c r="C305" s="81"/>
      <c r="D305" s="122"/>
      <c r="E305" s="114"/>
    </row>
    <row r="306" spans="1:5" x14ac:dyDescent="0.25">
      <c r="A306" s="82"/>
      <c r="B306" s="81"/>
      <c r="C306" s="81"/>
      <c r="D306" s="122"/>
      <c r="E306" s="114"/>
    </row>
    <row r="307" spans="1:5" x14ac:dyDescent="0.25">
      <c r="A307" s="82"/>
      <c r="B307" s="81"/>
      <c r="C307" s="81"/>
      <c r="D307" s="122"/>
      <c r="E307" s="114"/>
    </row>
    <row r="308" spans="1:5" x14ac:dyDescent="0.25">
      <c r="A308" s="82"/>
      <c r="B308" s="81"/>
      <c r="C308" s="81"/>
      <c r="D308" s="122"/>
      <c r="E308" s="114"/>
    </row>
    <row r="309" spans="1:5" x14ac:dyDescent="0.25">
      <c r="A309" s="82"/>
      <c r="B309" s="81"/>
      <c r="C309" s="81"/>
      <c r="D309" s="122"/>
      <c r="E309" s="114"/>
    </row>
    <row r="310" spans="1:5" x14ac:dyDescent="0.25">
      <c r="A310" s="82"/>
      <c r="B310" s="81"/>
      <c r="C310" s="81"/>
      <c r="D310" s="122"/>
      <c r="E310" s="114"/>
    </row>
    <row r="311" spans="1:5" x14ac:dyDescent="0.25">
      <c r="A311" s="82"/>
      <c r="B311" s="81"/>
      <c r="C311" s="81"/>
      <c r="D311" s="122"/>
      <c r="E311" s="114"/>
    </row>
    <row r="312" spans="1:5" x14ac:dyDescent="0.25">
      <c r="A312" s="82"/>
      <c r="B312" s="81"/>
      <c r="C312" s="81"/>
      <c r="D312" s="122"/>
      <c r="E312" s="114"/>
    </row>
    <row r="313" spans="1:5" x14ac:dyDescent="0.25">
      <c r="A313" s="82"/>
      <c r="B313" s="81"/>
      <c r="C313" s="81"/>
      <c r="D313" s="122"/>
      <c r="E313" s="114"/>
    </row>
    <row r="314" spans="1:5" x14ac:dyDescent="0.25">
      <c r="A314" s="82"/>
      <c r="B314" s="81"/>
      <c r="C314" s="81"/>
      <c r="D314" s="122"/>
      <c r="E314" s="114"/>
    </row>
    <row r="315" spans="1:5" x14ac:dyDescent="0.25">
      <c r="A315" s="82"/>
      <c r="B315" s="81"/>
      <c r="C315" s="81"/>
      <c r="D315" s="122"/>
      <c r="E315" s="114"/>
    </row>
    <row r="316" spans="1:5" x14ac:dyDescent="0.25">
      <c r="A316" s="82"/>
      <c r="B316" s="81"/>
      <c r="C316" s="81"/>
      <c r="D316" s="122"/>
      <c r="E316" s="114"/>
    </row>
    <row r="317" spans="1:5" x14ac:dyDescent="0.25">
      <c r="A317" s="82"/>
      <c r="B317" s="81"/>
      <c r="C317" s="81"/>
      <c r="D317" s="122"/>
      <c r="E317" s="114"/>
    </row>
    <row r="318" spans="1:5" x14ac:dyDescent="0.25">
      <c r="A318" s="82"/>
      <c r="B318" s="81"/>
      <c r="C318" s="81"/>
      <c r="D318" s="122"/>
      <c r="E318" s="114"/>
    </row>
    <row r="319" spans="1:5" x14ac:dyDescent="0.25">
      <c r="A319" s="82"/>
      <c r="B319" s="81"/>
      <c r="C319" s="81"/>
      <c r="D319" s="122"/>
      <c r="E319" s="114"/>
    </row>
    <row r="320" spans="1:5" x14ac:dyDescent="0.25">
      <c r="A320" s="82"/>
      <c r="B320" s="81"/>
      <c r="C320" s="81"/>
      <c r="D320" s="122"/>
      <c r="E320" s="114"/>
    </row>
    <row r="321" spans="1:5" x14ac:dyDescent="0.25">
      <c r="A321" s="82"/>
      <c r="B321" s="81"/>
      <c r="C321" s="81"/>
      <c r="D321" s="122"/>
      <c r="E321" s="114"/>
    </row>
    <row r="322" spans="1:5" x14ac:dyDescent="0.25">
      <c r="A322" s="82"/>
      <c r="B322" s="81"/>
      <c r="C322" s="81"/>
      <c r="D322" s="122"/>
      <c r="E322" s="114"/>
    </row>
    <row r="323" spans="1:5" x14ac:dyDescent="0.25">
      <c r="A323" s="82"/>
      <c r="B323" s="81"/>
      <c r="C323" s="81"/>
      <c r="D323" s="122"/>
      <c r="E323" s="114"/>
    </row>
    <row r="324" spans="1:5" x14ac:dyDescent="0.25">
      <c r="A324" s="82"/>
      <c r="B324" s="81"/>
      <c r="C324" s="81"/>
      <c r="D324" s="122"/>
      <c r="E324" s="114"/>
    </row>
    <row r="325" spans="1:5" x14ac:dyDescent="0.25">
      <c r="A325" s="82"/>
      <c r="B325" s="81"/>
      <c r="C325" s="81"/>
      <c r="D325" s="122"/>
      <c r="E325" s="114"/>
    </row>
    <row r="326" spans="1:5" x14ac:dyDescent="0.25">
      <c r="A326" s="82"/>
      <c r="B326" s="81"/>
      <c r="C326" s="81"/>
      <c r="D326" s="122"/>
      <c r="E326" s="114"/>
    </row>
    <row r="327" spans="1:5" x14ac:dyDescent="0.25">
      <c r="A327" s="82"/>
      <c r="B327" s="81"/>
      <c r="C327" s="81"/>
      <c r="D327" s="122"/>
      <c r="E327" s="114"/>
    </row>
    <row r="328" spans="1:5" x14ac:dyDescent="0.25">
      <c r="A328" s="82"/>
      <c r="B328" s="81"/>
      <c r="C328" s="81"/>
      <c r="D328" s="122"/>
      <c r="E328" s="114"/>
    </row>
    <row r="329" spans="1:5" x14ac:dyDescent="0.25">
      <c r="A329" s="82"/>
      <c r="B329" s="81"/>
      <c r="C329" s="81"/>
      <c r="D329" s="122"/>
      <c r="E329" s="114"/>
    </row>
    <row r="330" spans="1:5" x14ac:dyDescent="0.25">
      <c r="A330" s="82"/>
      <c r="B330" s="81"/>
      <c r="C330" s="81"/>
      <c r="D330" s="122"/>
      <c r="E330" s="114"/>
    </row>
    <row r="331" spans="1:5" x14ac:dyDescent="0.25">
      <c r="A331" s="82"/>
      <c r="B331" s="81"/>
      <c r="C331" s="81"/>
      <c r="D331" s="122"/>
      <c r="E331" s="114"/>
    </row>
    <row r="332" spans="1:5" x14ac:dyDescent="0.25">
      <c r="A332" s="82"/>
      <c r="B332" s="81"/>
      <c r="C332" s="81"/>
      <c r="D332" s="122"/>
      <c r="E332" s="114"/>
    </row>
    <row r="333" spans="1:5" x14ac:dyDescent="0.25">
      <c r="A333" s="82"/>
      <c r="B333" s="81"/>
      <c r="C333" s="81"/>
      <c r="D333" s="122"/>
      <c r="E333" s="114"/>
    </row>
    <row r="334" spans="1:5" x14ac:dyDescent="0.25">
      <c r="A334" s="82"/>
      <c r="B334" s="81"/>
      <c r="C334" s="81"/>
      <c r="D334" s="122"/>
      <c r="E334" s="114"/>
    </row>
    <row r="335" spans="1:5" x14ac:dyDescent="0.25">
      <c r="A335" s="82"/>
      <c r="B335" s="81"/>
      <c r="C335" s="81"/>
      <c r="D335" s="122"/>
      <c r="E335" s="114"/>
    </row>
    <row r="336" spans="1:5" x14ac:dyDescent="0.25">
      <c r="A336" s="82"/>
      <c r="B336" s="81"/>
      <c r="C336" s="81"/>
      <c r="D336" s="122"/>
      <c r="E336" s="114"/>
    </row>
    <row r="337" spans="1:5" x14ac:dyDescent="0.25">
      <c r="A337" s="82"/>
      <c r="B337" s="81"/>
      <c r="C337" s="81"/>
      <c r="D337" s="122"/>
      <c r="E337" s="114"/>
    </row>
    <row r="338" spans="1:5" x14ac:dyDescent="0.25">
      <c r="A338" s="82"/>
      <c r="B338" s="81"/>
      <c r="C338" s="81"/>
      <c r="D338" s="122"/>
      <c r="E338" s="114"/>
    </row>
    <row r="339" spans="1:5" x14ac:dyDescent="0.25">
      <c r="A339" s="82"/>
      <c r="B339" s="81"/>
      <c r="C339" s="81"/>
      <c r="D339" s="122"/>
      <c r="E339" s="114"/>
    </row>
    <row r="340" spans="1:5" x14ac:dyDescent="0.25">
      <c r="A340" s="82"/>
      <c r="B340" s="81"/>
      <c r="C340" s="81"/>
      <c r="D340" s="122"/>
      <c r="E340" s="114"/>
    </row>
    <row r="341" spans="1:5" x14ac:dyDescent="0.25">
      <c r="A341" s="82"/>
      <c r="B341" s="81"/>
      <c r="C341" s="81"/>
      <c r="D341" s="122"/>
      <c r="E341" s="114"/>
    </row>
    <row r="342" spans="1:5" x14ac:dyDescent="0.25">
      <c r="A342" s="82"/>
      <c r="B342" s="81"/>
      <c r="C342" s="81"/>
      <c r="D342" s="122"/>
      <c r="E342" s="114"/>
    </row>
    <row r="343" spans="1:5" x14ac:dyDescent="0.25">
      <c r="A343" s="82"/>
      <c r="B343" s="81"/>
      <c r="C343" s="81"/>
      <c r="D343" s="122"/>
      <c r="E343" s="114"/>
    </row>
    <row r="344" spans="1:5" x14ac:dyDescent="0.25">
      <c r="A344" s="82"/>
      <c r="B344" s="81"/>
      <c r="C344" s="81"/>
      <c r="D344" s="122"/>
      <c r="E344" s="114"/>
    </row>
    <row r="345" spans="1:5" x14ac:dyDescent="0.25">
      <c r="A345" s="82"/>
      <c r="B345" s="81"/>
      <c r="C345" s="81"/>
      <c r="D345" s="122"/>
      <c r="E345" s="114"/>
    </row>
    <row r="346" spans="1:5" x14ac:dyDescent="0.25">
      <c r="A346" s="82"/>
      <c r="B346" s="81"/>
      <c r="C346" s="81"/>
      <c r="D346" s="122"/>
      <c r="E346" s="114"/>
    </row>
    <row r="347" spans="1:5" x14ac:dyDescent="0.25">
      <c r="A347" s="82"/>
      <c r="B347" s="81"/>
      <c r="C347" s="81"/>
      <c r="D347" s="122"/>
      <c r="E347" s="114"/>
    </row>
    <row r="348" spans="1:5" x14ac:dyDescent="0.25">
      <c r="A348" s="82"/>
      <c r="B348" s="81"/>
      <c r="C348" s="81"/>
      <c r="D348" s="122"/>
      <c r="E348" s="114"/>
    </row>
    <row r="349" spans="1:5" x14ac:dyDescent="0.25">
      <c r="A349" s="82"/>
      <c r="B349" s="81"/>
      <c r="C349" s="81"/>
      <c r="D349" s="122"/>
      <c r="E349" s="114"/>
    </row>
    <row r="350" spans="1:5" x14ac:dyDescent="0.25">
      <c r="A350" s="82"/>
      <c r="B350" s="81"/>
      <c r="C350" s="81"/>
      <c r="D350" s="122"/>
      <c r="E350" s="114"/>
    </row>
    <row r="351" spans="1:5" x14ac:dyDescent="0.25">
      <c r="A351" s="82"/>
      <c r="B351" s="81"/>
      <c r="C351" s="81"/>
      <c r="D351" s="122"/>
      <c r="E351" s="114"/>
    </row>
    <row r="352" spans="1:5" x14ac:dyDescent="0.25">
      <c r="A352" s="82"/>
      <c r="B352" s="81"/>
      <c r="C352" s="81"/>
      <c r="D352" s="122"/>
      <c r="E352" s="114"/>
    </row>
    <row r="353" spans="1:5" x14ac:dyDescent="0.25">
      <c r="A353" s="82"/>
      <c r="B353" s="81"/>
      <c r="C353" s="81"/>
      <c r="D353" s="122"/>
      <c r="E353" s="114"/>
    </row>
    <row r="354" spans="1:5" x14ac:dyDescent="0.25">
      <c r="A354" s="82"/>
      <c r="B354" s="81"/>
      <c r="C354" s="81"/>
      <c r="D354" s="122"/>
      <c r="E354" s="114"/>
    </row>
    <row r="355" spans="1:5" x14ac:dyDescent="0.25">
      <c r="A355" s="82"/>
      <c r="B355" s="81"/>
      <c r="C355" s="81"/>
      <c r="D355" s="122"/>
      <c r="E355" s="114"/>
    </row>
    <row r="356" spans="1:5" x14ac:dyDescent="0.25">
      <c r="A356" s="82"/>
      <c r="B356" s="81"/>
      <c r="C356" s="81"/>
      <c r="D356" s="122"/>
      <c r="E356" s="114"/>
    </row>
    <row r="357" spans="1:5" x14ac:dyDescent="0.25">
      <c r="A357" s="82"/>
      <c r="B357" s="81"/>
      <c r="C357" s="81"/>
      <c r="D357" s="122"/>
      <c r="E357" s="114"/>
    </row>
    <row r="358" spans="1:5" x14ac:dyDescent="0.25">
      <c r="A358" s="82"/>
      <c r="B358" s="81"/>
      <c r="C358" s="81"/>
      <c r="D358" s="122"/>
      <c r="E358" s="114"/>
    </row>
    <row r="359" spans="1:5" x14ac:dyDescent="0.25">
      <c r="A359" s="82"/>
      <c r="B359" s="81"/>
      <c r="C359" s="81"/>
      <c r="D359" s="122"/>
      <c r="E359" s="114"/>
    </row>
    <row r="360" spans="1:5" x14ac:dyDescent="0.25">
      <c r="A360" s="82"/>
      <c r="B360" s="81"/>
      <c r="C360" s="81"/>
      <c r="D360" s="122"/>
      <c r="E360" s="114"/>
    </row>
    <row r="361" spans="1:5" x14ac:dyDescent="0.25">
      <c r="A361" s="82"/>
      <c r="B361" s="81"/>
      <c r="C361" s="81"/>
      <c r="D361" s="122"/>
      <c r="E361" s="114"/>
    </row>
    <row r="362" spans="1:5" x14ac:dyDescent="0.25">
      <c r="A362" s="82"/>
      <c r="B362" s="81"/>
      <c r="C362" s="81"/>
      <c r="D362" s="122"/>
      <c r="E362" s="114"/>
    </row>
    <row r="363" spans="1:5" x14ac:dyDescent="0.25">
      <c r="A363" s="82"/>
      <c r="B363" s="81"/>
      <c r="C363" s="81"/>
      <c r="D363" s="122"/>
      <c r="E363" s="114"/>
    </row>
    <row r="364" spans="1:5" x14ac:dyDescent="0.25">
      <c r="A364" s="82"/>
      <c r="B364" s="81"/>
      <c r="C364" s="81"/>
      <c r="D364" s="122"/>
      <c r="E364" s="114"/>
    </row>
    <row r="365" spans="1:5" x14ac:dyDescent="0.25">
      <c r="A365" s="82"/>
      <c r="B365" s="81"/>
      <c r="C365" s="81"/>
      <c r="D365" s="122"/>
      <c r="E365" s="114"/>
    </row>
    <row r="366" spans="1:5" x14ac:dyDescent="0.25">
      <c r="A366" s="82"/>
      <c r="B366" s="81"/>
      <c r="C366" s="81"/>
      <c r="D366" s="122"/>
      <c r="E366" s="114"/>
    </row>
    <row r="367" spans="1:5" x14ac:dyDescent="0.25">
      <c r="A367" s="82"/>
      <c r="B367" s="81"/>
      <c r="C367" s="81"/>
      <c r="D367" s="122"/>
      <c r="E367" s="114"/>
    </row>
    <row r="368" spans="1:5" x14ac:dyDescent="0.25">
      <c r="A368" s="82"/>
      <c r="B368" s="81"/>
      <c r="C368" s="81"/>
      <c r="D368" s="122"/>
      <c r="E368" s="114"/>
    </row>
    <row r="369" spans="1:5" x14ac:dyDescent="0.25">
      <c r="A369" s="82"/>
      <c r="B369" s="81"/>
      <c r="C369" s="81"/>
      <c r="D369" s="122"/>
      <c r="E369" s="114"/>
    </row>
    <row r="370" spans="1:5" x14ac:dyDescent="0.25">
      <c r="A370" s="82"/>
      <c r="B370" s="81"/>
      <c r="C370" s="81"/>
      <c r="D370" s="122"/>
      <c r="E370" s="114"/>
    </row>
    <row r="371" spans="1:5" x14ac:dyDescent="0.25">
      <c r="A371" s="82"/>
      <c r="B371" s="81"/>
      <c r="C371" s="81"/>
      <c r="D371" s="122"/>
      <c r="E371" s="114"/>
    </row>
    <row r="372" spans="1:5" x14ac:dyDescent="0.25">
      <c r="A372" s="82"/>
      <c r="B372" s="81"/>
      <c r="C372" s="81"/>
      <c r="D372" s="122"/>
      <c r="E372" s="114"/>
    </row>
    <row r="373" spans="1:5" x14ac:dyDescent="0.25">
      <c r="A373" s="82"/>
      <c r="B373" s="81"/>
      <c r="C373" s="81"/>
      <c r="D373" s="122"/>
      <c r="E373" s="114"/>
    </row>
    <row r="374" spans="1:5" x14ac:dyDescent="0.25">
      <c r="A374" s="82"/>
      <c r="B374" s="81"/>
      <c r="C374" s="81"/>
      <c r="D374" s="122"/>
      <c r="E374" s="114"/>
    </row>
    <row r="375" spans="1:5" x14ac:dyDescent="0.25">
      <c r="A375" s="82"/>
      <c r="B375" s="81"/>
      <c r="C375" s="81"/>
      <c r="D375" s="122"/>
      <c r="E375" s="114"/>
    </row>
    <row r="376" spans="1:5" x14ac:dyDescent="0.25">
      <c r="A376" s="82"/>
      <c r="B376" s="81"/>
      <c r="C376" s="81"/>
      <c r="D376" s="122"/>
      <c r="E376" s="114"/>
    </row>
    <row r="377" spans="1:5" x14ac:dyDescent="0.25">
      <c r="A377" s="82"/>
      <c r="B377" s="81"/>
      <c r="C377" s="81"/>
      <c r="D377" s="122"/>
      <c r="E377" s="114"/>
    </row>
    <row r="378" spans="1:5" x14ac:dyDescent="0.25">
      <c r="A378" s="82"/>
      <c r="B378" s="81"/>
      <c r="C378" s="81"/>
      <c r="D378" s="122"/>
      <c r="E378" s="114"/>
    </row>
    <row r="379" spans="1:5" x14ac:dyDescent="0.25">
      <c r="A379" s="82"/>
      <c r="B379" s="81"/>
      <c r="C379" s="81"/>
      <c r="D379" s="122"/>
      <c r="E379" s="114"/>
    </row>
    <row r="380" spans="1:5" x14ac:dyDescent="0.25">
      <c r="A380" s="82"/>
      <c r="B380" s="81"/>
      <c r="C380" s="81"/>
      <c r="D380" s="122"/>
      <c r="E380" s="114"/>
    </row>
    <row r="381" spans="1:5" x14ac:dyDescent="0.25">
      <c r="A381" s="82"/>
      <c r="B381" s="81"/>
      <c r="C381" s="81"/>
      <c r="D381" s="122"/>
      <c r="E381" s="114"/>
    </row>
    <row r="382" spans="1:5" x14ac:dyDescent="0.25">
      <c r="A382" s="82"/>
      <c r="B382" s="81"/>
      <c r="C382" s="81"/>
      <c r="D382" s="122"/>
      <c r="E382" s="114"/>
    </row>
    <row r="383" spans="1:5" x14ac:dyDescent="0.25">
      <c r="A383" s="82"/>
      <c r="B383" s="81"/>
      <c r="C383" s="81"/>
      <c r="D383" s="122"/>
      <c r="E383" s="114"/>
    </row>
    <row r="384" spans="1:5" x14ac:dyDescent="0.25">
      <c r="A384" s="82"/>
      <c r="B384" s="81"/>
      <c r="C384" s="81"/>
      <c r="D384" s="122"/>
      <c r="E384" s="114"/>
    </row>
    <row r="385" spans="1:5" x14ac:dyDescent="0.25">
      <c r="A385" s="82"/>
      <c r="B385" s="81"/>
      <c r="C385" s="81"/>
      <c r="D385" s="122"/>
      <c r="E385" s="114"/>
    </row>
    <row r="386" spans="1:5" x14ac:dyDescent="0.25">
      <c r="A386" s="82"/>
      <c r="B386" s="81"/>
      <c r="C386" s="81"/>
      <c r="D386" s="122"/>
      <c r="E386" s="114"/>
    </row>
    <row r="387" spans="1:5" x14ac:dyDescent="0.25">
      <c r="A387" s="82"/>
      <c r="B387" s="81"/>
      <c r="C387" s="81"/>
      <c r="D387" s="122"/>
      <c r="E387" s="114"/>
    </row>
    <row r="388" spans="1:5" x14ac:dyDescent="0.25">
      <c r="A388" s="82"/>
      <c r="B388" s="81"/>
      <c r="C388" s="81"/>
      <c r="D388" s="122"/>
      <c r="E388" s="114"/>
    </row>
    <row r="389" spans="1:5" x14ac:dyDescent="0.25">
      <c r="A389" s="82"/>
      <c r="B389" s="81"/>
      <c r="C389" s="81"/>
      <c r="D389" s="122"/>
      <c r="E389" s="114"/>
    </row>
    <row r="390" spans="1:5" x14ac:dyDescent="0.25">
      <c r="A390" s="82"/>
      <c r="B390" s="81"/>
      <c r="C390" s="81"/>
      <c r="D390" s="122"/>
      <c r="E390" s="114"/>
    </row>
    <row r="391" spans="1:5" x14ac:dyDescent="0.25">
      <c r="A391" s="82"/>
      <c r="B391" s="81"/>
      <c r="C391" s="81"/>
      <c r="D391" s="122"/>
      <c r="E391" s="114"/>
    </row>
    <row r="392" spans="1:5" x14ac:dyDescent="0.25">
      <c r="A392" s="82"/>
      <c r="B392" s="81"/>
      <c r="C392" s="81"/>
      <c r="D392" s="122"/>
      <c r="E392" s="114"/>
    </row>
    <row r="393" spans="1:5" x14ac:dyDescent="0.25">
      <c r="A393" s="82"/>
      <c r="B393" s="81"/>
      <c r="C393" s="81"/>
      <c r="D393" s="122"/>
      <c r="E393" s="114"/>
    </row>
    <row r="394" spans="1:5" x14ac:dyDescent="0.25">
      <c r="A394" s="82"/>
      <c r="B394" s="81"/>
      <c r="C394" s="81"/>
      <c r="D394" s="122"/>
      <c r="E394" s="114"/>
    </row>
    <row r="395" spans="1:5" x14ac:dyDescent="0.25">
      <c r="A395" s="82"/>
      <c r="B395" s="81"/>
      <c r="C395" s="81"/>
      <c r="D395" s="122"/>
      <c r="E395" s="114"/>
    </row>
    <row r="396" spans="1:5" x14ac:dyDescent="0.25">
      <c r="A396" s="82"/>
      <c r="B396" s="81"/>
      <c r="C396" s="81"/>
      <c r="D396" s="122"/>
      <c r="E396" s="114"/>
    </row>
    <row r="397" spans="1:5" x14ac:dyDescent="0.25">
      <c r="A397" s="82"/>
      <c r="B397" s="81"/>
      <c r="C397" s="81"/>
      <c r="D397" s="122"/>
      <c r="E397" s="114"/>
    </row>
    <row r="398" spans="1:5" x14ac:dyDescent="0.25">
      <c r="A398" s="82"/>
      <c r="B398" s="81"/>
      <c r="C398" s="81"/>
      <c r="D398" s="122"/>
      <c r="E398" s="114"/>
    </row>
    <row r="399" spans="1:5" x14ac:dyDescent="0.25">
      <c r="A399" s="82"/>
      <c r="B399" s="81"/>
      <c r="C399" s="81"/>
      <c r="D399" s="122"/>
      <c r="E399" s="114"/>
    </row>
    <row r="400" spans="1:5" x14ac:dyDescent="0.25">
      <c r="A400" s="82"/>
      <c r="B400" s="81"/>
      <c r="C400" s="81"/>
      <c r="D400" s="122"/>
      <c r="E400" s="114"/>
    </row>
    <row r="401" spans="1:5" x14ac:dyDescent="0.25">
      <c r="A401" s="82"/>
      <c r="B401" s="81"/>
      <c r="C401" s="81"/>
      <c r="D401" s="122"/>
      <c r="E401" s="114"/>
    </row>
    <row r="402" spans="1:5" x14ac:dyDescent="0.25">
      <c r="A402" s="82"/>
      <c r="B402" s="81"/>
      <c r="C402" s="81"/>
      <c r="D402" s="122"/>
      <c r="E402" s="114"/>
    </row>
    <row r="403" spans="1:5" x14ac:dyDescent="0.25">
      <c r="A403" s="82"/>
      <c r="B403" s="81"/>
      <c r="C403" s="81"/>
      <c r="D403" s="122"/>
      <c r="E403" s="114"/>
    </row>
    <row r="404" spans="1:5" x14ac:dyDescent="0.25">
      <c r="A404" s="82"/>
      <c r="B404" s="81"/>
      <c r="C404" s="81"/>
      <c r="D404" s="122"/>
      <c r="E404" s="114"/>
    </row>
    <row r="405" spans="1:5" x14ac:dyDescent="0.25">
      <c r="A405" s="82"/>
      <c r="B405" s="81"/>
      <c r="C405" s="81"/>
      <c r="D405" s="122"/>
      <c r="E405" s="114"/>
    </row>
    <row r="406" spans="1:5" x14ac:dyDescent="0.25">
      <c r="A406" s="82"/>
      <c r="B406" s="81"/>
      <c r="C406" s="81"/>
      <c r="D406" s="122"/>
      <c r="E406" s="114"/>
    </row>
    <row r="407" spans="1:5" x14ac:dyDescent="0.25">
      <c r="A407" s="82"/>
      <c r="B407" s="81"/>
      <c r="C407" s="81"/>
      <c r="D407" s="122"/>
      <c r="E407" s="114"/>
    </row>
    <row r="408" spans="1:5" x14ac:dyDescent="0.25">
      <c r="A408" s="82"/>
      <c r="B408" s="81"/>
      <c r="C408" s="81"/>
      <c r="D408" s="122"/>
      <c r="E408" s="114"/>
    </row>
    <row r="409" spans="1:5" x14ac:dyDescent="0.25">
      <c r="A409" s="82"/>
      <c r="B409" s="81"/>
      <c r="C409" s="81"/>
      <c r="D409" s="122"/>
      <c r="E409" s="114"/>
    </row>
    <row r="410" spans="1:5" x14ac:dyDescent="0.25">
      <c r="A410" s="82"/>
      <c r="B410" s="81"/>
      <c r="C410" s="81"/>
      <c r="D410" s="122"/>
      <c r="E410" s="114"/>
    </row>
    <row r="411" spans="1:5" x14ac:dyDescent="0.25">
      <c r="A411" s="82"/>
      <c r="B411" s="81"/>
      <c r="C411" s="81"/>
      <c r="D411" s="122"/>
      <c r="E411" s="114"/>
    </row>
    <row r="412" spans="1:5" x14ac:dyDescent="0.25">
      <c r="A412" s="82"/>
      <c r="B412" s="81"/>
      <c r="C412" s="81"/>
      <c r="D412" s="122"/>
      <c r="E412" s="114"/>
    </row>
    <row r="413" spans="1:5" x14ac:dyDescent="0.25">
      <c r="A413" s="82"/>
      <c r="B413" s="81"/>
      <c r="C413" s="81"/>
      <c r="D413" s="122"/>
      <c r="E413" s="114"/>
    </row>
    <row r="414" spans="1:5" x14ac:dyDescent="0.25">
      <c r="A414" s="82"/>
      <c r="B414" s="81"/>
      <c r="C414" s="81"/>
      <c r="D414" s="122"/>
      <c r="E414" s="114"/>
    </row>
    <row r="415" spans="1:5" x14ac:dyDescent="0.25">
      <c r="A415" s="82"/>
      <c r="B415" s="81"/>
      <c r="C415" s="81"/>
      <c r="D415" s="122"/>
      <c r="E415" s="114"/>
    </row>
    <row r="416" spans="1:5" x14ac:dyDescent="0.25">
      <c r="A416" s="82"/>
      <c r="B416" s="81"/>
      <c r="C416" s="81"/>
      <c r="D416" s="122"/>
      <c r="E416" s="114"/>
    </row>
    <row r="417" spans="1:5" x14ac:dyDescent="0.25">
      <c r="A417" s="82"/>
      <c r="B417" s="81"/>
      <c r="C417" s="81"/>
      <c r="D417" s="122"/>
      <c r="E417" s="114"/>
    </row>
    <row r="418" spans="1:5" x14ac:dyDescent="0.25">
      <c r="A418" s="82"/>
      <c r="B418" s="81"/>
      <c r="C418" s="81"/>
      <c r="D418" s="122"/>
      <c r="E418" s="114"/>
    </row>
    <row r="419" spans="1:5" x14ac:dyDescent="0.25">
      <c r="A419" s="82"/>
      <c r="B419" s="81"/>
      <c r="C419" s="81"/>
      <c r="D419" s="122"/>
      <c r="E419" s="114"/>
    </row>
    <row r="420" spans="1:5" x14ac:dyDescent="0.25">
      <c r="A420" s="82"/>
      <c r="B420" s="81"/>
      <c r="C420" s="81"/>
      <c r="D420" s="122"/>
      <c r="E420" s="114"/>
    </row>
    <row r="421" spans="1:5" x14ac:dyDescent="0.25">
      <c r="A421" s="82"/>
      <c r="B421" s="81"/>
      <c r="C421" s="81"/>
      <c r="D421" s="122"/>
      <c r="E421" s="114"/>
    </row>
    <row r="422" spans="1:5" x14ac:dyDescent="0.25">
      <c r="A422" s="82"/>
      <c r="B422" s="81"/>
      <c r="C422" s="81"/>
      <c r="D422" s="122"/>
      <c r="E422" s="114"/>
    </row>
    <row r="423" spans="1:5" x14ac:dyDescent="0.25">
      <c r="A423" s="82"/>
      <c r="B423" s="81"/>
      <c r="C423" s="81"/>
      <c r="D423" s="122"/>
      <c r="E423" s="114"/>
    </row>
    <row r="424" spans="1:5" x14ac:dyDescent="0.25">
      <c r="A424" s="82"/>
      <c r="B424" s="81"/>
      <c r="C424" s="81"/>
      <c r="D424" s="122"/>
      <c r="E424" s="114"/>
    </row>
    <row r="425" spans="1:5" x14ac:dyDescent="0.25">
      <c r="A425" s="82"/>
      <c r="B425" s="81"/>
      <c r="C425" s="81"/>
      <c r="D425" s="122"/>
      <c r="E425" s="114"/>
    </row>
    <row r="426" spans="1:5" x14ac:dyDescent="0.25">
      <c r="A426" s="82"/>
      <c r="B426" s="81"/>
      <c r="C426" s="81"/>
      <c r="D426" s="122"/>
      <c r="E426" s="114"/>
    </row>
    <row r="427" spans="1:5" x14ac:dyDescent="0.25">
      <c r="A427" s="82"/>
      <c r="B427" s="81"/>
      <c r="C427" s="81"/>
      <c r="D427" s="122"/>
      <c r="E427" s="114"/>
    </row>
    <row r="428" spans="1:5" x14ac:dyDescent="0.25">
      <c r="A428" s="82"/>
      <c r="B428" s="81"/>
      <c r="C428" s="81"/>
      <c r="D428" s="122"/>
      <c r="E428" s="114"/>
    </row>
    <row r="429" spans="1:5" x14ac:dyDescent="0.25">
      <c r="A429" s="82"/>
      <c r="B429" s="81"/>
      <c r="C429" s="81"/>
      <c r="D429" s="122"/>
      <c r="E429" s="114"/>
    </row>
    <row r="430" spans="1:5" x14ac:dyDescent="0.25">
      <c r="A430" s="82"/>
      <c r="B430" s="81"/>
      <c r="C430" s="81"/>
      <c r="D430" s="122"/>
      <c r="E430" s="114"/>
    </row>
    <row r="431" spans="1:5" x14ac:dyDescent="0.25">
      <c r="A431" s="82"/>
      <c r="B431" s="81"/>
      <c r="C431" s="81"/>
      <c r="D431" s="122"/>
      <c r="E431" s="114"/>
    </row>
    <row r="432" spans="1:5" x14ac:dyDescent="0.25">
      <c r="A432" s="82"/>
      <c r="B432" s="81"/>
      <c r="C432" s="81"/>
      <c r="D432" s="122"/>
      <c r="E432" s="114"/>
    </row>
    <row r="433" spans="1:5" x14ac:dyDescent="0.25">
      <c r="A433" s="82"/>
      <c r="B433" s="81"/>
      <c r="C433" s="81"/>
      <c r="D433" s="122"/>
      <c r="E433" s="114"/>
    </row>
    <row r="434" spans="1:5" x14ac:dyDescent="0.25">
      <c r="A434" s="82"/>
      <c r="B434" s="81"/>
      <c r="C434" s="81"/>
      <c r="D434" s="122"/>
      <c r="E434" s="114"/>
    </row>
    <row r="435" spans="1:5" x14ac:dyDescent="0.25">
      <c r="A435" s="82"/>
      <c r="B435" s="81"/>
      <c r="C435" s="81"/>
      <c r="D435" s="122"/>
      <c r="E435" s="114"/>
    </row>
    <row r="436" spans="1:5" x14ac:dyDescent="0.25">
      <c r="A436" s="82"/>
      <c r="B436" s="81"/>
      <c r="C436" s="81"/>
      <c r="D436" s="122"/>
      <c r="E436" s="114"/>
    </row>
    <row r="437" spans="1:5" x14ac:dyDescent="0.25">
      <c r="A437" s="82"/>
      <c r="B437" s="81"/>
      <c r="C437" s="81"/>
      <c r="D437" s="122"/>
      <c r="E437" s="114"/>
    </row>
    <row r="438" spans="1:5" x14ac:dyDescent="0.25">
      <c r="A438" s="82"/>
      <c r="B438" s="81"/>
      <c r="C438" s="81"/>
      <c r="D438" s="122"/>
      <c r="E438" s="114"/>
    </row>
    <row r="439" spans="1:5" x14ac:dyDescent="0.25">
      <c r="A439" s="82"/>
      <c r="B439" s="81"/>
      <c r="C439" s="81"/>
      <c r="D439" s="122"/>
      <c r="E439" s="114"/>
    </row>
    <row r="440" spans="1:5" x14ac:dyDescent="0.25">
      <c r="A440" s="82"/>
      <c r="B440" s="81"/>
      <c r="C440" s="81"/>
      <c r="D440" s="122"/>
      <c r="E440" s="114"/>
    </row>
    <row r="441" spans="1:5" x14ac:dyDescent="0.25">
      <c r="A441" s="82"/>
      <c r="B441" s="81"/>
      <c r="C441" s="81"/>
      <c r="D441" s="122"/>
      <c r="E441" s="114"/>
    </row>
    <row r="442" spans="1:5" x14ac:dyDescent="0.25">
      <c r="A442" s="82"/>
      <c r="B442" s="81"/>
      <c r="C442" s="81"/>
      <c r="D442" s="122"/>
      <c r="E442" s="114"/>
    </row>
    <row r="443" spans="1:5" x14ac:dyDescent="0.25">
      <c r="A443" s="82"/>
      <c r="B443" s="81"/>
      <c r="C443" s="81"/>
      <c r="D443" s="122"/>
      <c r="E443" s="114"/>
    </row>
    <row r="444" spans="1:5" x14ac:dyDescent="0.25">
      <c r="A444" s="82"/>
      <c r="B444" s="81"/>
      <c r="C444" s="81"/>
      <c r="D444" s="122"/>
      <c r="E444" s="114"/>
    </row>
    <row r="445" spans="1:5" x14ac:dyDescent="0.25">
      <c r="A445" s="82"/>
      <c r="B445" s="81"/>
      <c r="C445" s="81"/>
      <c r="D445" s="122"/>
      <c r="E445" s="114"/>
    </row>
    <row r="446" spans="1:5" x14ac:dyDescent="0.25">
      <c r="A446" s="82"/>
      <c r="B446" s="81"/>
      <c r="C446" s="81"/>
      <c r="D446" s="122"/>
      <c r="E446" s="114"/>
    </row>
    <row r="447" spans="1:5" x14ac:dyDescent="0.25">
      <c r="A447" s="82"/>
      <c r="B447" s="81"/>
      <c r="C447" s="81"/>
      <c r="D447" s="122"/>
      <c r="E447" s="114"/>
    </row>
    <row r="448" spans="1:5" x14ac:dyDescent="0.25">
      <c r="A448" s="82"/>
      <c r="B448" s="81"/>
      <c r="C448" s="81"/>
      <c r="D448" s="122"/>
      <c r="E448" s="114"/>
    </row>
    <row r="449" spans="1:5" x14ac:dyDescent="0.25">
      <c r="A449" s="82"/>
      <c r="B449" s="81"/>
      <c r="C449" s="81"/>
      <c r="D449" s="122"/>
      <c r="E449" s="114"/>
    </row>
    <row r="450" spans="1:5" x14ac:dyDescent="0.25">
      <c r="A450" s="82"/>
      <c r="B450" s="81"/>
      <c r="C450" s="81"/>
      <c r="D450" s="122"/>
      <c r="E450" s="114"/>
    </row>
    <row r="451" spans="1:5" x14ac:dyDescent="0.25">
      <c r="A451" s="82"/>
      <c r="B451" s="81"/>
      <c r="C451" s="81"/>
      <c r="D451" s="122"/>
      <c r="E451" s="114"/>
    </row>
    <row r="452" spans="1:5" x14ac:dyDescent="0.25">
      <c r="A452" s="82"/>
      <c r="B452" s="81"/>
      <c r="C452" s="81"/>
      <c r="D452" s="122"/>
      <c r="E452" s="114"/>
    </row>
    <row r="453" spans="1:5" x14ac:dyDescent="0.25">
      <c r="A453" s="82"/>
      <c r="B453" s="81"/>
      <c r="C453" s="81"/>
      <c r="D453" s="122"/>
      <c r="E453" s="114"/>
    </row>
    <row r="454" spans="1:5" x14ac:dyDescent="0.25">
      <c r="A454" s="82"/>
      <c r="B454" s="81"/>
      <c r="C454" s="81"/>
      <c r="D454" s="122"/>
      <c r="E454" s="114"/>
    </row>
    <row r="455" spans="1:5" x14ac:dyDescent="0.25">
      <c r="A455" s="82"/>
      <c r="B455" s="81"/>
      <c r="C455" s="81"/>
      <c r="D455" s="122"/>
      <c r="E455" s="114"/>
    </row>
    <row r="456" spans="1:5" x14ac:dyDescent="0.25">
      <c r="A456" s="82"/>
      <c r="B456" s="81"/>
      <c r="C456" s="81"/>
      <c r="D456" s="122"/>
      <c r="E456" s="114"/>
    </row>
    <row r="457" spans="1:5" x14ac:dyDescent="0.25">
      <c r="A457" s="82"/>
      <c r="B457" s="81"/>
      <c r="C457" s="81"/>
      <c r="D457" s="122"/>
      <c r="E457" s="114"/>
    </row>
    <row r="458" spans="1:5" x14ac:dyDescent="0.25">
      <c r="A458" s="82"/>
      <c r="B458" s="81"/>
      <c r="C458" s="81"/>
      <c r="D458" s="122"/>
      <c r="E458" s="114"/>
    </row>
    <row r="459" spans="1:5" x14ac:dyDescent="0.25">
      <c r="A459" s="82"/>
      <c r="B459" s="81"/>
      <c r="C459" s="81"/>
      <c r="D459" s="122"/>
      <c r="E459" s="114"/>
    </row>
    <row r="460" spans="1:5" x14ac:dyDescent="0.25">
      <c r="A460" s="82"/>
      <c r="B460" s="81"/>
      <c r="C460" s="81"/>
      <c r="D460" s="122"/>
      <c r="E460" s="114"/>
    </row>
    <row r="461" spans="1:5" x14ac:dyDescent="0.25">
      <c r="A461" s="82"/>
      <c r="B461" s="81"/>
      <c r="C461" s="81"/>
      <c r="D461" s="122"/>
      <c r="E461" s="114"/>
    </row>
    <row r="462" spans="1:5" x14ac:dyDescent="0.25">
      <c r="A462" s="82"/>
      <c r="B462" s="81"/>
      <c r="C462" s="81"/>
      <c r="D462" s="122"/>
      <c r="E462" s="114"/>
    </row>
    <row r="463" spans="1:5" x14ac:dyDescent="0.25">
      <c r="A463" s="82"/>
      <c r="B463" s="81"/>
      <c r="C463" s="81"/>
      <c r="D463" s="122"/>
      <c r="E463" s="114"/>
    </row>
    <row r="464" spans="1:5" x14ac:dyDescent="0.25">
      <c r="A464" s="82"/>
      <c r="B464" s="81"/>
      <c r="C464" s="81"/>
      <c r="D464" s="122"/>
      <c r="E464" s="114"/>
    </row>
    <row r="465" spans="1:5" x14ac:dyDescent="0.25">
      <c r="A465" s="82"/>
      <c r="B465" s="81"/>
      <c r="C465" s="81"/>
      <c r="D465" s="122"/>
      <c r="E465" s="114"/>
    </row>
    <row r="466" spans="1:5" x14ac:dyDescent="0.25">
      <c r="A466" s="82"/>
      <c r="B466" s="81"/>
      <c r="C466" s="81"/>
      <c r="D466" s="122"/>
      <c r="E466" s="114"/>
    </row>
    <row r="467" spans="1:5" x14ac:dyDescent="0.25">
      <c r="A467" s="82"/>
      <c r="B467" s="81"/>
      <c r="C467" s="81"/>
      <c r="D467" s="122"/>
      <c r="E467" s="114"/>
    </row>
    <row r="468" spans="1:5" x14ac:dyDescent="0.25">
      <c r="A468" s="82"/>
      <c r="B468" s="81"/>
      <c r="C468" s="81"/>
      <c r="D468" s="122"/>
      <c r="E468" s="114"/>
    </row>
    <row r="469" spans="1:5" x14ac:dyDescent="0.25">
      <c r="A469" s="82"/>
      <c r="B469" s="81"/>
      <c r="C469" s="81"/>
      <c r="D469" s="122"/>
      <c r="E469" s="114"/>
    </row>
    <row r="470" spans="1:5" x14ac:dyDescent="0.25">
      <c r="A470" s="82"/>
      <c r="B470" s="81"/>
      <c r="C470" s="81"/>
      <c r="D470" s="122"/>
      <c r="E470" s="114"/>
    </row>
    <row r="471" spans="1:5" x14ac:dyDescent="0.25">
      <c r="A471" s="82"/>
      <c r="B471" s="81"/>
      <c r="C471" s="81"/>
      <c r="D471" s="122"/>
      <c r="E471" s="114"/>
    </row>
    <row r="472" spans="1:5" x14ac:dyDescent="0.25">
      <c r="A472" s="82"/>
      <c r="B472" s="81"/>
      <c r="C472" s="81"/>
      <c r="D472" s="122"/>
      <c r="E472" s="114"/>
    </row>
    <row r="473" spans="1:5" x14ac:dyDescent="0.25">
      <c r="A473" s="82"/>
      <c r="B473" s="81"/>
      <c r="C473" s="81"/>
      <c r="D473" s="122"/>
      <c r="E473" s="114"/>
    </row>
    <row r="474" spans="1:5" x14ac:dyDescent="0.25">
      <c r="A474" s="82"/>
      <c r="B474" s="81"/>
      <c r="C474" s="81"/>
      <c r="D474" s="122"/>
      <c r="E474" s="114"/>
    </row>
    <row r="475" spans="1:5" x14ac:dyDescent="0.25">
      <c r="A475" s="82"/>
      <c r="B475" s="81"/>
      <c r="C475" s="81"/>
      <c r="D475" s="122"/>
      <c r="E475" s="114"/>
    </row>
    <row r="476" spans="1:5" x14ac:dyDescent="0.25">
      <c r="A476" s="82"/>
      <c r="B476" s="81"/>
      <c r="C476" s="81"/>
      <c r="D476" s="122"/>
      <c r="E476" s="114"/>
    </row>
    <row r="477" spans="1:5" x14ac:dyDescent="0.25">
      <c r="A477" s="82"/>
      <c r="B477" s="81"/>
      <c r="C477" s="81"/>
      <c r="D477" s="122"/>
      <c r="E477" s="114"/>
    </row>
    <row r="478" spans="1:5" x14ac:dyDescent="0.25">
      <c r="A478" s="82"/>
      <c r="B478" s="81"/>
      <c r="C478" s="81"/>
      <c r="D478" s="122"/>
      <c r="E478" s="114"/>
    </row>
    <row r="479" spans="1:5" x14ac:dyDescent="0.25">
      <c r="A479" s="82"/>
      <c r="B479" s="81"/>
      <c r="C479" s="81"/>
      <c r="D479" s="122"/>
      <c r="E479" s="114"/>
    </row>
    <row r="480" spans="1:5" x14ac:dyDescent="0.25">
      <c r="A480" s="82"/>
      <c r="B480" s="81"/>
      <c r="C480" s="81"/>
      <c r="D480" s="122"/>
      <c r="E480" s="114"/>
    </row>
    <row r="481" spans="1:5" x14ac:dyDescent="0.25">
      <c r="A481" s="82"/>
      <c r="B481" s="81"/>
      <c r="C481" s="81"/>
      <c r="D481" s="122"/>
      <c r="E481" s="114"/>
    </row>
    <row r="482" spans="1:5" x14ac:dyDescent="0.25">
      <c r="A482" s="82"/>
      <c r="B482" s="81"/>
      <c r="C482" s="81"/>
      <c r="D482" s="122"/>
      <c r="E482" s="114"/>
    </row>
    <row r="483" spans="1:5" x14ac:dyDescent="0.25">
      <c r="A483" s="82"/>
      <c r="B483" s="81"/>
      <c r="C483" s="81"/>
      <c r="D483" s="122"/>
      <c r="E483" s="114"/>
    </row>
    <row r="484" spans="1:5" x14ac:dyDescent="0.25">
      <c r="A484" s="82"/>
      <c r="B484" s="81"/>
      <c r="C484" s="81"/>
      <c r="D484" s="122"/>
      <c r="E484" s="114"/>
    </row>
    <row r="485" spans="1:5" x14ac:dyDescent="0.25">
      <c r="A485" s="82"/>
      <c r="B485" s="81"/>
      <c r="C485" s="81"/>
      <c r="D485" s="122"/>
      <c r="E485" s="114"/>
    </row>
    <row r="486" spans="1:5" x14ac:dyDescent="0.25">
      <c r="A486" s="82"/>
      <c r="B486" s="81"/>
      <c r="C486" s="81"/>
      <c r="D486" s="122"/>
      <c r="E486" s="114"/>
    </row>
    <row r="487" spans="1:5" x14ac:dyDescent="0.25">
      <c r="A487" s="82"/>
      <c r="B487" s="81"/>
      <c r="C487" s="81"/>
      <c r="D487" s="122"/>
      <c r="E487" s="114"/>
    </row>
    <row r="488" spans="1:5" x14ac:dyDescent="0.25">
      <c r="A488" s="82"/>
      <c r="B488" s="81"/>
      <c r="C488" s="81"/>
      <c r="D488" s="122"/>
      <c r="E488" s="114"/>
    </row>
    <row r="489" spans="1:5" x14ac:dyDescent="0.25">
      <c r="A489" s="82"/>
      <c r="B489" s="81"/>
      <c r="C489" s="81"/>
      <c r="D489" s="122"/>
      <c r="E489" s="114"/>
    </row>
    <row r="490" spans="1:5" x14ac:dyDescent="0.25">
      <c r="A490" s="82"/>
      <c r="B490" s="81"/>
      <c r="C490" s="81"/>
      <c r="D490" s="122"/>
      <c r="E490" s="114"/>
    </row>
    <row r="491" spans="1:5" x14ac:dyDescent="0.25">
      <c r="A491" s="82"/>
      <c r="B491" s="81"/>
      <c r="C491" s="81"/>
      <c r="D491" s="122"/>
      <c r="E491" s="114"/>
    </row>
    <row r="492" spans="1:5" x14ac:dyDescent="0.25">
      <c r="A492" s="82"/>
      <c r="B492" s="81"/>
      <c r="C492" s="81"/>
      <c r="D492" s="122"/>
      <c r="E492" s="114"/>
    </row>
    <row r="493" spans="1:5" x14ac:dyDescent="0.25">
      <c r="A493" s="82"/>
      <c r="B493" s="81"/>
      <c r="C493" s="81"/>
      <c r="D493" s="122"/>
      <c r="E493" s="114"/>
    </row>
    <row r="494" spans="1:5" x14ac:dyDescent="0.25">
      <c r="A494" s="82"/>
      <c r="B494" s="81"/>
      <c r="C494" s="81"/>
      <c r="D494" s="122"/>
      <c r="E494" s="114"/>
    </row>
    <row r="495" spans="1:5" x14ac:dyDescent="0.25">
      <c r="A495" s="82"/>
      <c r="B495" s="81"/>
      <c r="C495" s="81"/>
      <c r="D495" s="122"/>
      <c r="E495" s="114"/>
    </row>
    <row r="496" spans="1:5" x14ac:dyDescent="0.25">
      <c r="A496" s="82"/>
      <c r="B496" s="81"/>
      <c r="C496" s="81"/>
      <c r="D496" s="122"/>
      <c r="E496" s="114"/>
    </row>
    <row r="497" spans="1:5" x14ac:dyDescent="0.25">
      <c r="A497" s="82"/>
      <c r="B497" s="81"/>
      <c r="C497" s="81"/>
      <c r="D497" s="122"/>
      <c r="E497" s="114"/>
    </row>
    <row r="498" spans="1:5" x14ac:dyDescent="0.25">
      <c r="A498" s="82"/>
      <c r="B498" s="81"/>
      <c r="C498" s="81"/>
      <c r="D498" s="122"/>
      <c r="E498" s="114"/>
    </row>
    <row r="499" spans="1:5" x14ac:dyDescent="0.25">
      <c r="A499" s="82"/>
      <c r="B499" s="81"/>
      <c r="C499" s="81"/>
      <c r="D499" s="122"/>
      <c r="E499" s="114"/>
    </row>
    <row r="500" spans="1:5" x14ac:dyDescent="0.25">
      <c r="A500" s="82"/>
      <c r="B500" s="81"/>
      <c r="C500" s="81"/>
      <c r="D500" s="122"/>
      <c r="E500" s="114"/>
    </row>
    <row r="501" spans="1:5" x14ac:dyDescent="0.25">
      <c r="A501" s="82"/>
      <c r="B501" s="81"/>
      <c r="C501" s="81"/>
      <c r="D501" s="122"/>
      <c r="E501" s="114"/>
    </row>
    <row r="502" spans="1:5" x14ac:dyDescent="0.25">
      <c r="A502" s="82"/>
      <c r="B502" s="81"/>
      <c r="C502" s="81"/>
      <c r="D502" s="122"/>
      <c r="E502" s="114"/>
    </row>
    <row r="503" spans="1:5" x14ac:dyDescent="0.25">
      <c r="A503" s="82"/>
      <c r="B503" s="81"/>
      <c r="C503" s="81"/>
      <c r="D503" s="122"/>
      <c r="E503" s="114"/>
    </row>
    <row r="504" spans="1:5" x14ac:dyDescent="0.25">
      <c r="A504" s="82"/>
      <c r="B504" s="81"/>
      <c r="C504" s="81"/>
      <c r="D504" s="122"/>
      <c r="E504" s="114"/>
    </row>
    <row r="505" spans="1:5" x14ac:dyDescent="0.25">
      <c r="A505" s="82"/>
      <c r="B505" s="81"/>
      <c r="C505" s="81"/>
      <c r="D505" s="122"/>
      <c r="E505" s="114"/>
    </row>
    <row r="506" spans="1:5" x14ac:dyDescent="0.25">
      <c r="A506" s="82"/>
      <c r="B506" s="81"/>
      <c r="C506" s="81"/>
      <c r="D506" s="122"/>
      <c r="E506" s="114"/>
    </row>
    <row r="507" spans="1:5" x14ac:dyDescent="0.25">
      <c r="A507" s="82"/>
      <c r="B507" s="81"/>
      <c r="C507" s="81"/>
      <c r="D507" s="122"/>
      <c r="E507" s="114"/>
    </row>
    <row r="508" spans="1:5" x14ac:dyDescent="0.25">
      <c r="A508" s="82"/>
      <c r="B508" s="81"/>
      <c r="C508" s="81"/>
      <c r="D508" s="122"/>
      <c r="E508" s="114"/>
    </row>
    <row r="509" spans="1:5" x14ac:dyDescent="0.25">
      <c r="A509" s="82"/>
      <c r="B509" s="81"/>
      <c r="C509" s="81"/>
      <c r="D509" s="122"/>
      <c r="E509" s="114"/>
    </row>
    <row r="510" spans="1:5" x14ac:dyDescent="0.25">
      <c r="A510" s="82"/>
      <c r="B510" s="81"/>
      <c r="C510" s="81"/>
      <c r="D510" s="122"/>
      <c r="E510" s="114"/>
    </row>
    <row r="511" spans="1:5" x14ac:dyDescent="0.25">
      <c r="A511" s="82"/>
      <c r="B511" s="81"/>
      <c r="C511" s="81"/>
      <c r="D511" s="122"/>
      <c r="E511" s="114"/>
    </row>
    <row r="512" spans="1:5" x14ac:dyDescent="0.25">
      <c r="A512" s="82"/>
      <c r="B512" s="81"/>
      <c r="C512" s="81"/>
      <c r="D512" s="122"/>
      <c r="E512" s="114"/>
    </row>
    <row r="513" spans="1:5" x14ac:dyDescent="0.25">
      <c r="A513" s="82"/>
      <c r="B513" s="81"/>
      <c r="C513" s="81"/>
      <c r="D513" s="122"/>
      <c r="E513" s="114"/>
    </row>
    <row r="514" spans="1:5" x14ac:dyDescent="0.25">
      <c r="A514" s="82"/>
      <c r="B514" s="81"/>
      <c r="C514" s="81"/>
      <c r="D514" s="122"/>
      <c r="E514" s="114"/>
    </row>
    <row r="515" spans="1:5" x14ac:dyDescent="0.25">
      <c r="A515" s="82"/>
      <c r="B515" s="81"/>
      <c r="C515" s="81"/>
      <c r="D515" s="122"/>
      <c r="E515" s="114"/>
    </row>
    <row r="516" spans="1:5" x14ac:dyDescent="0.25">
      <c r="A516" s="82"/>
      <c r="B516" s="81"/>
      <c r="C516" s="81"/>
      <c r="D516" s="122"/>
      <c r="E516" s="114"/>
    </row>
    <row r="517" spans="1:5" x14ac:dyDescent="0.25">
      <c r="A517" s="82"/>
      <c r="B517" s="81"/>
      <c r="C517" s="81"/>
      <c r="D517" s="122"/>
      <c r="E517" s="114"/>
    </row>
    <row r="518" spans="1:5" x14ac:dyDescent="0.25">
      <c r="A518" s="82"/>
      <c r="B518" s="81"/>
      <c r="C518" s="81"/>
      <c r="D518" s="122"/>
      <c r="E518" s="114"/>
    </row>
    <row r="519" spans="1:5" x14ac:dyDescent="0.25">
      <c r="A519" s="82"/>
      <c r="B519" s="81"/>
      <c r="C519" s="81"/>
      <c r="D519" s="122"/>
      <c r="E519" s="114"/>
    </row>
    <row r="520" spans="1:5" x14ac:dyDescent="0.25">
      <c r="A520" s="82"/>
      <c r="B520" s="81"/>
      <c r="C520" s="81"/>
      <c r="D520" s="122"/>
      <c r="E520" s="114"/>
    </row>
    <row r="521" spans="1:5" x14ac:dyDescent="0.25">
      <c r="A521" s="82"/>
      <c r="B521" s="81"/>
      <c r="C521" s="81"/>
      <c r="D521" s="122"/>
      <c r="E521" s="114"/>
    </row>
    <row r="522" spans="1:5" x14ac:dyDescent="0.25">
      <c r="A522" s="82"/>
      <c r="B522" s="81"/>
      <c r="C522" s="81"/>
      <c r="D522" s="122"/>
      <c r="E522" s="114"/>
    </row>
    <row r="523" spans="1:5" x14ac:dyDescent="0.25">
      <c r="A523" s="82"/>
      <c r="B523" s="81"/>
      <c r="C523" s="81"/>
      <c r="D523" s="122"/>
      <c r="E523" s="114"/>
    </row>
    <row r="524" spans="1:5" x14ac:dyDescent="0.25">
      <c r="A524" s="82"/>
      <c r="B524" s="81"/>
      <c r="C524" s="81"/>
      <c r="D524" s="122"/>
      <c r="E524" s="114"/>
    </row>
    <row r="525" spans="1:5" x14ac:dyDescent="0.25">
      <c r="A525" s="82"/>
      <c r="B525" s="81"/>
      <c r="C525" s="81"/>
      <c r="D525" s="122"/>
      <c r="E525" s="114"/>
    </row>
    <row r="526" spans="1:5" x14ac:dyDescent="0.25">
      <c r="A526" s="82"/>
      <c r="B526" s="81"/>
      <c r="C526" s="81"/>
      <c r="D526" s="122"/>
      <c r="E526" s="114"/>
    </row>
    <row r="527" spans="1:5" x14ac:dyDescent="0.25">
      <c r="A527" s="82"/>
      <c r="B527" s="81"/>
      <c r="C527" s="81"/>
      <c r="D527" s="122"/>
      <c r="E527" s="114"/>
    </row>
    <row r="528" spans="1:5" x14ac:dyDescent="0.25">
      <c r="A528" s="82"/>
      <c r="B528" s="81"/>
      <c r="C528" s="81"/>
      <c r="D528" s="122"/>
      <c r="E528" s="114"/>
    </row>
    <row r="529" spans="1:5" x14ac:dyDescent="0.25">
      <c r="A529" s="82"/>
      <c r="B529" s="81"/>
      <c r="C529" s="81"/>
      <c r="D529" s="122"/>
      <c r="E529" s="114"/>
    </row>
    <row r="530" spans="1:5" x14ac:dyDescent="0.25">
      <c r="A530" s="82"/>
      <c r="B530" s="81"/>
      <c r="C530" s="81"/>
      <c r="D530" s="122"/>
      <c r="E530" s="114"/>
    </row>
    <row r="531" spans="1:5" x14ac:dyDescent="0.25">
      <c r="A531" s="82"/>
      <c r="B531" s="81"/>
      <c r="C531" s="81"/>
      <c r="D531" s="122"/>
      <c r="E531" s="114"/>
    </row>
    <row r="532" spans="1:5" x14ac:dyDescent="0.25">
      <c r="A532" s="82"/>
      <c r="B532" s="81"/>
      <c r="C532" s="81"/>
      <c r="D532" s="122"/>
      <c r="E532" s="114"/>
    </row>
    <row r="533" spans="1:5" x14ac:dyDescent="0.25">
      <c r="A533" s="82"/>
      <c r="B533" s="81"/>
      <c r="C533" s="81"/>
      <c r="D533" s="122"/>
      <c r="E533" s="114"/>
    </row>
    <row r="534" spans="1:5" x14ac:dyDescent="0.25">
      <c r="A534" s="82"/>
      <c r="B534" s="81"/>
      <c r="C534" s="81"/>
      <c r="D534" s="122"/>
      <c r="E534" s="114"/>
    </row>
    <row r="535" spans="1:5" x14ac:dyDescent="0.25">
      <c r="A535" s="82"/>
      <c r="B535" s="81"/>
      <c r="C535" s="81"/>
      <c r="D535" s="122"/>
      <c r="E535" s="114"/>
    </row>
    <row r="536" spans="1:5" x14ac:dyDescent="0.25">
      <c r="A536" s="82"/>
      <c r="B536" s="81"/>
      <c r="C536" s="81"/>
      <c r="D536" s="122"/>
      <c r="E536" s="114"/>
    </row>
    <row r="537" spans="1:5" x14ac:dyDescent="0.25">
      <c r="A537" s="82"/>
      <c r="B537" s="81"/>
      <c r="C537" s="81"/>
      <c r="D537" s="122"/>
      <c r="E537" s="114"/>
    </row>
    <row r="538" spans="1:5" x14ac:dyDescent="0.25">
      <c r="A538" s="82"/>
      <c r="B538" s="81"/>
      <c r="C538" s="81"/>
      <c r="D538" s="122"/>
      <c r="E538" s="114"/>
    </row>
    <row r="539" spans="1:5" x14ac:dyDescent="0.25">
      <c r="A539" s="82"/>
      <c r="B539" s="81"/>
      <c r="C539" s="81"/>
      <c r="D539" s="122"/>
      <c r="E539" s="114"/>
    </row>
    <row r="540" spans="1:5" x14ac:dyDescent="0.25">
      <c r="A540" s="82"/>
      <c r="B540" s="81"/>
      <c r="C540" s="81"/>
      <c r="D540" s="122"/>
      <c r="E540" s="114"/>
    </row>
    <row r="541" spans="1:5" x14ac:dyDescent="0.25">
      <c r="A541" s="82"/>
      <c r="B541" s="81"/>
      <c r="C541" s="81"/>
      <c r="D541" s="122"/>
      <c r="E541" s="114"/>
    </row>
    <row r="542" spans="1:5" x14ac:dyDescent="0.25">
      <c r="A542" s="82"/>
      <c r="B542" s="81"/>
      <c r="C542" s="81"/>
      <c r="D542" s="122"/>
      <c r="E542" s="114"/>
    </row>
    <row r="543" spans="1:5" x14ac:dyDescent="0.25">
      <c r="A543" s="82"/>
      <c r="B543" s="81"/>
      <c r="C543" s="81"/>
      <c r="D543" s="122"/>
      <c r="E543" s="114"/>
    </row>
    <row r="544" spans="1:5" x14ac:dyDescent="0.25">
      <c r="A544" s="82"/>
      <c r="B544" s="81"/>
      <c r="C544" s="81"/>
      <c r="D544" s="122"/>
      <c r="E544" s="114"/>
    </row>
    <row r="545" spans="1:5" x14ac:dyDescent="0.25">
      <c r="A545" s="82"/>
      <c r="B545" s="81"/>
      <c r="C545" s="81"/>
      <c r="D545" s="122"/>
      <c r="E545" s="114"/>
    </row>
    <row r="546" spans="1:5" x14ac:dyDescent="0.25">
      <c r="A546" s="82"/>
      <c r="B546" s="81"/>
      <c r="C546" s="81"/>
      <c r="D546" s="122"/>
      <c r="E546" s="114"/>
    </row>
    <row r="547" spans="1:5" x14ac:dyDescent="0.25">
      <c r="A547" s="82"/>
      <c r="B547" s="81"/>
      <c r="C547" s="81"/>
      <c r="D547" s="122"/>
      <c r="E547" s="114"/>
    </row>
    <row r="548" spans="1:5" x14ac:dyDescent="0.25">
      <c r="A548" s="82"/>
      <c r="B548" s="81"/>
      <c r="C548" s="81"/>
      <c r="D548" s="122"/>
      <c r="E548" s="114"/>
    </row>
    <row r="549" spans="1:5" x14ac:dyDescent="0.25">
      <c r="A549" s="82"/>
      <c r="B549" s="81"/>
      <c r="C549" s="81"/>
      <c r="D549" s="122"/>
      <c r="E549" s="114"/>
    </row>
    <row r="550" spans="1:5" x14ac:dyDescent="0.25">
      <c r="A550" s="82"/>
      <c r="B550" s="81"/>
      <c r="C550" s="81"/>
      <c r="D550" s="122"/>
      <c r="E550" s="114"/>
    </row>
    <row r="551" spans="1:5" x14ac:dyDescent="0.25">
      <c r="A551" s="82"/>
      <c r="B551" s="81"/>
      <c r="C551" s="81"/>
      <c r="D551" s="122"/>
      <c r="E551" s="114"/>
    </row>
    <row r="552" spans="1:5" x14ac:dyDescent="0.25">
      <c r="A552" s="82"/>
      <c r="B552" s="81"/>
      <c r="C552" s="81"/>
      <c r="D552" s="122"/>
      <c r="E552" s="114"/>
    </row>
    <row r="553" spans="1:5" x14ac:dyDescent="0.25">
      <c r="A553" s="82"/>
      <c r="B553" s="81"/>
      <c r="C553" s="81"/>
      <c r="D553" s="122"/>
      <c r="E553" s="114"/>
    </row>
    <row r="554" spans="1:5" x14ac:dyDescent="0.25">
      <c r="A554" s="82"/>
      <c r="B554" s="81"/>
      <c r="C554" s="81"/>
      <c r="D554" s="122"/>
      <c r="E554" s="114"/>
    </row>
    <row r="555" spans="1:5" x14ac:dyDescent="0.25">
      <c r="A555" s="82"/>
      <c r="B555" s="81"/>
      <c r="C555" s="81"/>
      <c r="D555" s="122"/>
      <c r="E555" s="114"/>
    </row>
    <row r="556" spans="1:5" x14ac:dyDescent="0.25">
      <c r="A556" s="82"/>
      <c r="B556" s="81"/>
      <c r="C556" s="81"/>
      <c r="D556" s="122"/>
      <c r="E556" s="114"/>
    </row>
    <row r="557" spans="1:5" x14ac:dyDescent="0.25">
      <c r="A557" s="82"/>
      <c r="B557" s="81"/>
      <c r="C557" s="81"/>
      <c r="D557" s="122"/>
      <c r="E557" s="114"/>
    </row>
    <row r="558" spans="1:5" x14ac:dyDescent="0.25">
      <c r="A558" s="82"/>
      <c r="B558" s="81"/>
      <c r="C558" s="81"/>
      <c r="D558" s="122"/>
      <c r="E558" s="114"/>
    </row>
    <row r="559" spans="1:5" x14ac:dyDescent="0.25">
      <c r="A559" s="82"/>
      <c r="B559" s="81"/>
      <c r="C559" s="81"/>
      <c r="D559" s="122"/>
      <c r="E559" s="114"/>
    </row>
    <row r="560" spans="1:5" x14ac:dyDescent="0.25">
      <c r="A560" s="82"/>
      <c r="B560" s="81"/>
      <c r="C560" s="81"/>
      <c r="D560" s="122"/>
      <c r="E560" s="114"/>
    </row>
    <row r="561" spans="1:5" x14ac:dyDescent="0.25">
      <c r="A561" s="82"/>
      <c r="B561" s="81"/>
      <c r="C561" s="81"/>
      <c r="D561" s="122"/>
      <c r="E561" s="114"/>
    </row>
    <row r="562" spans="1:5" x14ac:dyDescent="0.25">
      <c r="A562" s="82"/>
      <c r="B562" s="81"/>
      <c r="C562" s="81"/>
      <c r="D562" s="122"/>
      <c r="E562" s="114"/>
    </row>
    <row r="563" spans="1:5" x14ac:dyDescent="0.25">
      <c r="A563" s="82"/>
      <c r="B563" s="81"/>
      <c r="C563" s="81"/>
      <c r="D563" s="122"/>
      <c r="E563" s="114"/>
    </row>
    <row r="564" spans="1:5" x14ac:dyDescent="0.25">
      <c r="A564" s="82"/>
      <c r="B564" s="81"/>
      <c r="C564" s="81"/>
      <c r="D564" s="122"/>
      <c r="E564" s="114"/>
    </row>
    <row r="565" spans="1:5" x14ac:dyDescent="0.25">
      <c r="A565" s="82"/>
      <c r="B565" s="81"/>
      <c r="C565" s="81"/>
      <c r="D565" s="122"/>
      <c r="E565" s="114"/>
    </row>
    <row r="566" spans="1:5" x14ac:dyDescent="0.25">
      <c r="A566" s="82"/>
      <c r="B566" s="81"/>
      <c r="C566" s="81"/>
      <c r="D566" s="122"/>
      <c r="E566" s="114"/>
    </row>
    <row r="567" spans="1:5" x14ac:dyDescent="0.25">
      <c r="A567" s="82"/>
      <c r="B567" s="81"/>
      <c r="C567" s="81"/>
      <c r="D567" s="122"/>
      <c r="E567" s="114"/>
    </row>
    <row r="568" spans="1:5" x14ac:dyDescent="0.25">
      <c r="A568" s="82"/>
      <c r="B568" s="81"/>
      <c r="C568" s="81"/>
      <c r="D568" s="122"/>
      <c r="E568" s="114"/>
    </row>
    <row r="569" spans="1:5" x14ac:dyDescent="0.25">
      <c r="A569" s="82"/>
      <c r="B569" s="81"/>
      <c r="C569" s="81"/>
      <c r="D569" s="122"/>
      <c r="E569" s="114"/>
    </row>
    <row r="570" spans="1:5" x14ac:dyDescent="0.25">
      <c r="A570" s="82"/>
      <c r="B570" s="81"/>
      <c r="C570" s="81"/>
      <c r="D570" s="122"/>
      <c r="E570" s="114"/>
    </row>
    <row r="571" spans="1:5" x14ac:dyDescent="0.25">
      <c r="A571" s="82"/>
      <c r="B571" s="81"/>
      <c r="C571" s="81"/>
      <c r="D571" s="122"/>
      <c r="E571" s="114"/>
    </row>
    <row r="572" spans="1:5" x14ac:dyDescent="0.25">
      <c r="A572" s="82"/>
      <c r="B572" s="81"/>
      <c r="C572" s="81"/>
      <c r="D572" s="122"/>
      <c r="E572" s="114"/>
    </row>
    <row r="573" spans="1:5" x14ac:dyDescent="0.25">
      <c r="A573" s="82"/>
      <c r="B573" s="81"/>
      <c r="C573" s="81"/>
      <c r="D573" s="122"/>
      <c r="E573" s="114"/>
    </row>
    <row r="574" spans="1:5" x14ac:dyDescent="0.25">
      <c r="A574" s="82"/>
      <c r="B574" s="81"/>
      <c r="C574" s="81"/>
      <c r="D574" s="122"/>
      <c r="E574" s="114"/>
    </row>
    <row r="575" spans="1:5" x14ac:dyDescent="0.25">
      <c r="A575" s="82"/>
      <c r="B575" s="81"/>
      <c r="C575" s="81"/>
      <c r="D575" s="122"/>
      <c r="E575" s="114"/>
    </row>
    <row r="576" spans="1:5" x14ac:dyDescent="0.25">
      <c r="A576" s="82"/>
      <c r="B576" s="81"/>
      <c r="C576" s="81"/>
      <c r="D576" s="122"/>
      <c r="E576" s="114"/>
    </row>
    <row r="577" spans="1:5" x14ac:dyDescent="0.25">
      <c r="A577" s="82"/>
      <c r="B577" s="81"/>
      <c r="C577" s="81"/>
      <c r="D577" s="122"/>
      <c r="E577" s="114"/>
    </row>
    <row r="578" spans="1:5" x14ac:dyDescent="0.25">
      <c r="A578" s="82"/>
      <c r="B578" s="81"/>
      <c r="C578" s="81"/>
      <c r="D578" s="122"/>
      <c r="E578" s="114"/>
    </row>
    <row r="579" spans="1:5" x14ac:dyDescent="0.25">
      <c r="A579" s="82"/>
      <c r="B579" s="81"/>
      <c r="C579" s="81"/>
      <c r="D579" s="122"/>
      <c r="E579" s="114"/>
    </row>
    <row r="580" spans="1:5" x14ac:dyDescent="0.25">
      <c r="A580" s="82"/>
      <c r="B580" s="81"/>
      <c r="C580" s="81"/>
      <c r="D580" s="122"/>
      <c r="E580" s="114"/>
    </row>
    <row r="581" spans="1:5" x14ac:dyDescent="0.25">
      <c r="A581" s="82"/>
      <c r="B581" s="81"/>
      <c r="C581" s="81"/>
      <c r="D581" s="122"/>
      <c r="E581" s="114"/>
    </row>
    <row r="582" spans="1:5" x14ac:dyDescent="0.25">
      <c r="A582" s="82"/>
      <c r="B582" s="81"/>
      <c r="C582" s="81"/>
      <c r="D582" s="122"/>
      <c r="E582" s="114"/>
    </row>
    <row r="583" spans="1:5" x14ac:dyDescent="0.25">
      <c r="A583" s="82"/>
      <c r="B583" s="81"/>
      <c r="C583" s="81"/>
      <c r="D583" s="122"/>
      <c r="E583" s="114"/>
    </row>
    <row r="584" spans="1:5" x14ac:dyDescent="0.25">
      <c r="A584" s="82"/>
      <c r="B584" s="81"/>
      <c r="C584" s="81"/>
      <c r="D584" s="122"/>
      <c r="E584" s="114"/>
    </row>
    <row r="585" spans="1:5" x14ac:dyDescent="0.25">
      <c r="A585" s="82"/>
      <c r="B585" s="81"/>
      <c r="C585" s="81"/>
      <c r="D585" s="122"/>
      <c r="E585" s="114"/>
    </row>
    <row r="586" spans="1:5" x14ac:dyDescent="0.25">
      <c r="A586" s="82"/>
      <c r="B586" s="81"/>
      <c r="C586" s="81"/>
      <c r="D586" s="122"/>
      <c r="E586" s="114"/>
    </row>
    <row r="587" spans="1:5" x14ac:dyDescent="0.25">
      <c r="A587" s="82"/>
      <c r="B587" s="81"/>
      <c r="C587" s="81"/>
      <c r="D587" s="122"/>
      <c r="E587" s="114"/>
    </row>
    <row r="588" spans="1:5" x14ac:dyDescent="0.25">
      <c r="A588" s="82"/>
      <c r="B588" s="81"/>
      <c r="C588" s="81"/>
      <c r="D588" s="122"/>
      <c r="E588" s="114"/>
    </row>
    <row r="589" spans="1:5" x14ac:dyDescent="0.25">
      <c r="A589" s="82"/>
      <c r="B589" s="81"/>
      <c r="C589" s="81"/>
      <c r="D589" s="122"/>
      <c r="E589" s="114"/>
    </row>
    <row r="590" spans="1:5" x14ac:dyDescent="0.25">
      <c r="A590" s="82"/>
      <c r="B590" s="81"/>
      <c r="C590" s="81"/>
      <c r="D590" s="122"/>
      <c r="E590" s="114"/>
    </row>
    <row r="591" spans="1:5" x14ac:dyDescent="0.25">
      <c r="A591" s="82"/>
      <c r="B591" s="81"/>
      <c r="C591" s="81"/>
      <c r="D591" s="122"/>
      <c r="E591" s="114"/>
    </row>
    <row r="592" spans="1:5" x14ac:dyDescent="0.25">
      <c r="A592" s="82"/>
      <c r="B592" s="81"/>
      <c r="C592" s="81"/>
      <c r="D592" s="122"/>
      <c r="E592" s="114"/>
    </row>
    <row r="593" spans="1:5" x14ac:dyDescent="0.25">
      <c r="A593" s="82"/>
      <c r="B593" s="81"/>
      <c r="C593" s="81"/>
      <c r="D593" s="122"/>
      <c r="E593" s="114"/>
    </row>
    <row r="594" spans="1:5" x14ac:dyDescent="0.25">
      <c r="A594" s="82"/>
      <c r="B594" s="81"/>
      <c r="C594" s="81"/>
      <c r="D594" s="122"/>
      <c r="E594" s="114"/>
    </row>
    <row r="595" spans="1:5" x14ac:dyDescent="0.25">
      <c r="A595" s="82"/>
      <c r="B595" s="81"/>
      <c r="C595" s="81"/>
      <c r="D595" s="122"/>
      <c r="E595" s="114"/>
    </row>
    <row r="596" spans="1:5" x14ac:dyDescent="0.25">
      <c r="A596" s="82"/>
      <c r="B596" s="81"/>
      <c r="C596" s="81"/>
      <c r="D596" s="122"/>
      <c r="E596" s="114"/>
    </row>
    <row r="597" spans="1:5" x14ac:dyDescent="0.25">
      <c r="A597" s="82"/>
      <c r="B597" s="81"/>
      <c r="C597" s="81"/>
      <c r="D597" s="122"/>
      <c r="E597" s="114"/>
    </row>
    <row r="598" spans="1:5" x14ac:dyDescent="0.25">
      <c r="A598" s="82"/>
      <c r="B598" s="81"/>
      <c r="C598" s="81"/>
      <c r="D598" s="122"/>
      <c r="E598" s="114"/>
    </row>
    <row r="599" spans="1:5" x14ac:dyDescent="0.25">
      <c r="A599" s="82"/>
      <c r="B599" s="81"/>
      <c r="C599" s="81"/>
      <c r="D599" s="122"/>
      <c r="E599" s="114"/>
    </row>
    <row r="600" spans="1:5" x14ac:dyDescent="0.25">
      <c r="A600" s="82"/>
      <c r="B600" s="81"/>
      <c r="C600" s="81"/>
      <c r="D600" s="122"/>
      <c r="E600" s="114"/>
    </row>
    <row r="601" spans="1:5" x14ac:dyDescent="0.25">
      <c r="A601" s="82"/>
      <c r="B601" s="81"/>
      <c r="C601" s="81"/>
      <c r="D601" s="122"/>
      <c r="E601" s="114"/>
    </row>
    <row r="602" spans="1:5" x14ac:dyDescent="0.25">
      <c r="A602" s="82"/>
      <c r="B602" s="81"/>
      <c r="C602" s="81"/>
      <c r="D602" s="122"/>
      <c r="E602" s="114"/>
    </row>
    <row r="603" spans="1:5" x14ac:dyDescent="0.25">
      <c r="A603" s="82"/>
      <c r="B603" s="81"/>
      <c r="C603" s="81"/>
      <c r="D603" s="122"/>
      <c r="E603" s="114"/>
    </row>
    <row r="604" spans="1:5" x14ac:dyDescent="0.25">
      <c r="A604" s="82"/>
      <c r="B604" s="81"/>
      <c r="C604" s="81"/>
      <c r="D604" s="122"/>
      <c r="E604" s="114"/>
    </row>
    <row r="605" spans="1:5" x14ac:dyDescent="0.25">
      <c r="A605" s="82"/>
      <c r="B605" s="81"/>
      <c r="C605" s="81"/>
      <c r="D605" s="122"/>
      <c r="E605" s="114"/>
    </row>
    <row r="606" spans="1:5" x14ac:dyDescent="0.25">
      <c r="A606" s="82"/>
      <c r="B606" s="81"/>
      <c r="C606" s="81"/>
      <c r="D606" s="122"/>
      <c r="E606" s="114"/>
    </row>
    <row r="607" spans="1:5" x14ac:dyDescent="0.25">
      <c r="A607" s="82"/>
      <c r="B607" s="81"/>
      <c r="C607" s="81"/>
      <c r="D607" s="122"/>
      <c r="E607" s="114"/>
    </row>
    <row r="608" spans="1:5" x14ac:dyDescent="0.25">
      <c r="A608" s="82"/>
      <c r="B608" s="81"/>
      <c r="C608" s="81"/>
      <c r="D608" s="122"/>
      <c r="E608" s="114"/>
    </row>
    <row r="609" spans="1:5" x14ac:dyDescent="0.25">
      <c r="A609" s="82"/>
      <c r="B609" s="81"/>
      <c r="C609" s="81"/>
      <c r="D609" s="122"/>
      <c r="E609" s="114"/>
    </row>
    <row r="610" spans="1:5" x14ac:dyDescent="0.25">
      <c r="A610" s="82"/>
      <c r="B610" s="81"/>
      <c r="C610" s="81"/>
      <c r="D610" s="122"/>
      <c r="E610" s="114"/>
    </row>
    <row r="611" spans="1:5" x14ac:dyDescent="0.25">
      <c r="A611" s="82"/>
      <c r="B611" s="81"/>
      <c r="C611" s="81"/>
      <c r="D611" s="122"/>
      <c r="E611" s="114"/>
    </row>
    <row r="612" spans="1:5" x14ac:dyDescent="0.25">
      <c r="A612" s="82"/>
      <c r="B612" s="81"/>
      <c r="C612" s="81"/>
      <c r="D612" s="122"/>
      <c r="E612" s="114"/>
    </row>
    <row r="613" spans="1:5" x14ac:dyDescent="0.25">
      <c r="A613" s="82"/>
      <c r="B613" s="81"/>
      <c r="C613" s="81"/>
      <c r="D613" s="122"/>
      <c r="E613" s="114"/>
    </row>
    <row r="614" spans="1:5" x14ac:dyDescent="0.25">
      <c r="A614" s="82"/>
      <c r="B614" s="81"/>
      <c r="C614" s="81"/>
      <c r="D614" s="122"/>
      <c r="E614" s="114"/>
    </row>
    <row r="615" spans="1:5" x14ac:dyDescent="0.25">
      <c r="A615" s="82"/>
      <c r="B615" s="81"/>
      <c r="C615" s="81"/>
      <c r="D615" s="122"/>
      <c r="E615" s="114"/>
    </row>
    <row r="616" spans="1:5" x14ac:dyDescent="0.25">
      <c r="A616" s="82"/>
      <c r="B616" s="81"/>
      <c r="C616" s="81"/>
      <c r="D616" s="122"/>
      <c r="E616" s="114"/>
    </row>
    <row r="617" spans="1:5" x14ac:dyDescent="0.25">
      <c r="A617" s="82"/>
      <c r="B617" s="81"/>
      <c r="C617" s="81"/>
      <c r="D617" s="122"/>
      <c r="E617" s="114"/>
    </row>
    <row r="618" spans="1:5" x14ac:dyDescent="0.25">
      <c r="A618" s="82"/>
      <c r="B618" s="81"/>
      <c r="C618" s="81"/>
      <c r="D618" s="122"/>
      <c r="E618" s="114"/>
    </row>
    <row r="619" spans="1:5" x14ac:dyDescent="0.25">
      <c r="A619" s="82"/>
      <c r="B619" s="81"/>
      <c r="C619" s="81"/>
      <c r="D619" s="122"/>
      <c r="E619" s="114"/>
    </row>
    <row r="620" spans="1:5" x14ac:dyDescent="0.25">
      <c r="A620" s="82"/>
      <c r="B620" s="81"/>
      <c r="C620" s="81"/>
      <c r="D620" s="122"/>
      <c r="E620" s="114"/>
    </row>
    <row r="621" spans="1:5" x14ac:dyDescent="0.25">
      <c r="A621" s="82"/>
      <c r="B621" s="81"/>
      <c r="C621" s="81"/>
      <c r="D621" s="122"/>
      <c r="E621" s="114"/>
    </row>
    <row r="622" spans="1:5" x14ac:dyDescent="0.25">
      <c r="A622" s="82"/>
      <c r="B622" s="81"/>
      <c r="C622" s="81"/>
      <c r="D622" s="122"/>
      <c r="E622" s="114"/>
    </row>
    <row r="623" spans="1:5" x14ac:dyDescent="0.25">
      <c r="A623" s="82"/>
      <c r="B623" s="81"/>
      <c r="C623" s="81"/>
      <c r="D623" s="122"/>
      <c r="E623" s="114"/>
    </row>
    <row r="624" spans="1:5" x14ac:dyDescent="0.25">
      <c r="A624" s="82"/>
      <c r="B624" s="81"/>
      <c r="C624" s="81"/>
      <c r="D624" s="122"/>
      <c r="E624" s="114"/>
    </row>
    <row r="625" spans="1:5" x14ac:dyDescent="0.25">
      <c r="A625" s="82"/>
      <c r="B625" s="81"/>
      <c r="C625" s="81"/>
      <c r="D625" s="122"/>
      <c r="E625" s="114"/>
    </row>
    <row r="626" spans="1:5" x14ac:dyDescent="0.25">
      <c r="A626" s="82"/>
      <c r="B626" s="81"/>
      <c r="C626" s="81"/>
      <c r="D626" s="122"/>
      <c r="E626" s="114"/>
    </row>
    <row r="627" spans="1:5" x14ac:dyDescent="0.25">
      <c r="A627" s="82"/>
      <c r="B627" s="81"/>
      <c r="C627" s="81"/>
      <c r="D627" s="122"/>
      <c r="E627" s="114"/>
    </row>
    <row r="628" spans="1:5" x14ac:dyDescent="0.25">
      <c r="A628" s="82"/>
      <c r="B628" s="81"/>
      <c r="C628" s="81"/>
      <c r="D628" s="122"/>
      <c r="E628" s="114"/>
    </row>
    <row r="629" spans="1:5" x14ac:dyDescent="0.25">
      <c r="A629" s="82"/>
      <c r="B629" s="81"/>
      <c r="C629" s="81"/>
      <c r="D629" s="122"/>
      <c r="E629" s="114"/>
    </row>
    <row r="630" spans="1:5" x14ac:dyDescent="0.25">
      <c r="A630" s="82"/>
      <c r="B630" s="81"/>
      <c r="C630" s="81"/>
      <c r="D630" s="122"/>
      <c r="E630" s="114"/>
    </row>
    <row r="631" spans="1:5" x14ac:dyDescent="0.25">
      <c r="A631" s="82"/>
      <c r="B631" s="81"/>
      <c r="C631" s="81"/>
      <c r="D631" s="122"/>
      <c r="E631" s="114"/>
    </row>
    <row r="632" spans="1:5" x14ac:dyDescent="0.25">
      <c r="A632" s="82"/>
      <c r="B632" s="81"/>
      <c r="C632" s="81"/>
      <c r="D632" s="122"/>
      <c r="E632" s="114"/>
    </row>
    <row r="633" spans="1:5" x14ac:dyDescent="0.25">
      <c r="A633" s="82"/>
      <c r="B633" s="81"/>
      <c r="C633" s="81"/>
      <c r="D633" s="122"/>
      <c r="E633" s="114"/>
    </row>
    <row r="634" spans="1:5" x14ac:dyDescent="0.25">
      <c r="A634" s="82"/>
      <c r="B634" s="81"/>
      <c r="C634" s="81"/>
      <c r="D634" s="122"/>
      <c r="E634" s="114"/>
    </row>
    <row r="635" spans="1:5" x14ac:dyDescent="0.25">
      <c r="A635" s="82"/>
      <c r="B635" s="81"/>
      <c r="C635" s="81"/>
      <c r="D635" s="122"/>
      <c r="E635" s="114"/>
    </row>
    <row r="636" spans="1:5" x14ac:dyDescent="0.25">
      <c r="A636" s="82"/>
      <c r="B636" s="81"/>
      <c r="C636" s="81"/>
      <c r="D636" s="122"/>
      <c r="E636" s="114"/>
    </row>
    <row r="637" spans="1:5" x14ac:dyDescent="0.25">
      <c r="A637" s="82"/>
      <c r="B637" s="81"/>
      <c r="C637" s="81"/>
      <c r="D637" s="122"/>
      <c r="E637" s="114"/>
    </row>
    <row r="638" spans="1:5" x14ac:dyDescent="0.25">
      <c r="A638" s="82"/>
      <c r="B638" s="81"/>
      <c r="C638" s="81"/>
      <c r="D638" s="122"/>
      <c r="E638" s="114"/>
    </row>
    <row r="639" spans="1:5" x14ac:dyDescent="0.25">
      <c r="A639" s="82"/>
      <c r="B639" s="81"/>
      <c r="C639" s="81"/>
      <c r="D639" s="122"/>
      <c r="E639" s="114"/>
    </row>
    <row r="640" spans="1:5" x14ac:dyDescent="0.25">
      <c r="A640" s="82"/>
      <c r="B640" s="81"/>
      <c r="C640" s="81"/>
      <c r="D640" s="122"/>
      <c r="E640" s="114"/>
    </row>
    <row r="641" spans="1:5" x14ac:dyDescent="0.25">
      <c r="A641" s="82"/>
      <c r="B641" s="81"/>
      <c r="C641" s="81"/>
      <c r="D641" s="122"/>
      <c r="E641" s="114"/>
    </row>
    <row r="642" spans="1:5" x14ac:dyDescent="0.25">
      <c r="A642" s="82"/>
      <c r="B642" s="81"/>
      <c r="C642" s="81"/>
      <c r="D642" s="122"/>
      <c r="E642" s="114"/>
    </row>
    <row r="643" spans="1:5" x14ac:dyDescent="0.25">
      <c r="A643" s="82"/>
      <c r="B643" s="81"/>
      <c r="C643" s="81"/>
      <c r="D643" s="122"/>
      <c r="E643" s="114"/>
    </row>
    <row r="644" spans="1:5" x14ac:dyDescent="0.25">
      <c r="A644" s="82"/>
      <c r="B644" s="81"/>
      <c r="C644" s="81"/>
      <c r="D644" s="122"/>
      <c r="E644" s="114"/>
    </row>
    <row r="645" spans="1:5" x14ac:dyDescent="0.25">
      <c r="A645" s="82"/>
      <c r="B645" s="81"/>
      <c r="C645" s="81"/>
      <c r="D645" s="122"/>
      <c r="E645" s="114"/>
    </row>
    <row r="646" spans="1:5" x14ac:dyDescent="0.25">
      <c r="A646" s="82"/>
      <c r="B646" s="81"/>
      <c r="C646" s="81"/>
      <c r="D646" s="122"/>
      <c r="E646" s="114"/>
    </row>
    <row r="647" spans="1:5" x14ac:dyDescent="0.25">
      <c r="A647" s="82"/>
      <c r="B647" s="81"/>
      <c r="C647" s="81"/>
      <c r="D647" s="122"/>
      <c r="E647" s="114"/>
    </row>
    <row r="648" spans="1:5" x14ac:dyDescent="0.25">
      <c r="A648" s="82"/>
      <c r="B648" s="81"/>
      <c r="C648" s="81"/>
      <c r="D648" s="122"/>
      <c r="E648" s="114"/>
    </row>
    <row r="649" spans="1:5" x14ac:dyDescent="0.25">
      <c r="A649" s="82"/>
      <c r="B649" s="81"/>
      <c r="C649" s="81"/>
      <c r="D649" s="122"/>
      <c r="E649" s="114"/>
    </row>
    <row r="650" spans="1:5" x14ac:dyDescent="0.25">
      <c r="A650" s="82"/>
      <c r="B650" s="81"/>
      <c r="C650" s="81"/>
      <c r="D650" s="122"/>
      <c r="E650" s="114"/>
    </row>
    <row r="651" spans="1:5" x14ac:dyDescent="0.25">
      <c r="A651" s="82"/>
      <c r="B651" s="81"/>
      <c r="C651" s="81"/>
      <c r="D651" s="122"/>
      <c r="E651" s="114"/>
    </row>
    <row r="652" spans="1:5" x14ac:dyDescent="0.25">
      <c r="A652" s="82"/>
      <c r="B652" s="81"/>
      <c r="C652" s="81"/>
      <c r="D652" s="122"/>
      <c r="E652" s="114"/>
    </row>
    <row r="653" spans="1:5" x14ac:dyDescent="0.25">
      <c r="A653" s="82"/>
      <c r="B653" s="81"/>
      <c r="C653" s="81"/>
      <c r="D653" s="122"/>
      <c r="E653" s="114"/>
    </row>
    <row r="654" spans="1:5" x14ac:dyDescent="0.25">
      <c r="A654" s="82"/>
      <c r="B654" s="81"/>
      <c r="C654" s="81"/>
      <c r="D654" s="122"/>
      <c r="E654" s="114"/>
    </row>
    <row r="655" spans="1:5" x14ac:dyDescent="0.25">
      <c r="A655" s="82"/>
      <c r="B655" s="81"/>
      <c r="C655" s="81"/>
      <c r="D655" s="122"/>
      <c r="E655" s="114"/>
    </row>
    <row r="656" spans="1:5" x14ac:dyDescent="0.25">
      <c r="A656" s="82"/>
      <c r="B656" s="81"/>
      <c r="C656" s="81"/>
      <c r="D656" s="122"/>
      <c r="E656" s="114"/>
    </row>
    <row r="657" spans="1:5" x14ac:dyDescent="0.25">
      <c r="A657" s="82"/>
      <c r="B657" s="81"/>
      <c r="C657" s="81"/>
      <c r="D657" s="122"/>
      <c r="E657" s="114"/>
    </row>
    <row r="658" spans="1:5" x14ac:dyDescent="0.25">
      <c r="A658" s="82"/>
      <c r="B658" s="81"/>
      <c r="C658" s="81"/>
      <c r="D658" s="122"/>
      <c r="E658" s="114"/>
    </row>
    <row r="659" spans="1:5" x14ac:dyDescent="0.25">
      <c r="A659" s="82"/>
      <c r="B659" s="81"/>
      <c r="C659" s="81"/>
      <c r="D659" s="122"/>
      <c r="E659" s="114"/>
    </row>
    <row r="660" spans="1:5" x14ac:dyDescent="0.25">
      <c r="A660" s="82"/>
      <c r="B660" s="81"/>
      <c r="C660" s="81"/>
      <c r="D660" s="122"/>
      <c r="E660" s="114"/>
    </row>
    <row r="661" spans="1:5" x14ac:dyDescent="0.25">
      <c r="A661" s="82"/>
      <c r="B661" s="81"/>
      <c r="C661" s="81"/>
      <c r="D661" s="122"/>
      <c r="E661" s="114"/>
    </row>
    <row r="662" spans="1:5" x14ac:dyDescent="0.25">
      <c r="A662" s="82"/>
      <c r="B662" s="81"/>
      <c r="C662" s="81"/>
      <c r="D662" s="122"/>
      <c r="E662" s="114"/>
    </row>
    <row r="663" spans="1:5" x14ac:dyDescent="0.25">
      <c r="A663" s="82"/>
      <c r="B663" s="81"/>
      <c r="C663" s="81"/>
      <c r="D663" s="122"/>
      <c r="E663" s="114"/>
    </row>
    <row r="664" spans="1:5" x14ac:dyDescent="0.25">
      <c r="A664" s="82"/>
      <c r="B664" s="81"/>
      <c r="C664" s="81"/>
      <c r="D664" s="122"/>
      <c r="E664" s="114"/>
    </row>
    <row r="665" spans="1:5" x14ac:dyDescent="0.25">
      <c r="A665" s="82"/>
      <c r="B665" s="81"/>
      <c r="C665" s="81"/>
      <c r="D665" s="122"/>
      <c r="E665" s="114"/>
    </row>
    <row r="666" spans="1:5" x14ac:dyDescent="0.25">
      <c r="A666" s="82"/>
      <c r="B666" s="81"/>
      <c r="C666" s="81"/>
      <c r="D666" s="122"/>
      <c r="E666" s="114"/>
    </row>
    <row r="667" spans="1:5" x14ac:dyDescent="0.25">
      <c r="A667" s="82"/>
      <c r="B667" s="81"/>
      <c r="C667" s="81"/>
      <c r="D667" s="122"/>
      <c r="E667" s="114"/>
    </row>
    <row r="668" spans="1:5" x14ac:dyDescent="0.25">
      <c r="A668" s="82"/>
      <c r="B668" s="81"/>
      <c r="C668" s="81"/>
      <c r="D668" s="122"/>
      <c r="E668" s="114"/>
    </row>
    <row r="669" spans="1:5" x14ac:dyDescent="0.25">
      <c r="A669" s="82"/>
      <c r="B669" s="81"/>
      <c r="C669" s="81"/>
      <c r="D669" s="122"/>
      <c r="E669" s="114"/>
    </row>
    <row r="670" spans="1:5" x14ac:dyDescent="0.25">
      <c r="A670" s="82"/>
      <c r="B670" s="81"/>
      <c r="C670" s="81"/>
      <c r="D670" s="122"/>
      <c r="E670" s="114"/>
    </row>
    <row r="671" spans="1:5" x14ac:dyDescent="0.25">
      <c r="A671" s="82"/>
      <c r="B671" s="81"/>
      <c r="C671" s="81"/>
      <c r="D671" s="122"/>
      <c r="E671" s="114"/>
    </row>
    <row r="672" spans="1:5" x14ac:dyDescent="0.25">
      <c r="A672" s="82"/>
      <c r="B672" s="81"/>
      <c r="C672" s="81"/>
      <c r="D672" s="122"/>
      <c r="E672" s="114"/>
    </row>
    <row r="673" spans="1:5" x14ac:dyDescent="0.25">
      <c r="A673" s="82"/>
      <c r="B673" s="81"/>
      <c r="C673" s="81"/>
      <c r="D673" s="122"/>
      <c r="E673" s="114"/>
    </row>
    <row r="674" spans="1:5" x14ac:dyDescent="0.25">
      <c r="A674" s="82"/>
      <c r="B674" s="81"/>
      <c r="C674" s="81"/>
      <c r="D674" s="122"/>
      <c r="E674" s="114"/>
    </row>
    <row r="675" spans="1:5" x14ac:dyDescent="0.25">
      <c r="A675" s="82"/>
      <c r="B675" s="81"/>
      <c r="C675" s="81"/>
      <c r="D675" s="122"/>
      <c r="E675" s="114"/>
    </row>
    <row r="676" spans="1:5" x14ac:dyDescent="0.25">
      <c r="A676" s="82"/>
      <c r="B676" s="81"/>
      <c r="C676" s="81"/>
      <c r="D676" s="122"/>
      <c r="E676" s="114"/>
    </row>
    <row r="677" spans="1:5" x14ac:dyDescent="0.25">
      <c r="A677" s="82"/>
      <c r="B677" s="81"/>
      <c r="C677" s="81"/>
      <c r="D677" s="122"/>
      <c r="E677" s="114"/>
    </row>
    <row r="678" spans="1:5" x14ac:dyDescent="0.25">
      <c r="A678" s="82"/>
      <c r="B678" s="81"/>
      <c r="C678" s="81"/>
      <c r="D678" s="122"/>
      <c r="E678" s="114"/>
    </row>
    <row r="679" spans="1:5" x14ac:dyDescent="0.25">
      <c r="A679" s="82"/>
      <c r="B679" s="81"/>
      <c r="C679" s="81"/>
      <c r="D679" s="122"/>
      <c r="E679" s="114"/>
    </row>
    <row r="680" spans="1:5" x14ac:dyDescent="0.25">
      <c r="A680" s="82"/>
      <c r="B680" s="81"/>
      <c r="C680" s="81"/>
      <c r="D680" s="122"/>
      <c r="E680" s="114"/>
    </row>
    <row r="681" spans="1:5" x14ac:dyDescent="0.25">
      <c r="A681" s="82"/>
      <c r="B681" s="81"/>
      <c r="C681" s="81"/>
      <c r="D681" s="122"/>
      <c r="E681" s="114"/>
    </row>
    <row r="682" spans="1:5" x14ac:dyDescent="0.25">
      <c r="A682" s="82"/>
      <c r="B682" s="81"/>
      <c r="C682" s="81"/>
      <c r="D682" s="122"/>
      <c r="E682" s="114"/>
    </row>
    <row r="683" spans="1:5" x14ac:dyDescent="0.25">
      <c r="A683" s="82"/>
      <c r="B683" s="81"/>
      <c r="C683" s="81"/>
      <c r="D683" s="122"/>
      <c r="E683" s="114"/>
    </row>
    <row r="684" spans="1:5" x14ac:dyDescent="0.25">
      <c r="A684" s="82"/>
      <c r="B684" s="81"/>
      <c r="C684" s="81"/>
      <c r="D684" s="122"/>
      <c r="E684" s="114"/>
    </row>
    <row r="685" spans="1:5" x14ac:dyDescent="0.25">
      <c r="A685" s="82"/>
      <c r="B685" s="81"/>
      <c r="C685" s="81"/>
      <c r="D685" s="122"/>
      <c r="E685" s="114"/>
    </row>
    <row r="686" spans="1:5" x14ac:dyDescent="0.25">
      <c r="A686" s="82"/>
      <c r="B686" s="81"/>
      <c r="C686" s="81"/>
      <c r="D686" s="122"/>
      <c r="E686" s="114"/>
    </row>
    <row r="687" spans="1:5" x14ac:dyDescent="0.25">
      <c r="A687" s="82"/>
      <c r="B687" s="81"/>
      <c r="C687" s="81"/>
      <c r="D687" s="122"/>
      <c r="E687" s="114"/>
    </row>
    <row r="688" spans="1:5" x14ac:dyDescent="0.25">
      <c r="A688" s="82"/>
      <c r="B688" s="81"/>
      <c r="C688" s="81"/>
      <c r="D688" s="122"/>
      <c r="E688" s="114"/>
    </row>
    <row r="689" spans="1:5" x14ac:dyDescent="0.25">
      <c r="A689" s="82"/>
      <c r="B689" s="81"/>
      <c r="C689" s="81"/>
      <c r="D689" s="122"/>
      <c r="E689" s="114"/>
    </row>
    <row r="690" spans="1:5" x14ac:dyDescent="0.25">
      <c r="A690" s="82"/>
      <c r="B690" s="81"/>
      <c r="C690" s="81"/>
      <c r="D690" s="122"/>
      <c r="E690" s="114"/>
    </row>
    <row r="691" spans="1:5" x14ac:dyDescent="0.25">
      <c r="A691" s="82"/>
      <c r="B691" s="81"/>
      <c r="C691" s="81"/>
      <c r="D691" s="122"/>
      <c r="E691" s="114"/>
    </row>
    <row r="692" spans="1:5" x14ac:dyDescent="0.25">
      <c r="A692" s="82"/>
      <c r="B692" s="81"/>
      <c r="C692" s="81"/>
      <c r="D692" s="122"/>
      <c r="E692" s="114"/>
    </row>
    <row r="693" spans="1:5" x14ac:dyDescent="0.25">
      <c r="A693" s="82"/>
      <c r="B693" s="81"/>
      <c r="C693" s="81"/>
      <c r="D693" s="122"/>
      <c r="E693" s="114"/>
    </row>
    <row r="694" spans="1:5" x14ac:dyDescent="0.25">
      <c r="A694" s="82"/>
      <c r="B694" s="81"/>
      <c r="C694" s="81"/>
      <c r="D694" s="122"/>
      <c r="E694" s="114"/>
    </row>
    <row r="695" spans="1:5" x14ac:dyDescent="0.25">
      <c r="A695" s="82"/>
      <c r="B695" s="81"/>
      <c r="C695" s="81"/>
      <c r="D695" s="122"/>
      <c r="E695" s="114"/>
    </row>
    <row r="696" spans="1:5" x14ac:dyDescent="0.25">
      <c r="A696" s="82"/>
      <c r="B696" s="81"/>
      <c r="C696" s="81"/>
      <c r="D696" s="122"/>
      <c r="E696" s="114"/>
    </row>
    <row r="697" spans="1:5" x14ac:dyDescent="0.25">
      <c r="A697" s="82"/>
      <c r="B697" s="81"/>
      <c r="C697" s="81"/>
      <c r="D697" s="122"/>
      <c r="E697" s="114"/>
    </row>
    <row r="698" spans="1:5" x14ac:dyDescent="0.25">
      <c r="A698" s="82"/>
      <c r="B698" s="81"/>
      <c r="C698" s="81"/>
      <c r="D698" s="122"/>
      <c r="E698" s="114"/>
    </row>
    <row r="699" spans="1:5" x14ac:dyDescent="0.25">
      <c r="A699" s="82"/>
      <c r="B699" s="81"/>
      <c r="C699" s="81"/>
      <c r="D699" s="122"/>
      <c r="E699" s="114"/>
    </row>
    <row r="700" spans="1:5" x14ac:dyDescent="0.25">
      <c r="A700" s="82"/>
      <c r="B700" s="81"/>
      <c r="C700" s="81"/>
      <c r="D700" s="122"/>
      <c r="E700" s="114"/>
    </row>
    <row r="701" spans="1:5" x14ac:dyDescent="0.25">
      <c r="A701" s="82"/>
      <c r="B701" s="81"/>
      <c r="C701" s="81"/>
      <c r="D701" s="122"/>
      <c r="E701" s="114"/>
    </row>
    <row r="702" spans="1:5" x14ac:dyDescent="0.25">
      <c r="A702" s="82"/>
      <c r="B702" s="81"/>
      <c r="C702" s="81"/>
      <c r="D702" s="122"/>
      <c r="E702" s="114"/>
    </row>
    <row r="703" spans="1:5" x14ac:dyDescent="0.25">
      <c r="A703" s="82"/>
      <c r="B703" s="81"/>
      <c r="C703" s="81"/>
      <c r="D703" s="122"/>
      <c r="E703" s="114"/>
    </row>
    <row r="704" spans="1:5" x14ac:dyDescent="0.25">
      <c r="A704" s="82"/>
      <c r="B704" s="81"/>
      <c r="C704" s="81"/>
      <c r="D704" s="122"/>
      <c r="E704" s="114"/>
    </row>
    <row r="705" spans="1:5" x14ac:dyDescent="0.25">
      <c r="A705" s="82"/>
      <c r="B705" s="81"/>
      <c r="C705" s="81"/>
      <c r="D705" s="122"/>
      <c r="E705" s="114"/>
    </row>
    <row r="706" spans="1:5" x14ac:dyDescent="0.25">
      <c r="A706" s="82"/>
      <c r="B706" s="81"/>
      <c r="C706" s="81"/>
      <c r="D706" s="122"/>
      <c r="E706" s="114"/>
    </row>
    <row r="707" spans="1:5" x14ac:dyDescent="0.25">
      <c r="A707" s="82"/>
      <c r="B707" s="81"/>
      <c r="C707" s="81"/>
      <c r="D707" s="122"/>
      <c r="E707" s="114"/>
    </row>
    <row r="708" spans="1:5" x14ac:dyDescent="0.25">
      <c r="A708" s="82"/>
      <c r="B708" s="81"/>
      <c r="C708" s="81"/>
      <c r="D708" s="122"/>
      <c r="E708" s="114"/>
    </row>
    <row r="709" spans="1:5" x14ac:dyDescent="0.25">
      <c r="A709" s="82"/>
      <c r="B709" s="81"/>
      <c r="C709" s="81"/>
      <c r="D709" s="122"/>
      <c r="E709" s="114"/>
    </row>
    <row r="710" spans="1:5" x14ac:dyDescent="0.25">
      <c r="A710" s="82"/>
      <c r="B710" s="81"/>
      <c r="C710" s="81"/>
      <c r="D710" s="122"/>
      <c r="E710" s="114"/>
    </row>
    <row r="711" spans="1:5" x14ac:dyDescent="0.25">
      <c r="A711" s="82"/>
      <c r="B711" s="81"/>
      <c r="C711" s="81"/>
      <c r="D711" s="122"/>
      <c r="E711" s="114"/>
    </row>
    <row r="712" spans="1:5" x14ac:dyDescent="0.25">
      <c r="A712" s="82"/>
      <c r="B712" s="81"/>
      <c r="C712" s="81"/>
      <c r="D712" s="122"/>
      <c r="E712" s="114"/>
    </row>
    <row r="713" spans="1:5" x14ac:dyDescent="0.25">
      <c r="A713" s="82"/>
      <c r="B713" s="81"/>
      <c r="C713" s="81"/>
      <c r="D713" s="122"/>
      <c r="E713" s="114"/>
    </row>
    <row r="714" spans="1:5" x14ac:dyDescent="0.25">
      <c r="A714" s="82"/>
      <c r="B714" s="81"/>
      <c r="C714" s="81"/>
      <c r="D714" s="122"/>
      <c r="E714" s="114"/>
    </row>
    <row r="715" spans="1:5" x14ac:dyDescent="0.25">
      <c r="A715" s="82"/>
      <c r="B715" s="81"/>
      <c r="C715" s="81"/>
      <c r="D715" s="122"/>
      <c r="E715" s="114"/>
    </row>
    <row r="716" spans="1:5" x14ac:dyDescent="0.25">
      <c r="A716" s="82"/>
      <c r="B716" s="81"/>
      <c r="C716" s="81"/>
      <c r="D716" s="122"/>
      <c r="E716" s="114"/>
    </row>
    <row r="717" spans="1:5" x14ac:dyDescent="0.25">
      <c r="A717" s="82"/>
      <c r="B717" s="81"/>
      <c r="C717" s="81"/>
      <c r="D717" s="122"/>
      <c r="E717" s="114"/>
    </row>
    <row r="718" spans="1:5" x14ac:dyDescent="0.25">
      <c r="A718" s="82"/>
      <c r="B718" s="81"/>
      <c r="C718" s="81"/>
      <c r="D718" s="122"/>
      <c r="E718" s="114"/>
    </row>
    <row r="719" spans="1:5" x14ac:dyDescent="0.25">
      <c r="A719" s="82"/>
      <c r="B719" s="81"/>
      <c r="C719" s="81"/>
      <c r="D719" s="122"/>
      <c r="E719" s="114"/>
    </row>
    <row r="720" spans="1:5" x14ac:dyDescent="0.25">
      <c r="A720" s="82"/>
      <c r="B720" s="81"/>
      <c r="C720" s="81"/>
      <c r="D720" s="122"/>
      <c r="E720" s="114"/>
    </row>
    <row r="721" spans="1:5" x14ac:dyDescent="0.25">
      <c r="A721" s="82"/>
      <c r="B721" s="81"/>
      <c r="C721" s="81"/>
      <c r="D721" s="122"/>
      <c r="E721" s="114"/>
    </row>
    <row r="722" spans="1:5" x14ac:dyDescent="0.25">
      <c r="A722" s="82"/>
      <c r="B722" s="81"/>
      <c r="C722" s="81"/>
      <c r="D722" s="122"/>
      <c r="E722" s="114"/>
    </row>
    <row r="723" spans="1:5" x14ac:dyDescent="0.25">
      <c r="A723" s="82"/>
      <c r="B723" s="81"/>
      <c r="C723" s="81"/>
      <c r="D723" s="122"/>
      <c r="E723" s="114"/>
    </row>
    <row r="724" spans="1:5" x14ac:dyDescent="0.25">
      <c r="A724" s="82"/>
      <c r="B724" s="81"/>
      <c r="C724" s="81"/>
      <c r="D724" s="122"/>
      <c r="E724" s="114"/>
    </row>
    <row r="725" spans="1:5" x14ac:dyDescent="0.25">
      <c r="A725" s="82"/>
      <c r="B725" s="81"/>
      <c r="C725" s="81"/>
      <c r="D725" s="122"/>
      <c r="E725" s="114"/>
    </row>
    <row r="726" spans="1:5" x14ac:dyDescent="0.25">
      <c r="A726" s="82"/>
      <c r="B726" s="81"/>
      <c r="C726" s="81"/>
      <c r="D726" s="122"/>
      <c r="E726" s="114"/>
    </row>
    <row r="727" spans="1:5" x14ac:dyDescent="0.25">
      <c r="A727" s="82"/>
      <c r="B727" s="81"/>
      <c r="C727" s="81"/>
      <c r="D727" s="122"/>
      <c r="E727" s="114"/>
    </row>
    <row r="728" spans="1:5" x14ac:dyDescent="0.25">
      <c r="A728" s="82"/>
      <c r="B728" s="81"/>
      <c r="C728" s="81"/>
      <c r="D728" s="122"/>
      <c r="E728" s="114"/>
    </row>
    <row r="729" spans="1:5" x14ac:dyDescent="0.25">
      <c r="A729" s="82"/>
      <c r="B729" s="81"/>
      <c r="C729" s="81"/>
      <c r="D729" s="122"/>
      <c r="E729" s="114"/>
    </row>
    <row r="730" spans="1:5" x14ac:dyDescent="0.25">
      <c r="A730" s="82"/>
      <c r="B730" s="81"/>
      <c r="C730" s="81"/>
      <c r="D730" s="122"/>
      <c r="E730" s="114"/>
    </row>
    <row r="731" spans="1:5" x14ac:dyDescent="0.25">
      <c r="A731" s="82"/>
      <c r="B731" s="81"/>
      <c r="C731" s="81"/>
      <c r="D731" s="122"/>
      <c r="E731" s="114"/>
    </row>
    <row r="732" spans="1:5" x14ac:dyDescent="0.25">
      <c r="A732" s="82"/>
      <c r="B732" s="81"/>
      <c r="C732" s="81"/>
      <c r="D732" s="122"/>
      <c r="E732" s="114"/>
    </row>
    <row r="733" spans="1:5" x14ac:dyDescent="0.25">
      <c r="A733" s="82"/>
      <c r="B733" s="81"/>
      <c r="C733" s="81"/>
      <c r="D733" s="122"/>
      <c r="E733" s="114"/>
    </row>
    <row r="734" spans="1:5" x14ac:dyDescent="0.25">
      <c r="A734" s="82"/>
      <c r="B734" s="81"/>
      <c r="C734" s="81"/>
      <c r="D734" s="122"/>
      <c r="E734" s="114"/>
    </row>
    <row r="735" spans="1:5" x14ac:dyDescent="0.25">
      <c r="A735" s="82"/>
      <c r="B735" s="81"/>
      <c r="C735" s="81"/>
      <c r="D735" s="122"/>
      <c r="E735" s="114"/>
    </row>
    <row r="736" spans="1:5" x14ac:dyDescent="0.25">
      <c r="A736" s="82"/>
      <c r="B736" s="81"/>
      <c r="C736" s="81"/>
      <c r="D736" s="122"/>
      <c r="E736" s="114"/>
    </row>
    <row r="737" spans="1:5" x14ac:dyDescent="0.25">
      <c r="A737" s="82"/>
      <c r="B737" s="81"/>
      <c r="C737" s="81"/>
      <c r="D737" s="122"/>
      <c r="E737" s="114"/>
    </row>
    <row r="738" spans="1:5" x14ac:dyDescent="0.25">
      <c r="A738" s="82"/>
      <c r="B738" s="81"/>
      <c r="C738" s="81"/>
      <c r="D738" s="122"/>
      <c r="E738" s="114"/>
    </row>
    <row r="739" spans="1:5" x14ac:dyDescent="0.25">
      <c r="A739" s="82"/>
      <c r="B739" s="81"/>
      <c r="C739" s="81"/>
      <c r="D739" s="122"/>
      <c r="E739" s="114"/>
    </row>
    <row r="740" spans="1:5" x14ac:dyDescent="0.25">
      <c r="A740" s="82"/>
      <c r="B740" s="81"/>
      <c r="C740" s="81"/>
      <c r="D740" s="122"/>
      <c r="E740" s="114"/>
    </row>
    <row r="741" spans="1:5" x14ac:dyDescent="0.25">
      <c r="A741" s="82"/>
      <c r="B741" s="81"/>
      <c r="C741" s="81"/>
      <c r="D741" s="122"/>
      <c r="E741" s="114"/>
    </row>
    <row r="742" spans="1:5" x14ac:dyDescent="0.25">
      <c r="A742" s="82"/>
      <c r="B742" s="81"/>
      <c r="C742" s="81"/>
      <c r="D742" s="122"/>
      <c r="E742" s="114"/>
    </row>
    <row r="743" spans="1:5" x14ac:dyDescent="0.25">
      <c r="A743" s="82"/>
      <c r="B743" s="81"/>
      <c r="C743" s="81"/>
      <c r="D743" s="122"/>
      <c r="E743" s="114"/>
    </row>
    <row r="744" spans="1:5" x14ac:dyDescent="0.25">
      <c r="A744" s="82"/>
      <c r="B744" s="81"/>
      <c r="C744" s="81"/>
      <c r="D744" s="122"/>
      <c r="E744" s="114"/>
    </row>
    <row r="745" spans="1:5" x14ac:dyDescent="0.25">
      <c r="A745" s="82"/>
      <c r="B745" s="81"/>
      <c r="C745" s="81"/>
      <c r="D745" s="122"/>
      <c r="E745" s="114"/>
    </row>
    <row r="746" spans="1:5" x14ac:dyDescent="0.25">
      <c r="A746" s="82"/>
      <c r="B746" s="81"/>
      <c r="C746" s="81"/>
      <c r="D746" s="122"/>
      <c r="E746" s="114"/>
    </row>
    <row r="747" spans="1:5" x14ac:dyDescent="0.25">
      <c r="A747" s="82"/>
      <c r="B747" s="81"/>
      <c r="C747" s="81"/>
      <c r="D747" s="122"/>
      <c r="E747" s="114"/>
    </row>
    <row r="748" spans="1:5" x14ac:dyDescent="0.25">
      <c r="A748" s="82"/>
      <c r="B748" s="81"/>
      <c r="C748" s="81"/>
      <c r="D748" s="122"/>
      <c r="E748" s="114"/>
    </row>
    <row r="749" spans="1:5" x14ac:dyDescent="0.25">
      <c r="A749" s="82"/>
      <c r="B749" s="81"/>
      <c r="C749" s="81"/>
      <c r="D749" s="122"/>
      <c r="E749" s="114"/>
    </row>
    <row r="750" spans="1:5" x14ac:dyDescent="0.25">
      <c r="A750" s="82"/>
      <c r="B750" s="81"/>
      <c r="C750" s="81"/>
      <c r="D750" s="122"/>
      <c r="E750" s="114"/>
    </row>
    <row r="751" spans="1:5" x14ac:dyDescent="0.25">
      <c r="A751" s="82"/>
      <c r="B751" s="81"/>
      <c r="C751" s="81"/>
      <c r="D751" s="122"/>
      <c r="E751" s="114"/>
    </row>
    <row r="752" spans="1:5" x14ac:dyDescent="0.25">
      <c r="A752" s="82"/>
      <c r="B752" s="81"/>
      <c r="C752" s="81"/>
      <c r="D752" s="122"/>
      <c r="E752" s="114"/>
    </row>
    <row r="753" spans="1:5" x14ac:dyDescent="0.25">
      <c r="A753" s="82"/>
      <c r="B753" s="81"/>
      <c r="C753" s="81"/>
      <c r="D753" s="122"/>
      <c r="E753" s="114"/>
    </row>
    <row r="754" spans="1:5" x14ac:dyDescent="0.25">
      <c r="A754" s="82"/>
      <c r="B754" s="81"/>
      <c r="C754" s="81"/>
      <c r="D754" s="122"/>
      <c r="E754" s="114"/>
    </row>
    <row r="755" spans="1:5" x14ac:dyDescent="0.25">
      <c r="A755" s="82"/>
      <c r="B755" s="81"/>
      <c r="C755" s="81"/>
      <c r="D755" s="122"/>
      <c r="E755" s="114"/>
    </row>
    <row r="756" spans="1:5" x14ac:dyDescent="0.25">
      <c r="A756" s="82"/>
      <c r="B756" s="81"/>
      <c r="C756" s="81"/>
      <c r="D756" s="122"/>
      <c r="E756" s="114"/>
    </row>
    <row r="757" spans="1:5" x14ac:dyDescent="0.25">
      <c r="A757" s="82"/>
      <c r="B757" s="81"/>
      <c r="C757" s="81"/>
      <c r="D757" s="122"/>
      <c r="E757" s="114"/>
    </row>
    <row r="758" spans="1:5" x14ac:dyDescent="0.25">
      <c r="A758" s="82"/>
      <c r="B758" s="81"/>
      <c r="C758" s="81"/>
      <c r="D758" s="122"/>
      <c r="E758" s="114"/>
    </row>
    <row r="759" spans="1:5" x14ac:dyDescent="0.25">
      <c r="A759" s="82"/>
      <c r="B759" s="81"/>
      <c r="C759" s="81"/>
      <c r="D759" s="122"/>
      <c r="E759" s="114"/>
    </row>
    <row r="760" spans="1:5" x14ac:dyDescent="0.25">
      <c r="A760" s="82"/>
      <c r="B760" s="81"/>
      <c r="C760" s="81"/>
      <c r="D760" s="122"/>
      <c r="E760" s="114"/>
    </row>
    <row r="761" spans="1:5" x14ac:dyDescent="0.25">
      <c r="A761" s="82"/>
      <c r="B761" s="81"/>
      <c r="C761" s="81"/>
      <c r="D761" s="122"/>
      <c r="E761" s="114"/>
    </row>
    <row r="762" spans="1:5" x14ac:dyDescent="0.25">
      <c r="A762" s="82"/>
      <c r="B762" s="81"/>
      <c r="C762" s="81"/>
      <c r="D762" s="122"/>
      <c r="E762" s="114"/>
    </row>
    <row r="763" spans="1:5" x14ac:dyDescent="0.25">
      <c r="A763" s="82"/>
      <c r="B763" s="81"/>
      <c r="C763" s="81"/>
      <c r="D763" s="122"/>
      <c r="E763" s="114"/>
    </row>
    <row r="764" spans="1:5" x14ac:dyDescent="0.25">
      <c r="A764" s="82"/>
      <c r="B764" s="81"/>
      <c r="C764" s="81"/>
      <c r="D764" s="122"/>
      <c r="E764" s="114"/>
    </row>
    <row r="765" spans="1:5" x14ac:dyDescent="0.25">
      <c r="A765" s="82"/>
      <c r="B765" s="81"/>
      <c r="C765" s="81"/>
      <c r="D765" s="122"/>
      <c r="E765" s="114"/>
    </row>
    <row r="766" spans="1:5" x14ac:dyDescent="0.25">
      <c r="A766" s="82"/>
      <c r="B766" s="81"/>
      <c r="C766" s="81"/>
      <c r="D766" s="122"/>
      <c r="E766" s="114"/>
    </row>
    <row r="767" spans="1:5" x14ac:dyDescent="0.25">
      <c r="A767" s="82"/>
      <c r="B767" s="81"/>
      <c r="C767" s="81"/>
      <c r="D767" s="122"/>
      <c r="E767" s="114"/>
    </row>
    <row r="768" spans="1:5" x14ac:dyDescent="0.25">
      <c r="A768" s="82"/>
      <c r="B768" s="81"/>
      <c r="C768" s="81"/>
      <c r="D768" s="122"/>
      <c r="E768" s="114"/>
    </row>
    <row r="769" spans="1:5" x14ac:dyDescent="0.25">
      <c r="A769" s="82"/>
      <c r="B769" s="81"/>
      <c r="C769" s="81"/>
      <c r="D769" s="122"/>
      <c r="E769" s="114"/>
    </row>
    <row r="770" spans="1:5" x14ac:dyDescent="0.25">
      <c r="A770" s="82"/>
      <c r="B770" s="81"/>
      <c r="C770" s="81"/>
      <c r="D770" s="122"/>
      <c r="E770" s="114"/>
    </row>
    <row r="771" spans="1:5" x14ac:dyDescent="0.25">
      <c r="A771" s="82"/>
      <c r="B771" s="81"/>
      <c r="C771" s="81"/>
      <c r="D771" s="122"/>
      <c r="E771" s="114"/>
    </row>
    <row r="772" spans="1:5" x14ac:dyDescent="0.25">
      <c r="A772" s="82"/>
      <c r="B772" s="81"/>
      <c r="C772" s="81"/>
      <c r="D772" s="122"/>
      <c r="E772" s="114"/>
    </row>
    <row r="773" spans="1:5" x14ac:dyDescent="0.25">
      <c r="A773" s="82"/>
      <c r="B773" s="81"/>
      <c r="C773" s="81"/>
      <c r="D773" s="122"/>
      <c r="E773" s="114"/>
    </row>
    <row r="774" spans="1:5" x14ac:dyDescent="0.25">
      <c r="A774" s="82"/>
      <c r="B774" s="81"/>
      <c r="C774" s="81"/>
      <c r="D774" s="122"/>
      <c r="E774" s="114"/>
    </row>
    <row r="775" spans="1:5" x14ac:dyDescent="0.25">
      <c r="A775" s="82"/>
      <c r="B775" s="81"/>
      <c r="C775" s="81"/>
      <c r="D775" s="122"/>
      <c r="E775" s="114"/>
    </row>
    <row r="776" spans="1:5" x14ac:dyDescent="0.25">
      <c r="A776" s="82"/>
      <c r="B776" s="81"/>
      <c r="C776" s="81"/>
      <c r="D776" s="122"/>
      <c r="E776" s="114"/>
    </row>
    <row r="777" spans="1:5" x14ac:dyDescent="0.25">
      <c r="A777" s="82"/>
      <c r="B777" s="81"/>
      <c r="C777" s="81"/>
      <c r="D777" s="122"/>
      <c r="E777" s="114"/>
    </row>
    <row r="778" spans="1:5" x14ac:dyDescent="0.25">
      <c r="A778" s="82"/>
      <c r="B778" s="81"/>
      <c r="C778" s="81"/>
      <c r="D778" s="122"/>
      <c r="E778" s="114"/>
    </row>
    <row r="779" spans="1:5" x14ac:dyDescent="0.25">
      <c r="A779" s="82"/>
      <c r="B779" s="81"/>
      <c r="C779" s="81"/>
      <c r="D779" s="122"/>
      <c r="E779" s="114"/>
    </row>
    <row r="780" spans="1:5" x14ac:dyDescent="0.25">
      <c r="A780" s="82"/>
      <c r="B780" s="81"/>
      <c r="C780" s="81"/>
      <c r="D780" s="122"/>
      <c r="E780" s="114"/>
    </row>
    <row r="781" spans="1:5" x14ac:dyDescent="0.25">
      <c r="A781" s="82"/>
      <c r="B781" s="81"/>
      <c r="C781" s="81"/>
      <c r="D781" s="122"/>
      <c r="E781" s="114"/>
    </row>
    <row r="782" spans="1:5" x14ac:dyDescent="0.25">
      <c r="A782" s="82"/>
      <c r="B782" s="81"/>
      <c r="C782" s="81"/>
      <c r="D782" s="122"/>
      <c r="E782" s="114"/>
    </row>
    <row r="783" spans="1:5" x14ac:dyDescent="0.25">
      <c r="A783" s="82"/>
      <c r="B783" s="81"/>
      <c r="C783" s="81"/>
      <c r="D783" s="122"/>
      <c r="E783" s="114"/>
    </row>
    <row r="784" spans="1:5" x14ac:dyDescent="0.25">
      <c r="A784" s="82"/>
      <c r="B784" s="81"/>
      <c r="C784" s="81"/>
      <c r="D784" s="122"/>
      <c r="E784" s="114"/>
    </row>
    <row r="785" spans="1:5" x14ac:dyDescent="0.25">
      <c r="A785" s="82"/>
      <c r="B785" s="81"/>
      <c r="C785" s="81"/>
      <c r="D785" s="122"/>
      <c r="E785" s="114"/>
    </row>
    <row r="786" spans="1:5" x14ac:dyDescent="0.25">
      <c r="A786" s="82"/>
      <c r="B786" s="81"/>
      <c r="C786" s="81"/>
      <c r="D786" s="122"/>
      <c r="E786" s="114"/>
    </row>
    <row r="787" spans="1:5" x14ac:dyDescent="0.25">
      <c r="A787" s="82"/>
      <c r="B787" s="81"/>
      <c r="C787" s="81"/>
      <c r="D787" s="122"/>
      <c r="E787" s="114"/>
    </row>
    <row r="788" spans="1:5" x14ac:dyDescent="0.25">
      <c r="A788" s="82"/>
      <c r="B788" s="81"/>
      <c r="C788" s="81"/>
      <c r="D788" s="122"/>
      <c r="E788" s="114"/>
    </row>
    <row r="789" spans="1:5" x14ac:dyDescent="0.25">
      <c r="A789" s="82"/>
      <c r="B789" s="81"/>
      <c r="C789" s="81"/>
      <c r="D789" s="122"/>
      <c r="E789" s="114"/>
    </row>
    <row r="790" spans="1:5" x14ac:dyDescent="0.25">
      <c r="A790" s="82"/>
      <c r="B790" s="81"/>
      <c r="C790" s="81"/>
      <c r="D790" s="122"/>
      <c r="E790" s="114"/>
    </row>
    <row r="791" spans="1:5" x14ac:dyDescent="0.25">
      <c r="A791" s="82"/>
      <c r="B791" s="81"/>
      <c r="C791" s="81"/>
      <c r="D791" s="122"/>
      <c r="E791" s="114"/>
    </row>
    <row r="792" spans="1:5" x14ac:dyDescent="0.25">
      <c r="A792" s="82"/>
      <c r="B792" s="81"/>
      <c r="C792" s="81"/>
      <c r="D792" s="122"/>
      <c r="E792" s="114"/>
    </row>
    <row r="793" spans="1:5" x14ac:dyDescent="0.25">
      <c r="A793" s="82"/>
      <c r="B793" s="81"/>
      <c r="C793" s="81"/>
      <c r="D793" s="122"/>
      <c r="E793" s="114"/>
    </row>
    <row r="794" spans="1:5" x14ac:dyDescent="0.25">
      <c r="A794" s="82"/>
      <c r="B794" s="81"/>
      <c r="C794" s="81"/>
      <c r="D794" s="122"/>
      <c r="E794" s="114"/>
    </row>
    <row r="795" spans="1:5" x14ac:dyDescent="0.25">
      <c r="A795" s="82"/>
      <c r="B795" s="81"/>
      <c r="C795" s="81"/>
      <c r="D795" s="122"/>
      <c r="E795" s="114"/>
    </row>
    <row r="796" spans="1:5" x14ac:dyDescent="0.25">
      <c r="A796" s="82"/>
      <c r="B796" s="81"/>
      <c r="C796" s="81"/>
      <c r="D796" s="122"/>
      <c r="E796" s="114"/>
    </row>
    <row r="797" spans="1:5" x14ac:dyDescent="0.25">
      <c r="A797" s="82"/>
      <c r="B797" s="81"/>
      <c r="C797" s="81"/>
      <c r="D797" s="122"/>
      <c r="E797" s="114"/>
    </row>
    <row r="798" spans="1:5" x14ac:dyDescent="0.25">
      <c r="A798" s="82"/>
      <c r="B798" s="81"/>
      <c r="C798" s="81"/>
      <c r="D798" s="122"/>
      <c r="E798" s="114"/>
    </row>
    <row r="799" spans="1:5" x14ac:dyDescent="0.25">
      <c r="A799" s="82"/>
      <c r="B799" s="81"/>
      <c r="C799" s="81"/>
      <c r="D799" s="122"/>
      <c r="E799" s="114"/>
    </row>
    <row r="800" spans="1:5" x14ac:dyDescent="0.25">
      <c r="A800" s="82"/>
      <c r="B800" s="81"/>
      <c r="C800" s="81"/>
      <c r="D800" s="122"/>
      <c r="E800" s="114"/>
    </row>
    <row r="801" spans="1:5" x14ac:dyDescent="0.25">
      <c r="A801" s="82"/>
      <c r="B801" s="81"/>
      <c r="C801" s="81"/>
      <c r="D801" s="122"/>
      <c r="E801" s="114"/>
    </row>
    <row r="802" spans="1:5" x14ac:dyDescent="0.25">
      <c r="A802" s="82"/>
      <c r="B802" s="81"/>
      <c r="C802" s="81"/>
      <c r="D802" s="122"/>
      <c r="E802" s="114"/>
    </row>
    <row r="803" spans="1:5" x14ac:dyDescent="0.25">
      <c r="A803" s="82"/>
      <c r="B803" s="81"/>
      <c r="C803" s="81"/>
      <c r="D803" s="122"/>
      <c r="E803" s="114"/>
    </row>
    <row r="804" spans="1:5" x14ac:dyDescent="0.25">
      <c r="A804" s="82"/>
      <c r="B804" s="81"/>
      <c r="C804" s="81"/>
      <c r="D804" s="122"/>
      <c r="E804" s="114"/>
    </row>
    <row r="805" spans="1:5" x14ac:dyDescent="0.25">
      <c r="A805" s="82"/>
      <c r="B805" s="81"/>
      <c r="C805" s="81"/>
      <c r="D805" s="122"/>
      <c r="E805" s="114"/>
    </row>
    <row r="806" spans="1:5" x14ac:dyDescent="0.25">
      <c r="A806" s="82"/>
      <c r="B806" s="81"/>
      <c r="C806" s="81"/>
      <c r="D806" s="122"/>
      <c r="E806" s="114"/>
    </row>
    <row r="807" spans="1:5" x14ac:dyDescent="0.25">
      <c r="A807" s="82"/>
      <c r="B807" s="81"/>
      <c r="C807" s="81"/>
      <c r="D807" s="122"/>
      <c r="E807" s="114"/>
    </row>
    <row r="808" spans="1:5" x14ac:dyDescent="0.25">
      <c r="A808" s="82"/>
      <c r="B808" s="81"/>
      <c r="C808" s="81"/>
      <c r="D808" s="122"/>
      <c r="E808" s="114"/>
    </row>
    <row r="809" spans="1:5" x14ac:dyDescent="0.25">
      <c r="A809" s="82"/>
      <c r="B809" s="81"/>
      <c r="C809" s="81"/>
      <c r="D809" s="122"/>
      <c r="E809" s="114"/>
    </row>
    <row r="810" spans="1:5" x14ac:dyDescent="0.25">
      <c r="A810" s="82"/>
      <c r="B810" s="81"/>
      <c r="C810" s="81"/>
      <c r="D810" s="122"/>
      <c r="E810" s="114"/>
    </row>
    <row r="811" spans="1:5" x14ac:dyDescent="0.25">
      <c r="A811" s="82"/>
      <c r="B811" s="81"/>
      <c r="C811" s="81"/>
      <c r="D811" s="122"/>
      <c r="E811" s="114"/>
    </row>
    <row r="812" spans="1:5" x14ac:dyDescent="0.25">
      <c r="A812" s="82"/>
      <c r="B812" s="81"/>
      <c r="C812" s="81"/>
      <c r="D812" s="122"/>
      <c r="E812" s="114"/>
    </row>
    <row r="813" spans="1:5" x14ac:dyDescent="0.25">
      <c r="A813" s="82"/>
      <c r="B813" s="81"/>
      <c r="C813" s="81"/>
      <c r="D813" s="122"/>
      <c r="E813" s="114"/>
    </row>
    <row r="814" spans="1:5" x14ac:dyDescent="0.25">
      <c r="A814" s="82"/>
      <c r="B814" s="81"/>
      <c r="C814" s="81"/>
      <c r="D814" s="122"/>
      <c r="E814" s="114"/>
    </row>
    <row r="815" spans="1:5" x14ac:dyDescent="0.25">
      <c r="A815" s="82"/>
      <c r="B815" s="81"/>
      <c r="C815" s="81"/>
      <c r="D815" s="122"/>
      <c r="E815" s="114"/>
    </row>
    <row r="816" spans="1:5" x14ac:dyDescent="0.25">
      <c r="A816" s="82"/>
      <c r="B816" s="81"/>
      <c r="C816" s="81"/>
      <c r="D816" s="122"/>
      <c r="E816" s="114"/>
    </row>
    <row r="817" spans="1:5" x14ac:dyDescent="0.25">
      <c r="A817" s="82"/>
      <c r="B817" s="81"/>
      <c r="C817" s="81"/>
      <c r="D817" s="122"/>
      <c r="E817" s="114"/>
    </row>
    <row r="818" spans="1:5" x14ac:dyDescent="0.25">
      <c r="A818" s="82"/>
      <c r="B818" s="81"/>
      <c r="C818" s="81"/>
      <c r="D818" s="122"/>
      <c r="E818" s="114"/>
    </row>
    <row r="819" spans="1:5" x14ac:dyDescent="0.25">
      <c r="A819" s="82"/>
      <c r="B819" s="81"/>
      <c r="C819" s="81"/>
      <c r="D819" s="122"/>
      <c r="E819" s="114"/>
    </row>
    <row r="820" spans="1:5" x14ac:dyDescent="0.25">
      <c r="A820" s="82"/>
      <c r="B820" s="81"/>
      <c r="C820" s="81"/>
      <c r="D820" s="122"/>
      <c r="E820" s="114"/>
    </row>
    <row r="821" spans="1:5" x14ac:dyDescent="0.25">
      <c r="A821" s="82"/>
      <c r="B821" s="81"/>
      <c r="C821" s="81"/>
      <c r="D821" s="122"/>
      <c r="E821" s="114"/>
    </row>
    <row r="822" spans="1:5" x14ac:dyDescent="0.25">
      <c r="A822" s="82"/>
      <c r="B822" s="81"/>
      <c r="C822" s="81"/>
      <c r="D822" s="122"/>
      <c r="E822" s="114"/>
    </row>
    <row r="823" spans="1:5" x14ac:dyDescent="0.25">
      <c r="A823" s="82"/>
      <c r="B823" s="81"/>
      <c r="C823" s="81"/>
      <c r="D823" s="122"/>
      <c r="E823" s="114"/>
    </row>
    <row r="824" spans="1:5" x14ac:dyDescent="0.25">
      <c r="A824" s="82"/>
      <c r="B824" s="81"/>
      <c r="C824" s="81"/>
      <c r="D824" s="122"/>
      <c r="E824" s="114"/>
    </row>
    <row r="825" spans="1:5" x14ac:dyDescent="0.25">
      <c r="A825" s="82"/>
      <c r="B825" s="81"/>
      <c r="C825" s="81"/>
      <c r="D825" s="122"/>
      <c r="E825" s="114"/>
    </row>
    <row r="826" spans="1:5" x14ac:dyDescent="0.25">
      <c r="A826" s="82"/>
      <c r="B826" s="81"/>
      <c r="C826" s="81"/>
      <c r="D826" s="122"/>
      <c r="E826" s="114"/>
    </row>
    <row r="827" spans="1:5" x14ac:dyDescent="0.25">
      <c r="A827" s="82"/>
      <c r="B827" s="81"/>
      <c r="C827" s="81"/>
      <c r="D827" s="122"/>
      <c r="E827" s="114"/>
    </row>
    <row r="828" spans="1:5" x14ac:dyDescent="0.25">
      <c r="A828" s="82"/>
      <c r="B828" s="81"/>
      <c r="C828" s="81"/>
      <c r="D828" s="122"/>
      <c r="E828" s="114"/>
    </row>
    <row r="829" spans="1:5" x14ac:dyDescent="0.25">
      <c r="A829" s="82"/>
      <c r="B829" s="81"/>
      <c r="C829" s="81"/>
      <c r="D829" s="122"/>
      <c r="E829" s="114"/>
    </row>
    <row r="830" spans="1:5" x14ac:dyDescent="0.25">
      <c r="A830" s="82"/>
      <c r="B830" s="81"/>
      <c r="C830" s="81"/>
      <c r="D830" s="122"/>
      <c r="E830" s="114"/>
    </row>
    <row r="831" spans="1:5" x14ac:dyDescent="0.25">
      <c r="A831" s="82"/>
      <c r="B831" s="81"/>
      <c r="C831" s="81"/>
      <c r="D831" s="122"/>
      <c r="E831" s="114"/>
    </row>
    <row r="832" spans="1:5" x14ac:dyDescent="0.25">
      <c r="A832" s="82"/>
      <c r="B832" s="81"/>
      <c r="C832" s="81"/>
      <c r="D832" s="122"/>
      <c r="E832" s="114"/>
    </row>
    <row r="833" spans="1:5" x14ac:dyDescent="0.25">
      <c r="A833" s="82"/>
      <c r="B833" s="81"/>
      <c r="C833" s="81"/>
      <c r="D833" s="122"/>
      <c r="E833" s="114"/>
    </row>
    <row r="834" spans="1:5" x14ac:dyDescent="0.25">
      <c r="A834" s="82"/>
      <c r="B834" s="81"/>
      <c r="C834" s="81"/>
      <c r="D834" s="122"/>
      <c r="E834" s="114"/>
    </row>
    <row r="835" spans="1:5" x14ac:dyDescent="0.25">
      <c r="A835" s="82"/>
      <c r="B835" s="81"/>
      <c r="C835" s="81"/>
      <c r="D835" s="122"/>
      <c r="E835" s="114"/>
    </row>
    <row r="836" spans="1:5" x14ac:dyDescent="0.25">
      <c r="A836" s="82"/>
      <c r="B836" s="81"/>
      <c r="C836" s="81"/>
      <c r="D836" s="122"/>
      <c r="E836" s="114"/>
    </row>
    <row r="837" spans="1:5" x14ac:dyDescent="0.25">
      <c r="A837" s="82"/>
      <c r="B837" s="81"/>
      <c r="C837" s="81"/>
      <c r="D837" s="122"/>
      <c r="E837" s="114"/>
    </row>
    <row r="838" spans="1:5" x14ac:dyDescent="0.25">
      <c r="A838" s="82"/>
      <c r="B838" s="81"/>
      <c r="C838" s="81"/>
      <c r="D838" s="122"/>
      <c r="E838" s="114"/>
    </row>
    <row r="839" spans="1:5" x14ac:dyDescent="0.25">
      <c r="A839" s="82"/>
      <c r="B839" s="81"/>
      <c r="C839" s="81"/>
      <c r="D839" s="122"/>
      <c r="E839" s="114"/>
    </row>
    <row r="840" spans="1:5" x14ac:dyDescent="0.25">
      <c r="A840" s="82"/>
      <c r="B840" s="81"/>
      <c r="C840" s="81"/>
      <c r="D840" s="122"/>
      <c r="E840" s="114"/>
    </row>
    <row r="841" spans="1:5" x14ac:dyDescent="0.25">
      <c r="A841" s="82"/>
      <c r="B841" s="81"/>
      <c r="C841" s="81"/>
      <c r="D841" s="122"/>
      <c r="E841" s="114"/>
    </row>
    <row r="842" spans="1:5" x14ac:dyDescent="0.25">
      <c r="A842" s="82"/>
      <c r="B842" s="81"/>
      <c r="C842" s="81"/>
      <c r="D842" s="122"/>
      <c r="E842" s="114"/>
    </row>
    <row r="843" spans="1:5" x14ac:dyDescent="0.25">
      <c r="A843" s="82"/>
      <c r="B843" s="81"/>
      <c r="C843" s="81"/>
      <c r="D843" s="122"/>
      <c r="E843" s="114"/>
    </row>
    <row r="844" spans="1:5" x14ac:dyDescent="0.25">
      <c r="A844" s="82"/>
      <c r="B844" s="81"/>
      <c r="C844" s="81"/>
      <c r="D844" s="122"/>
      <c r="E844" s="114"/>
    </row>
    <row r="845" spans="1:5" x14ac:dyDescent="0.25">
      <c r="A845" s="82"/>
      <c r="B845" s="81"/>
      <c r="C845" s="81"/>
      <c r="D845" s="122"/>
      <c r="E845" s="114"/>
    </row>
    <row r="846" spans="1:5" x14ac:dyDescent="0.25">
      <c r="A846" s="82"/>
      <c r="B846" s="81"/>
      <c r="C846" s="81"/>
      <c r="D846" s="122"/>
      <c r="E846" s="114"/>
    </row>
    <row r="847" spans="1:5" x14ac:dyDescent="0.25">
      <c r="A847" s="82"/>
      <c r="B847" s="81"/>
      <c r="C847" s="81"/>
      <c r="D847" s="122"/>
      <c r="E847" s="114"/>
    </row>
    <row r="848" spans="1:5" x14ac:dyDescent="0.25">
      <c r="A848" s="82"/>
      <c r="B848" s="81"/>
      <c r="C848" s="81"/>
      <c r="D848" s="122"/>
      <c r="E848" s="114"/>
    </row>
    <row r="849" spans="1:5" x14ac:dyDescent="0.25">
      <c r="A849" s="82"/>
      <c r="B849" s="81"/>
      <c r="C849" s="81"/>
      <c r="D849" s="122"/>
      <c r="E849" s="114"/>
    </row>
    <row r="850" spans="1:5" x14ac:dyDescent="0.25">
      <c r="A850" s="82"/>
      <c r="B850" s="81"/>
      <c r="C850" s="81"/>
      <c r="D850" s="122"/>
      <c r="E850" s="114"/>
    </row>
    <row r="851" spans="1:5" x14ac:dyDescent="0.25">
      <c r="A851" s="82"/>
      <c r="B851" s="81"/>
      <c r="C851" s="81"/>
      <c r="D851" s="122"/>
      <c r="E851" s="114"/>
    </row>
    <row r="852" spans="1:5" x14ac:dyDescent="0.25">
      <c r="A852" s="82"/>
      <c r="B852" s="81"/>
      <c r="C852" s="81"/>
      <c r="D852" s="122"/>
      <c r="E852" s="114"/>
    </row>
    <row r="853" spans="1:5" x14ac:dyDescent="0.25">
      <c r="A853" s="82"/>
      <c r="B853" s="81"/>
      <c r="C853" s="81"/>
      <c r="D853" s="122"/>
      <c r="E853" s="114"/>
    </row>
    <row r="854" spans="1:5" x14ac:dyDescent="0.25">
      <c r="A854" s="82"/>
      <c r="B854" s="81"/>
      <c r="C854" s="81"/>
      <c r="D854" s="122"/>
      <c r="E854" s="114"/>
    </row>
    <row r="855" spans="1:5" x14ac:dyDescent="0.25">
      <c r="A855" s="82"/>
      <c r="B855" s="81"/>
      <c r="C855" s="81"/>
      <c r="D855" s="122"/>
      <c r="E855" s="114"/>
    </row>
    <row r="856" spans="1:5" x14ac:dyDescent="0.25">
      <c r="A856" s="82"/>
      <c r="B856" s="81"/>
      <c r="C856" s="81"/>
      <c r="D856" s="122"/>
      <c r="E856" s="114"/>
    </row>
    <row r="857" spans="1:5" x14ac:dyDescent="0.25">
      <c r="A857" s="82"/>
      <c r="B857" s="81"/>
      <c r="C857" s="81"/>
      <c r="D857" s="122"/>
      <c r="E857" s="114"/>
    </row>
    <row r="858" spans="1:5" x14ac:dyDescent="0.25">
      <c r="A858" s="82"/>
      <c r="B858" s="81"/>
      <c r="C858" s="81"/>
      <c r="D858" s="122"/>
      <c r="E858" s="114"/>
    </row>
    <row r="859" spans="1:5" x14ac:dyDescent="0.25">
      <c r="A859" s="82"/>
      <c r="B859" s="81"/>
      <c r="C859" s="81"/>
      <c r="D859" s="122"/>
      <c r="E859" s="114"/>
    </row>
    <row r="860" spans="1:5" x14ac:dyDescent="0.25">
      <c r="A860" s="82"/>
      <c r="B860" s="81"/>
      <c r="C860" s="81"/>
      <c r="D860" s="122"/>
      <c r="E860" s="114"/>
    </row>
    <row r="861" spans="1:5" x14ac:dyDescent="0.25">
      <c r="A861" s="82"/>
      <c r="B861" s="81"/>
      <c r="C861" s="81"/>
      <c r="D861" s="122"/>
      <c r="E861" s="114"/>
    </row>
    <row r="862" spans="1:5" x14ac:dyDescent="0.25">
      <c r="A862" s="82"/>
      <c r="B862" s="81"/>
      <c r="C862" s="81"/>
      <c r="D862" s="122"/>
      <c r="E862" s="114"/>
    </row>
    <row r="863" spans="1:5" x14ac:dyDescent="0.25">
      <c r="A863" s="82"/>
      <c r="B863" s="81"/>
      <c r="C863" s="81"/>
      <c r="D863" s="122"/>
      <c r="E863" s="114"/>
    </row>
    <row r="864" spans="1:5" x14ac:dyDescent="0.25">
      <c r="A864" s="82"/>
      <c r="B864" s="81"/>
      <c r="C864" s="81"/>
      <c r="D864" s="122"/>
      <c r="E864" s="114"/>
    </row>
    <row r="865" spans="1:5" x14ac:dyDescent="0.25">
      <c r="A865" s="82"/>
      <c r="B865" s="81"/>
      <c r="C865" s="81"/>
      <c r="D865" s="122"/>
      <c r="E865" s="114"/>
    </row>
    <row r="866" spans="1:5" x14ac:dyDescent="0.25">
      <c r="A866" s="82"/>
      <c r="B866" s="81"/>
      <c r="C866" s="81"/>
      <c r="D866" s="122"/>
      <c r="E866" s="114"/>
    </row>
    <row r="867" spans="1:5" x14ac:dyDescent="0.25">
      <c r="A867" s="82"/>
      <c r="B867" s="81"/>
      <c r="C867" s="81"/>
      <c r="D867" s="122"/>
      <c r="E867" s="114"/>
    </row>
    <row r="868" spans="1:5" x14ac:dyDescent="0.25">
      <c r="A868" s="82"/>
      <c r="B868" s="81"/>
      <c r="C868" s="81"/>
      <c r="D868" s="122"/>
      <c r="E868" s="114"/>
    </row>
    <row r="869" spans="1:5" x14ac:dyDescent="0.25">
      <c r="A869" s="82"/>
      <c r="B869" s="81"/>
      <c r="C869" s="81"/>
      <c r="D869" s="122"/>
      <c r="E869" s="114"/>
    </row>
    <row r="870" spans="1:5" x14ac:dyDescent="0.25">
      <c r="A870" s="82"/>
      <c r="B870" s="81"/>
      <c r="C870" s="81"/>
      <c r="D870" s="122"/>
      <c r="E870" s="114"/>
    </row>
    <row r="871" spans="1:5" x14ac:dyDescent="0.25">
      <c r="A871" s="82"/>
      <c r="B871" s="81"/>
      <c r="C871" s="81"/>
      <c r="D871" s="122"/>
      <c r="E871" s="114"/>
    </row>
    <row r="872" spans="1:5" x14ac:dyDescent="0.25">
      <c r="A872" s="82"/>
      <c r="B872" s="81"/>
      <c r="C872" s="81"/>
      <c r="D872" s="122"/>
      <c r="E872" s="114"/>
    </row>
    <row r="873" spans="1:5" x14ac:dyDescent="0.25">
      <c r="A873" s="82"/>
      <c r="B873" s="81"/>
      <c r="C873" s="81"/>
      <c r="D873" s="122"/>
      <c r="E873" s="114"/>
    </row>
    <row r="874" spans="1:5" x14ac:dyDescent="0.25">
      <c r="A874" s="82"/>
      <c r="B874" s="81"/>
      <c r="C874" s="81"/>
      <c r="D874" s="122"/>
      <c r="E874" s="114"/>
    </row>
    <row r="875" spans="1:5" x14ac:dyDescent="0.25">
      <c r="A875" s="82"/>
      <c r="B875" s="81"/>
      <c r="C875" s="81"/>
      <c r="D875" s="122"/>
      <c r="E875" s="114"/>
    </row>
    <row r="876" spans="1:5" x14ac:dyDescent="0.25">
      <c r="A876" s="82"/>
      <c r="B876" s="81"/>
      <c r="C876" s="81"/>
      <c r="D876" s="122"/>
      <c r="E876" s="114"/>
    </row>
    <row r="877" spans="1:5" x14ac:dyDescent="0.25">
      <c r="A877" s="82"/>
      <c r="B877" s="81"/>
      <c r="C877" s="81"/>
      <c r="D877" s="122"/>
      <c r="E877" s="114"/>
    </row>
    <row r="878" spans="1:5" x14ac:dyDescent="0.25">
      <c r="A878" s="82"/>
      <c r="B878" s="81"/>
      <c r="C878" s="81"/>
      <c r="D878" s="122"/>
      <c r="E878" s="114"/>
    </row>
    <row r="879" spans="1:5" x14ac:dyDescent="0.25">
      <c r="A879" s="82"/>
      <c r="B879" s="81"/>
      <c r="C879" s="81"/>
      <c r="D879" s="122"/>
      <c r="E879" s="114"/>
    </row>
    <row r="880" spans="1:5" x14ac:dyDescent="0.25">
      <c r="A880" s="82"/>
      <c r="B880" s="81"/>
      <c r="C880" s="81"/>
      <c r="D880" s="122"/>
      <c r="E880" s="114"/>
    </row>
    <row r="881" spans="1:5" x14ac:dyDescent="0.25">
      <c r="A881" s="82"/>
      <c r="B881" s="81"/>
      <c r="C881" s="81"/>
      <c r="D881" s="122"/>
      <c r="E881" s="114"/>
    </row>
    <row r="882" spans="1:5" x14ac:dyDescent="0.25">
      <c r="A882" s="82"/>
      <c r="B882" s="81"/>
      <c r="C882" s="81"/>
      <c r="D882" s="122"/>
      <c r="E882" s="114"/>
    </row>
    <row r="883" spans="1:5" x14ac:dyDescent="0.25">
      <c r="A883" s="82"/>
      <c r="B883" s="81"/>
      <c r="C883" s="81"/>
      <c r="D883" s="122"/>
      <c r="E883" s="114"/>
    </row>
    <row r="884" spans="1:5" x14ac:dyDescent="0.25">
      <c r="A884" s="82"/>
      <c r="B884" s="81"/>
      <c r="C884" s="81"/>
      <c r="D884" s="122"/>
      <c r="E884" s="114"/>
    </row>
    <row r="885" spans="1:5" x14ac:dyDescent="0.25">
      <c r="A885" s="82"/>
      <c r="B885" s="81"/>
      <c r="C885" s="81"/>
      <c r="D885" s="122"/>
      <c r="E885" s="114"/>
    </row>
    <row r="886" spans="1:5" x14ac:dyDescent="0.25">
      <c r="A886" s="82"/>
      <c r="B886" s="81"/>
      <c r="C886" s="81"/>
      <c r="D886" s="122"/>
      <c r="E886" s="114"/>
    </row>
    <row r="887" spans="1:5" x14ac:dyDescent="0.25">
      <c r="A887" s="82"/>
      <c r="B887" s="81"/>
      <c r="C887" s="81"/>
      <c r="D887" s="122"/>
      <c r="E887" s="114"/>
    </row>
    <row r="888" spans="1:5" x14ac:dyDescent="0.25">
      <c r="A888" s="82"/>
      <c r="B888" s="81"/>
      <c r="C888" s="81"/>
      <c r="D888" s="122"/>
      <c r="E888" s="114"/>
    </row>
    <row r="889" spans="1:5" x14ac:dyDescent="0.25">
      <c r="A889" s="82"/>
      <c r="B889" s="81"/>
      <c r="C889" s="81"/>
      <c r="D889" s="122"/>
      <c r="E889" s="114"/>
    </row>
    <row r="890" spans="1:5" x14ac:dyDescent="0.25">
      <c r="A890" s="82"/>
      <c r="B890" s="81"/>
      <c r="C890" s="81"/>
      <c r="D890" s="122"/>
      <c r="E890" s="114"/>
    </row>
    <row r="891" spans="1:5" x14ac:dyDescent="0.25">
      <c r="A891" s="82"/>
      <c r="B891" s="81"/>
      <c r="C891" s="81"/>
      <c r="D891" s="122"/>
      <c r="E891" s="114"/>
    </row>
    <row r="892" spans="1:5" x14ac:dyDescent="0.25">
      <c r="A892" s="82"/>
      <c r="B892" s="81"/>
      <c r="C892" s="81"/>
      <c r="D892" s="122"/>
      <c r="E892" s="114"/>
    </row>
    <row r="893" spans="1:5" x14ac:dyDescent="0.25">
      <c r="A893" s="82"/>
      <c r="B893" s="81"/>
      <c r="C893" s="81"/>
      <c r="D893" s="122"/>
      <c r="E893" s="114"/>
    </row>
    <row r="894" spans="1:5" x14ac:dyDescent="0.25">
      <c r="A894" s="82"/>
      <c r="B894" s="81"/>
      <c r="C894" s="81"/>
      <c r="D894" s="122"/>
      <c r="E894" s="114"/>
    </row>
    <row r="895" spans="1:5" x14ac:dyDescent="0.25">
      <c r="A895" s="82"/>
      <c r="B895" s="81"/>
      <c r="C895" s="81"/>
      <c r="D895" s="122"/>
      <c r="E895" s="114"/>
    </row>
    <row r="896" spans="1:5" x14ac:dyDescent="0.25">
      <c r="A896" s="82"/>
      <c r="B896" s="81"/>
      <c r="C896" s="81"/>
      <c r="D896" s="122"/>
      <c r="E896" s="114"/>
    </row>
    <row r="897" spans="1:5" x14ac:dyDescent="0.25">
      <c r="A897" s="82"/>
      <c r="B897" s="81"/>
      <c r="C897" s="81"/>
      <c r="D897" s="122"/>
      <c r="E897" s="114"/>
    </row>
    <row r="898" spans="1:5" x14ac:dyDescent="0.25">
      <c r="A898" s="82"/>
      <c r="B898" s="81"/>
      <c r="C898" s="81"/>
      <c r="D898" s="122"/>
      <c r="E898" s="114"/>
    </row>
    <row r="899" spans="1:5" x14ac:dyDescent="0.25">
      <c r="A899" s="82"/>
      <c r="B899" s="81"/>
      <c r="C899" s="81"/>
      <c r="D899" s="122"/>
      <c r="E899" s="114"/>
    </row>
    <row r="900" spans="1:5" x14ac:dyDescent="0.25">
      <c r="A900" s="82"/>
      <c r="B900" s="81"/>
      <c r="C900" s="81"/>
      <c r="D900" s="122"/>
      <c r="E900" s="114"/>
    </row>
    <row r="901" spans="1:5" x14ac:dyDescent="0.25">
      <c r="A901" s="82"/>
      <c r="B901" s="81"/>
      <c r="C901" s="81"/>
      <c r="D901" s="122"/>
      <c r="E901" s="114"/>
    </row>
    <row r="902" spans="1:5" x14ac:dyDescent="0.25">
      <c r="A902" s="82"/>
      <c r="B902" s="81"/>
      <c r="C902" s="81"/>
      <c r="D902" s="122"/>
      <c r="E902" s="114"/>
    </row>
    <row r="903" spans="1:5" x14ac:dyDescent="0.25">
      <c r="A903" s="82"/>
      <c r="B903" s="81"/>
      <c r="C903" s="81"/>
      <c r="D903" s="122"/>
      <c r="E903" s="114"/>
    </row>
    <row r="904" spans="1:5" x14ac:dyDescent="0.25">
      <c r="A904" s="82"/>
      <c r="B904" s="81"/>
      <c r="C904" s="81"/>
      <c r="D904" s="122"/>
      <c r="E904" s="114"/>
    </row>
    <row r="905" spans="1:5" x14ac:dyDescent="0.25">
      <c r="A905" s="82"/>
      <c r="B905" s="81"/>
      <c r="C905" s="81"/>
      <c r="D905" s="122"/>
      <c r="E905" s="114"/>
    </row>
    <row r="906" spans="1:5" x14ac:dyDescent="0.25">
      <c r="A906" s="82"/>
      <c r="B906" s="81"/>
      <c r="C906" s="81"/>
      <c r="D906" s="122"/>
      <c r="E906" s="114"/>
    </row>
    <row r="907" spans="1:5" x14ac:dyDescent="0.25">
      <c r="A907" s="82"/>
      <c r="B907" s="81"/>
      <c r="C907" s="81"/>
      <c r="D907" s="122"/>
      <c r="E907" s="114"/>
    </row>
    <row r="908" spans="1:5" x14ac:dyDescent="0.25">
      <c r="A908" s="82"/>
      <c r="B908" s="81"/>
      <c r="C908" s="81"/>
      <c r="D908" s="122"/>
      <c r="E908" s="114"/>
    </row>
    <row r="909" spans="1:5" x14ac:dyDescent="0.25">
      <c r="A909" s="82"/>
      <c r="B909" s="81"/>
      <c r="C909" s="81"/>
      <c r="D909" s="122"/>
      <c r="E909" s="114"/>
    </row>
    <row r="910" spans="1:5" x14ac:dyDescent="0.25">
      <c r="A910" s="82"/>
      <c r="B910" s="81"/>
      <c r="C910" s="81"/>
      <c r="D910" s="122"/>
      <c r="E910" s="114"/>
    </row>
    <row r="911" spans="1:5" x14ac:dyDescent="0.25">
      <c r="A911" s="82"/>
      <c r="B911" s="81"/>
      <c r="C911" s="81"/>
      <c r="D911" s="122"/>
      <c r="E911" s="114"/>
    </row>
    <row r="912" spans="1:5" x14ac:dyDescent="0.25">
      <c r="A912" s="82"/>
      <c r="B912" s="81"/>
      <c r="C912" s="81"/>
      <c r="D912" s="122"/>
      <c r="E912" s="114"/>
    </row>
    <row r="913" spans="1:5" x14ac:dyDescent="0.25">
      <c r="A913" s="82"/>
      <c r="B913" s="81"/>
      <c r="C913" s="81"/>
      <c r="D913" s="122"/>
      <c r="E913" s="114"/>
    </row>
    <row r="914" spans="1:5" x14ac:dyDescent="0.25">
      <c r="A914" s="82"/>
      <c r="B914" s="81"/>
      <c r="C914" s="81"/>
      <c r="D914" s="122"/>
      <c r="E914" s="114"/>
    </row>
    <row r="915" spans="1:5" x14ac:dyDescent="0.25">
      <c r="A915" s="82"/>
      <c r="B915" s="81"/>
      <c r="C915" s="81"/>
      <c r="D915" s="122"/>
      <c r="E915" s="114"/>
    </row>
    <row r="916" spans="1:5" x14ac:dyDescent="0.25">
      <c r="A916" s="82"/>
      <c r="B916" s="81"/>
      <c r="C916" s="81"/>
      <c r="D916" s="122"/>
      <c r="E916" s="114"/>
    </row>
    <row r="917" spans="1:5" x14ac:dyDescent="0.25">
      <c r="A917" s="82"/>
      <c r="B917" s="81"/>
      <c r="C917" s="81"/>
      <c r="D917" s="122"/>
      <c r="E917" s="114"/>
    </row>
    <row r="918" spans="1:5" x14ac:dyDescent="0.25">
      <c r="A918" s="82"/>
      <c r="B918" s="81"/>
      <c r="C918" s="81"/>
      <c r="D918" s="122"/>
      <c r="E918" s="114"/>
    </row>
    <row r="919" spans="1:5" x14ac:dyDescent="0.25">
      <c r="A919" s="82"/>
      <c r="B919" s="81"/>
      <c r="C919" s="81"/>
      <c r="D919" s="122"/>
      <c r="E919" s="114"/>
    </row>
    <row r="920" spans="1:5" x14ac:dyDescent="0.25">
      <c r="A920" s="82"/>
      <c r="B920" s="81"/>
      <c r="C920" s="81"/>
      <c r="D920" s="122"/>
      <c r="E920" s="114"/>
    </row>
    <row r="921" spans="1:5" x14ac:dyDescent="0.25">
      <c r="A921" s="82"/>
      <c r="B921" s="81"/>
      <c r="C921" s="81"/>
      <c r="D921" s="122"/>
      <c r="E921" s="114"/>
    </row>
    <row r="922" spans="1:5" x14ac:dyDescent="0.25">
      <c r="A922" s="82"/>
      <c r="B922" s="81"/>
      <c r="C922" s="81"/>
      <c r="D922" s="122"/>
      <c r="E922" s="114"/>
    </row>
    <row r="923" spans="1:5" x14ac:dyDescent="0.25">
      <c r="A923" s="82"/>
      <c r="B923" s="81"/>
      <c r="C923" s="81"/>
      <c r="D923" s="122"/>
      <c r="E923" s="114"/>
    </row>
    <row r="924" spans="1:5" x14ac:dyDescent="0.25">
      <c r="A924" s="82"/>
      <c r="B924" s="81"/>
      <c r="C924" s="81"/>
      <c r="D924" s="122"/>
      <c r="E924" s="114"/>
    </row>
    <row r="925" spans="1:5" x14ac:dyDescent="0.25">
      <c r="A925" s="82"/>
      <c r="B925" s="81"/>
      <c r="C925" s="81"/>
      <c r="D925" s="122"/>
      <c r="E925" s="114"/>
    </row>
    <row r="926" spans="1:5" x14ac:dyDescent="0.25">
      <c r="A926" s="82"/>
      <c r="B926" s="81"/>
      <c r="C926" s="81"/>
      <c r="D926" s="122"/>
      <c r="E926" s="114"/>
    </row>
    <row r="927" spans="1:5" x14ac:dyDescent="0.25">
      <c r="A927" s="82"/>
      <c r="B927" s="81"/>
      <c r="C927" s="81"/>
      <c r="D927" s="122"/>
      <c r="E927" s="114"/>
    </row>
    <row r="928" spans="1:5" x14ac:dyDescent="0.25">
      <c r="A928" s="82"/>
      <c r="B928" s="81"/>
      <c r="C928" s="81"/>
      <c r="D928" s="122"/>
      <c r="E928" s="114"/>
    </row>
    <row r="929" spans="1:5" x14ac:dyDescent="0.25">
      <c r="A929" s="82"/>
      <c r="B929" s="81"/>
      <c r="C929" s="81"/>
      <c r="D929" s="122"/>
      <c r="E929" s="114"/>
    </row>
    <row r="930" spans="1:5" x14ac:dyDescent="0.25">
      <c r="A930" s="82"/>
      <c r="B930" s="81"/>
      <c r="C930" s="81"/>
      <c r="D930" s="122"/>
      <c r="E930" s="114"/>
    </row>
    <row r="931" spans="1:5" x14ac:dyDescent="0.25">
      <c r="A931" s="82"/>
      <c r="B931" s="81"/>
      <c r="C931" s="81"/>
      <c r="D931" s="122"/>
      <c r="E931" s="114"/>
    </row>
    <row r="932" spans="1:5" x14ac:dyDescent="0.25">
      <c r="A932" s="82"/>
      <c r="B932" s="81"/>
      <c r="C932" s="81"/>
      <c r="D932" s="122"/>
      <c r="E932" s="114"/>
    </row>
    <row r="933" spans="1:5" x14ac:dyDescent="0.25">
      <c r="A933" s="82"/>
      <c r="B933" s="81"/>
      <c r="C933" s="81"/>
      <c r="D933" s="122"/>
      <c r="E933" s="114"/>
    </row>
    <row r="934" spans="1:5" x14ac:dyDescent="0.25">
      <c r="A934" s="82"/>
      <c r="B934" s="81"/>
      <c r="C934" s="81"/>
      <c r="D934" s="122"/>
      <c r="E934" s="114"/>
    </row>
    <row r="935" spans="1:5" x14ac:dyDescent="0.25">
      <c r="A935" s="82"/>
      <c r="B935" s="81"/>
      <c r="C935" s="81"/>
      <c r="D935" s="122"/>
      <c r="E935" s="114"/>
    </row>
    <row r="936" spans="1:5" x14ac:dyDescent="0.25">
      <c r="A936" s="82"/>
      <c r="B936" s="81"/>
      <c r="C936" s="81"/>
      <c r="D936" s="122"/>
      <c r="E936" s="114"/>
    </row>
    <row r="937" spans="1:5" x14ac:dyDescent="0.25">
      <c r="A937" s="82"/>
      <c r="B937" s="81"/>
      <c r="C937" s="81"/>
      <c r="D937" s="122"/>
      <c r="E937" s="114"/>
    </row>
    <row r="938" spans="1:5" x14ac:dyDescent="0.25">
      <c r="A938" s="82"/>
      <c r="B938" s="81"/>
      <c r="C938" s="81"/>
      <c r="D938" s="122"/>
      <c r="E938" s="114"/>
    </row>
    <row r="939" spans="1:5" x14ac:dyDescent="0.25">
      <c r="A939" s="82"/>
      <c r="B939" s="81"/>
      <c r="C939" s="81"/>
      <c r="D939" s="122"/>
      <c r="E939" s="114"/>
    </row>
    <row r="940" spans="1:5" x14ac:dyDescent="0.25">
      <c r="A940" s="82"/>
      <c r="B940" s="81"/>
      <c r="C940" s="81"/>
      <c r="D940" s="122"/>
      <c r="E940" s="114"/>
    </row>
    <row r="941" spans="1:5" x14ac:dyDescent="0.25">
      <c r="A941" s="82"/>
      <c r="B941" s="81"/>
      <c r="C941" s="81"/>
      <c r="D941" s="122"/>
      <c r="E941" s="114"/>
    </row>
    <row r="942" spans="1:5" x14ac:dyDescent="0.25">
      <c r="A942" s="82"/>
      <c r="B942" s="81"/>
      <c r="C942" s="81"/>
      <c r="D942" s="122"/>
      <c r="E942" s="114"/>
    </row>
    <row r="943" spans="1:5" x14ac:dyDescent="0.25">
      <c r="A943" s="82"/>
      <c r="B943" s="81"/>
      <c r="C943" s="81"/>
      <c r="D943" s="122"/>
      <c r="E943" s="114"/>
    </row>
    <row r="944" spans="1:5" x14ac:dyDescent="0.25">
      <c r="A944" s="82"/>
      <c r="B944" s="81"/>
      <c r="C944" s="81"/>
      <c r="D944" s="122"/>
      <c r="E944" s="114"/>
    </row>
    <row r="945" spans="1:5" x14ac:dyDescent="0.25">
      <c r="A945" s="82"/>
      <c r="B945" s="81"/>
      <c r="C945" s="81"/>
      <c r="D945" s="122"/>
      <c r="E945" s="114"/>
    </row>
    <row r="946" spans="1:5" x14ac:dyDescent="0.25">
      <c r="A946" s="82"/>
      <c r="B946" s="81"/>
      <c r="C946" s="81"/>
      <c r="D946" s="122"/>
      <c r="E946" s="114"/>
    </row>
    <row r="947" spans="1:5" x14ac:dyDescent="0.25">
      <c r="A947" s="82"/>
      <c r="B947" s="81"/>
      <c r="C947" s="81"/>
      <c r="D947" s="122"/>
      <c r="E947" s="114"/>
    </row>
    <row r="948" spans="1:5" x14ac:dyDescent="0.25">
      <c r="A948" s="82"/>
      <c r="B948" s="81"/>
      <c r="C948" s="81"/>
      <c r="D948" s="122"/>
      <c r="E948" s="114"/>
    </row>
    <row r="949" spans="1:5" x14ac:dyDescent="0.25">
      <c r="A949" s="82"/>
      <c r="B949" s="81"/>
      <c r="C949" s="81"/>
      <c r="D949" s="122"/>
      <c r="E949" s="114"/>
    </row>
    <row r="950" spans="1:5" x14ac:dyDescent="0.25">
      <c r="A950" s="82"/>
      <c r="B950" s="81"/>
      <c r="C950" s="81"/>
      <c r="D950" s="122"/>
      <c r="E950" s="114"/>
    </row>
    <row r="951" spans="1:5" x14ac:dyDescent="0.25">
      <c r="A951" s="82"/>
      <c r="B951" s="81"/>
      <c r="C951" s="81"/>
      <c r="D951" s="122"/>
      <c r="E951" s="114"/>
    </row>
    <row r="952" spans="1:5" x14ac:dyDescent="0.25">
      <c r="A952" s="82"/>
      <c r="B952" s="81"/>
      <c r="C952" s="81"/>
      <c r="D952" s="122"/>
      <c r="E952" s="114"/>
    </row>
    <row r="953" spans="1:5" x14ac:dyDescent="0.25">
      <c r="A953" s="82"/>
      <c r="B953" s="81"/>
      <c r="C953" s="81"/>
      <c r="D953" s="122"/>
      <c r="E953" s="114"/>
    </row>
    <row r="954" spans="1:5" x14ac:dyDescent="0.25">
      <c r="A954" s="82"/>
      <c r="B954" s="81"/>
      <c r="C954" s="81"/>
      <c r="D954" s="122"/>
      <c r="E954" s="114"/>
    </row>
    <row r="955" spans="1:5" x14ac:dyDescent="0.25">
      <c r="A955" s="82"/>
      <c r="B955" s="81"/>
      <c r="C955" s="81"/>
      <c r="D955" s="122"/>
      <c r="E955" s="114"/>
    </row>
    <row r="956" spans="1:5" x14ac:dyDescent="0.25">
      <c r="A956" s="82"/>
      <c r="B956" s="81"/>
      <c r="C956" s="81"/>
      <c r="D956" s="122"/>
      <c r="E956" s="114"/>
    </row>
    <row r="957" spans="1:5" x14ac:dyDescent="0.25">
      <c r="A957" s="82"/>
      <c r="B957" s="81"/>
      <c r="C957" s="81"/>
      <c r="D957" s="122"/>
      <c r="E957" s="114"/>
    </row>
    <row r="958" spans="1:5" x14ac:dyDescent="0.25">
      <c r="A958" s="82"/>
      <c r="B958" s="81"/>
      <c r="C958" s="81"/>
      <c r="D958" s="122"/>
      <c r="E958" s="114"/>
    </row>
    <row r="959" spans="1:5" x14ac:dyDescent="0.25">
      <c r="A959" s="82"/>
      <c r="B959" s="81"/>
      <c r="C959" s="81"/>
      <c r="D959" s="122"/>
      <c r="E959" s="114"/>
    </row>
    <row r="960" spans="1:5" x14ac:dyDescent="0.25">
      <c r="A960" s="82"/>
      <c r="B960" s="81"/>
      <c r="C960" s="81"/>
      <c r="D960" s="122"/>
      <c r="E960" s="114"/>
    </row>
    <row r="961" spans="1:5" x14ac:dyDescent="0.25">
      <c r="A961" s="82"/>
      <c r="B961" s="81"/>
      <c r="C961" s="81"/>
      <c r="D961" s="122"/>
      <c r="E961" s="114"/>
    </row>
    <row r="962" spans="1:5" x14ac:dyDescent="0.25">
      <c r="A962" s="82"/>
      <c r="B962" s="81"/>
      <c r="C962" s="81"/>
      <c r="D962" s="122"/>
      <c r="E962" s="114"/>
    </row>
    <row r="963" spans="1:5" x14ac:dyDescent="0.25">
      <c r="A963" s="82"/>
      <c r="B963" s="81"/>
      <c r="C963" s="81"/>
      <c r="D963" s="122"/>
      <c r="E963" s="114"/>
    </row>
    <row r="964" spans="1:5" x14ac:dyDescent="0.25">
      <c r="A964" s="82"/>
      <c r="B964" s="81"/>
      <c r="C964" s="81"/>
      <c r="D964" s="122"/>
      <c r="E964" s="114"/>
    </row>
    <row r="965" spans="1:5" x14ac:dyDescent="0.25">
      <c r="A965" s="82"/>
      <c r="B965" s="81"/>
      <c r="C965" s="81"/>
      <c r="D965" s="122"/>
      <c r="E965" s="114"/>
    </row>
    <row r="966" spans="1:5" x14ac:dyDescent="0.25">
      <c r="A966" s="82"/>
      <c r="B966" s="81"/>
      <c r="C966" s="81"/>
      <c r="D966" s="122"/>
      <c r="E966" s="114"/>
    </row>
    <row r="967" spans="1:5" x14ac:dyDescent="0.25">
      <c r="A967" s="82"/>
      <c r="B967" s="81"/>
      <c r="C967" s="81"/>
      <c r="D967" s="122"/>
      <c r="E967" s="114"/>
    </row>
    <row r="968" spans="1:5" x14ac:dyDescent="0.25">
      <c r="A968" s="82"/>
      <c r="B968" s="81"/>
      <c r="C968" s="81"/>
      <c r="D968" s="122"/>
      <c r="E968" s="114"/>
    </row>
    <row r="969" spans="1:5" x14ac:dyDescent="0.25">
      <c r="A969" s="82"/>
      <c r="B969" s="81"/>
      <c r="C969" s="81"/>
      <c r="D969" s="122"/>
      <c r="E969" s="114"/>
    </row>
    <row r="970" spans="1:5" x14ac:dyDescent="0.25">
      <c r="A970" s="82"/>
      <c r="B970" s="81"/>
      <c r="C970" s="81"/>
      <c r="D970" s="122"/>
      <c r="E970" s="114"/>
    </row>
    <row r="971" spans="1:5" x14ac:dyDescent="0.25">
      <c r="A971" s="82"/>
      <c r="B971" s="81"/>
      <c r="C971" s="81"/>
      <c r="D971" s="122"/>
      <c r="E971" s="114"/>
    </row>
    <row r="972" spans="1:5" x14ac:dyDescent="0.25">
      <c r="A972" s="82"/>
      <c r="B972" s="81"/>
      <c r="C972" s="81"/>
      <c r="D972" s="122"/>
      <c r="E972" s="114"/>
    </row>
    <row r="973" spans="1:5" x14ac:dyDescent="0.25">
      <c r="A973" s="82"/>
      <c r="B973" s="81"/>
      <c r="C973" s="81"/>
      <c r="D973" s="122"/>
      <c r="E973" s="114"/>
    </row>
    <row r="974" spans="1:5" x14ac:dyDescent="0.25">
      <c r="A974" s="82"/>
      <c r="B974" s="81"/>
      <c r="C974" s="81"/>
      <c r="D974" s="122"/>
      <c r="E974" s="114"/>
    </row>
    <row r="975" spans="1:5" x14ac:dyDescent="0.25">
      <c r="A975" s="82"/>
      <c r="B975" s="81"/>
      <c r="C975" s="81"/>
      <c r="D975" s="122"/>
      <c r="E975" s="114"/>
    </row>
    <row r="976" spans="1:5" x14ac:dyDescent="0.25">
      <c r="A976" s="82"/>
      <c r="B976" s="81"/>
      <c r="C976" s="81"/>
      <c r="D976" s="122"/>
      <c r="E976" s="114"/>
    </row>
    <row r="977" spans="1:5" x14ac:dyDescent="0.25">
      <c r="A977" s="82"/>
      <c r="B977" s="81"/>
      <c r="C977" s="81"/>
      <c r="D977" s="122"/>
      <c r="E977" s="114"/>
    </row>
    <row r="978" spans="1:5" x14ac:dyDescent="0.25">
      <c r="A978" s="82"/>
      <c r="B978" s="81"/>
      <c r="C978" s="81"/>
      <c r="D978" s="122"/>
      <c r="E978" s="114"/>
    </row>
    <row r="979" spans="1:5" x14ac:dyDescent="0.25">
      <c r="A979" s="82"/>
      <c r="B979" s="81"/>
      <c r="C979" s="81"/>
      <c r="D979" s="122"/>
      <c r="E979" s="114"/>
    </row>
    <row r="980" spans="1:5" x14ac:dyDescent="0.25">
      <c r="A980" s="82"/>
      <c r="B980" s="81"/>
      <c r="C980" s="81"/>
      <c r="D980" s="122"/>
      <c r="E980" s="114"/>
    </row>
    <row r="981" spans="1:5" x14ac:dyDescent="0.25">
      <c r="A981" s="82"/>
      <c r="B981" s="81"/>
      <c r="C981" s="81"/>
      <c r="D981" s="122"/>
      <c r="E981" s="114"/>
    </row>
    <row r="982" spans="1:5" x14ac:dyDescent="0.25">
      <c r="A982" s="82"/>
      <c r="B982" s="81"/>
      <c r="C982" s="81"/>
      <c r="D982" s="122"/>
      <c r="E982" s="114"/>
    </row>
    <row r="983" spans="1:5" x14ac:dyDescent="0.25">
      <c r="A983" s="82"/>
      <c r="B983" s="81"/>
      <c r="C983" s="81"/>
      <c r="D983" s="122"/>
      <c r="E983" s="114"/>
    </row>
    <row r="984" spans="1:5" x14ac:dyDescent="0.25">
      <c r="A984" s="82"/>
      <c r="B984" s="81"/>
      <c r="C984" s="81"/>
      <c r="D984" s="122"/>
      <c r="E984" s="114"/>
    </row>
    <row r="985" spans="1:5" x14ac:dyDescent="0.25">
      <c r="A985" s="82"/>
      <c r="B985" s="81"/>
      <c r="C985" s="81"/>
      <c r="D985" s="122"/>
      <c r="E985" s="114"/>
    </row>
    <row r="986" spans="1:5" x14ac:dyDescent="0.25">
      <c r="A986" s="82"/>
      <c r="B986" s="81"/>
      <c r="C986" s="81"/>
      <c r="D986" s="122"/>
      <c r="E986" s="114"/>
    </row>
    <row r="987" spans="1:5" x14ac:dyDescent="0.25">
      <c r="A987" s="82"/>
      <c r="B987" s="81"/>
      <c r="C987" s="81"/>
      <c r="D987" s="122"/>
      <c r="E987" s="114"/>
    </row>
    <row r="988" spans="1:5" x14ac:dyDescent="0.25">
      <c r="A988" s="82"/>
      <c r="B988" s="81"/>
      <c r="C988" s="81"/>
      <c r="D988" s="122"/>
      <c r="E988" s="114"/>
    </row>
    <row r="989" spans="1:5" x14ac:dyDescent="0.25">
      <c r="A989" s="82"/>
      <c r="B989" s="81"/>
      <c r="C989" s="81"/>
      <c r="D989" s="122"/>
      <c r="E989" s="114"/>
    </row>
    <row r="990" spans="1:5" x14ac:dyDescent="0.25">
      <c r="A990" s="82"/>
      <c r="B990" s="81"/>
      <c r="C990" s="81"/>
      <c r="D990" s="122"/>
      <c r="E990" s="114"/>
    </row>
    <row r="991" spans="1:5" x14ac:dyDescent="0.25">
      <c r="A991" s="82"/>
      <c r="B991" s="81"/>
      <c r="C991" s="81"/>
      <c r="D991" s="122"/>
      <c r="E991" s="114"/>
    </row>
    <row r="992" spans="1:5" x14ac:dyDescent="0.25">
      <c r="A992" s="82"/>
      <c r="B992" s="81"/>
      <c r="C992" s="81"/>
      <c r="D992" s="122"/>
      <c r="E992" s="114"/>
    </row>
    <row r="993" spans="1:5" x14ac:dyDescent="0.25">
      <c r="A993" s="82"/>
      <c r="B993" s="81"/>
      <c r="C993" s="81"/>
      <c r="D993" s="122"/>
      <c r="E993" s="114"/>
    </row>
    <row r="994" spans="1:5" x14ac:dyDescent="0.25">
      <c r="A994" s="82"/>
      <c r="B994" s="81"/>
      <c r="C994" s="81"/>
      <c r="D994" s="122"/>
      <c r="E994" s="114"/>
    </row>
    <row r="995" spans="1:5" x14ac:dyDescent="0.25">
      <c r="A995" s="82"/>
      <c r="B995" s="81"/>
      <c r="C995" s="81"/>
      <c r="D995" s="122"/>
      <c r="E995" s="114"/>
    </row>
    <row r="996" spans="1:5" x14ac:dyDescent="0.25">
      <c r="A996" s="82"/>
      <c r="B996" s="81"/>
      <c r="C996" s="81"/>
      <c r="D996" s="122"/>
      <c r="E996" s="114"/>
    </row>
    <row r="997" spans="1:5" x14ac:dyDescent="0.25">
      <c r="A997" s="82"/>
      <c r="B997" s="81"/>
      <c r="C997" s="81"/>
      <c r="D997" s="122"/>
      <c r="E997" s="114"/>
    </row>
    <row r="998" spans="1:5" x14ac:dyDescent="0.25">
      <c r="A998" s="82"/>
      <c r="B998" s="81"/>
      <c r="C998" s="81"/>
      <c r="D998" s="122"/>
      <c r="E998" s="114"/>
    </row>
    <row r="999" spans="1:5" x14ac:dyDescent="0.25">
      <c r="A999" s="82"/>
      <c r="B999" s="81"/>
      <c r="C999" s="81"/>
      <c r="D999" s="122"/>
      <c r="E999" s="114"/>
    </row>
    <row r="1000" spans="1:5" x14ac:dyDescent="0.25">
      <c r="A1000" s="82"/>
      <c r="B1000" s="81"/>
      <c r="C1000" s="81"/>
      <c r="D1000" s="122"/>
      <c r="E1000" s="114"/>
    </row>
    <row r="1001" spans="1:5" x14ac:dyDescent="0.25">
      <c r="A1001" s="82"/>
      <c r="B1001" s="81"/>
      <c r="C1001" s="81"/>
      <c r="D1001" s="122"/>
      <c r="E1001" s="114"/>
    </row>
    <row r="1002" spans="1:5" x14ac:dyDescent="0.25">
      <c r="A1002" s="82"/>
      <c r="B1002" s="81"/>
      <c r="C1002" s="81"/>
      <c r="D1002" s="122"/>
      <c r="E1002" s="114"/>
    </row>
    <row r="1003" spans="1:5" x14ac:dyDescent="0.25">
      <c r="A1003" s="82"/>
      <c r="B1003" s="81"/>
      <c r="C1003" s="81"/>
      <c r="D1003" s="122"/>
      <c r="E1003" s="114"/>
    </row>
    <row r="1004" spans="1:5" x14ac:dyDescent="0.25">
      <c r="A1004" s="82"/>
      <c r="B1004" s="81"/>
      <c r="C1004" s="81"/>
      <c r="D1004" s="122"/>
      <c r="E1004" s="114"/>
    </row>
    <row r="1005" spans="1:5" x14ac:dyDescent="0.25">
      <c r="A1005" s="82"/>
      <c r="B1005" s="81"/>
      <c r="C1005" s="81"/>
      <c r="D1005" s="122"/>
      <c r="E1005" s="114"/>
    </row>
    <row r="1006" spans="1:5" x14ac:dyDescent="0.25">
      <c r="A1006" s="82"/>
      <c r="B1006" s="81"/>
      <c r="C1006" s="81"/>
      <c r="D1006" s="122"/>
      <c r="E1006" s="114"/>
    </row>
    <row r="1007" spans="1:5" x14ac:dyDescent="0.25">
      <c r="A1007" s="82"/>
      <c r="B1007" s="81"/>
      <c r="C1007" s="81"/>
      <c r="D1007" s="122"/>
      <c r="E1007" s="114"/>
    </row>
    <row r="1008" spans="1:5" x14ac:dyDescent="0.25">
      <c r="A1008" s="82"/>
      <c r="B1008" s="81"/>
      <c r="C1008" s="81"/>
      <c r="D1008" s="122"/>
      <c r="E1008" s="114"/>
    </row>
    <row r="1009" spans="1:5" x14ac:dyDescent="0.25">
      <c r="A1009" s="82"/>
      <c r="B1009" s="81"/>
      <c r="C1009" s="81"/>
      <c r="D1009" s="122"/>
      <c r="E1009" s="114"/>
    </row>
    <row r="1010" spans="1:5" x14ac:dyDescent="0.25">
      <c r="A1010" s="82"/>
      <c r="B1010" s="81"/>
      <c r="C1010" s="81"/>
      <c r="D1010" s="122"/>
      <c r="E1010" s="114"/>
    </row>
    <row r="1011" spans="1:5" x14ac:dyDescent="0.25">
      <c r="A1011" s="82"/>
      <c r="B1011" s="81"/>
      <c r="C1011" s="81"/>
      <c r="D1011" s="122"/>
      <c r="E1011" s="114"/>
    </row>
    <row r="1012" spans="1:5" x14ac:dyDescent="0.25">
      <c r="A1012" s="82"/>
      <c r="B1012" s="81"/>
      <c r="C1012" s="81"/>
      <c r="D1012" s="122"/>
      <c r="E1012" s="114"/>
    </row>
    <row r="1013" spans="1:5" x14ac:dyDescent="0.25">
      <c r="A1013" s="82"/>
      <c r="B1013" s="81"/>
      <c r="C1013" s="81"/>
      <c r="D1013" s="122"/>
      <c r="E1013" s="114"/>
    </row>
    <row r="1014" spans="1:5" x14ac:dyDescent="0.25">
      <c r="A1014" s="82"/>
      <c r="B1014" s="81"/>
      <c r="C1014" s="81"/>
      <c r="D1014" s="122"/>
      <c r="E1014" s="114"/>
    </row>
    <row r="1015" spans="1:5" x14ac:dyDescent="0.25">
      <c r="A1015" s="82"/>
      <c r="B1015" s="81"/>
      <c r="C1015" s="81"/>
      <c r="D1015" s="122"/>
      <c r="E1015" s="114"/>
    </row>
    <row r="1016" spans="1:5" x14ac:dyDescent="0.25">
      <c r="A1016" s="82"/>
      <c r="B1016" s="81"/>
      <c r="C1016" s="81"/>
      <c r="D1016" s="122"/>
      <c r="E1016" s="114"/>
    </row>
    <row r="1017" spans="1:5" x14ac:dyDescent="0.25">
      <c r="A1017" s="82"/>
      <c r="B1017" s="81"/>
      <c r="C1017" s="81"/>
      <c r="D1017" s="122"/>
      <c r="E1017" s="114"/>
    </row>
    <row r="1018" spans="1:5" x14ac:dyDescent="0.25">
      <c r="A1018" s="82"/>
      <c r="B1018" s="81"/>
      <c r="C1018" s="81"/>
      <c r="D1018" s="122"/>
      <c r="E1018" s="114"/>
    </row>
    <row r="1019" spans="1:5" x14ac:dyDescent="0.25">
      <c r="A1019" s="82"/>
      <c r="B1019" s="81"/>
      <c r="C1019" s="81"/>
      <c r="D1019" s="122"/>
      <c r="E1019" s="114"/>
    </row>
    <row r="1020" spans="1:5" x14ac:dyDescent="0.25">
      <c r="A1020" s="82"/>
      <c r="B1020" s="81"/>
      <c r="C1020" s="81"/>
      <c r="D1020" s="122"/>
      <c r="E1020" s="114"/>
    </row>
    <row r="1021" spans="1:5" x14ac:dyDescent="0.25">
      <c r="A1021" s="82"/>
      <c r="B1021" s="81"/>
      <c r="C1021" s="81"/>
      <c r="D1021" s="122"/>
      <c r="E1021" s="114"/>
    </row>
    <row r="1022" spans="1:5" x14ac:dyDescent="0.25">
      <c r="A1022" s="82"/>
      <c r="B1022" s="81"/>
      <c r="C1022" s="81"/>
      <c r="D1022" s="122"/>
      <c r="E1022" s="114"/>
    </row>
    <row r="1023" spans="1:5" x14ac:dyDescent="0.25">
      <c r="A1023" s="82"/>
      <c r="B1023" s="81"/>
      <c r="C1023" s="81"/>
      <c r="D1023" s="122"/>
      <c r="E1023" s="114"/>
    </row>
    <row r="1024" spans="1:5" x14ac:dyDescent="0.25">
      <c r="A1024" s="82"/>
      <c r="B1024" s="81"/>
      <c r="C1024" s="81"/>
      <c r="D1024" s="122"/>
      <c r="E1024" s="114"/>
    </row>
    <row r="1025" spans="1:5" x14ac:dyDescent="0.25">
      <c r="A1025" s="82"/>
      <c r="B1025" s="81"/>
      <c r="C1025" s="81"/>
      <c r="D1025" s="122"/>
      <c r="E1025" s="114"/>
    </row>
    <row r="1026" spans="1:5" x14ac:dyDescent="0.25">
      <c r="A1026" s="82"/>
      <c r="B1026" s="81"/>
      <c r="C1026" s="81"/>
      <c r="D1026" s="122"/>
      <c r="E1026" s="114"/>
    </row>
    <row r="1027" spans="1:5" x14ac:dyDescent="0.25">
      <c r="A1027" s="82"/>
      <c r="B1027" s="81"/>
      <c r="C1027" s="81"/>
      <c r="D1027" s="122"/>
      <c r="E1027" s="114"/>
    </row>
    <row r="1028" spans="1:5" x14ac:dyDescent="0.25">
      <c r="A1028" s="82"/>
      <c r="B1028" s="81"/>
      <c r="C1028" s="81"/>
      <c r="D1028" s="122"/>
      <c r="E1028" s="114"/>
    </row>
    <row r="1029" spans="1:5" x14ac:dyDescent="0.25">
      <c r="A1029" s="82"/>
      <c r="B1029" s="81"/>
      <c r="C1029" s="81"/>
      <c r="D1029" s="122"/>
      <c r="E1029" s="114"/>
    </row>
    <row r="1030" spans="1:5" x14ac:dyDescent="0.25">
      <c r="A1030" s="82"/>
      <c r="B1030" s="81"/>
      <c r="C1030" s="81"/>
      <c r="D1030" s="122"/>
      <c r="E1030" s="114"/>
    </row>
    <row r="1031" spans="1:5" x14ac:dyDescent="0.25">
      <c r="A1031" s="82"/>
      <c r="B1031" s="81"/>
      <c r="C1031" s="81"/>
      <c r="D1031" s="122"/>
      <c r="E1031" s="114"/>
    </row>
    <row r="1032" spans="1:5" x14ac:dyDescent="0.25">
      <c r="A1032" s="82"/>
      <c r="B1032" s="81"/>
      <c r="C1032" s="81"/>
      <c r="D1032" s="122"/>
      <c r="E1032" s="114"/>
    </row>
    <row r="1033" spans="1:5" x14ac:dyDescent="0.25">
      <c r="A1033" s="82"/>
      <c r="B1033" s="81"/>
      <c r="C1033" s="81"/>
      <c r="D1033" s="122"/>
      <c r="E1033" s="114"/>
    </row>
    <row r="1034" spans="1:5" x14ac:dyDescent="0.25">
      <c r="A1034" s="82"/>
      <c r="B1034" s="81"/>
      <c r="C1034" s="81"/>
      <c r="D1034" s="122"/>
      <c r="E1034" s="114"/>
    </row>
    <row r="1035" spans="1:5" x14ac:dyDescent="0.25">
      <c r="A1035" s="82"/>
      <c r="B1035" s="81"/>
      <c r="C1035" s="81"/>
      <c r="D1035" s="122"/>
      <c r="E1035" s="114"/>
    </row>
    <row r="1036" spans="1:5" x14ac:dyDescent="0.25">
      <c r="A1036" s="82"/>
      <c r="B1036" s="81"/>
      <c r="C1036" s="81"/>
      <c r="D1036" s="122"/>
      <c r="E1036" s="114"/>
    </row>
    <row r="1037" spans="1:5" x14ac:dyDescent="0.25">
      <c r="A1037" s="82"/>
      <c r="B1037" s="81"/>
      <c r="C1037" s="81"/>
      <c r="D1037" s="122"/>
      <c r="E1037" s="114"/>
    </row>
    <row r="1038" spans="1:5" x14ac:dyDescent="0.25">
      <c r="A1038" s="82"/>
      <c r="B1038" s="81"/>
      <c r="C1038" s="81"/>
      <c r="D1038" s="122"/>
      <c r="E1038" s="114"/>
    </row>
    <row r="1039" spans="1:5" x14ac:dyDescent="0.25">
      <c r="A1039" s="82"/>
      <c r="B1039" s="81"/>
      <c r="C1039" s="81"/>
      <c r="D1039" s="122"/>
      <c r="E1039" s="114"/>
    </row>
    <row r="1040" spans="1:5" x14ac:dyDescent="0.25">
      <c r="A1040" s="82"/>
      <c r="B1040" s="81"/>
      <c r="C1040" s="81"/>
      <c r="D1040" s="122"/>
      <c r="E1040" s="114"/>
    </row>
    <row r="1041" spans="1:5" x14ac:dyDescent="0.25">
      <c r="A1041" s="82"/>
      <c r="B1041" s="81"/>
      <c r="C1041" s="81"/>
      <c r="D1041" s="122"/>
      <c r="E1041" s="114"/>
    </row>
    <row r="1042" spans="1:5" x14ac:dyDescent="0.25">
      <c r="A1042" s="82"/>
      <c r="B1042" s="81"/>
      <c r="C1042" s="81"/>
      <c r="D1042" s="122"/>
      <c r="E1042" s="114"/>
    </row>
    <row r="1043" spans="1:5" x14ac:dyDescent="0.25">
      <c r="A1043" s="82"/>
      <c r="B1043" s="81"/>
      <c r="C1043" s="81"/>
      <c r="D1043" s="122"/>
      <c r="E1043" s="114"/>
    </row>
    <row r="1044" spans="1:5" x14ac:dyDescent="0.25">
      <c r="A1044" s="82"/>
      <c r="B1044" s="81"/>
      <c r="C1044" s="81"/>
      <c r="D1044" s="122"/>
      <c r="E1044" s="114"/>
    </row>
    <row r="1045" spans="1:5" x14ac:dyDescent="0.25">
      <c r="A1045" s="82"/>
      <c r="B1045" s="81"/>
      <c r="C1045" s="81"/>
      <c r="D1045" s="122"/>
      <c r="E1045" s="114"/>
    </row>
    <row r="1046" spans="1:5" x14ac:dyDescent="0.25">
      <c r="A1046" s="82"/>
      <c r="B1046" s="81"/>
      <c r="C1046" s="81"/>
      <c r="D1046" s="122"/>
      <c r="E1046" s="114"/>
    </row>
    <row r="1047" spans="1:5" x14ac:dyDescent="0.25">
      <c r="A1047" s="82"/>
      <c r="B1047" s="81"/>
      <c r="C1047" s="81"/>
      <c r="D1047" s="122"/>
      <c r="E1047" s="114"/>
    </row>
    <row r="1048" spans="1:5" x14ac:dyDescent="0.25">
      <c r="A1048" s="82"/>
      <c r="B1048" s="81"/>
      <c r="C1048" s="81"/>
      <c r="D1048" s="122"/>
      <c r="E1048" s="114"/>
    </row>
    <row r="1049" spans="1:5" x14ac:dyDescent="0.25">
      <c r="A1049" s="82"/>
      <c r="B1049" s="81"/>
      <c r="C1049" s="81"/>
      <c r="D1049" s="122"/>
      <c r="E1049" s="114"/>
    </row>
    <row r="1050" spans="1:5" x14ac:dyDescent="0.25">
      <c r="A1050" s="82"/>
      <c r="B1050" s="81"/>
      <c r="C1050" s="81"/>
      <c r="D1050" s="122"/>
      <c r="E1050" s="114"/>
    </row>
    <row r="1051" spans="1:5" x14ac:dyDescent="0.25">
      <c r="A1051" s="82"/>
      <c r="B1051" s="81"/>
      <c r="C1051" s="81"/>
      <c r="D1051" s="122"/>
      <c r="E1051" s="114"/>
    </row>
    <row r="1052" spans="1:5" x14ac:dyDescent="0.25">
      <c r="A1052" s="82"/>
      <c r="B1052" s="81"/>
      <c r="C1052" s="81"/>
      <c r="D1052" s="122"/>
      <c r="E1052" s="114"/>
    </row>
    <row r="1053" spans="1:5" x14ac:dyDescent="0.25">
      <c r="A1053" s="82"/>
      <c r="B1053" s="81"/>
      <c r="C1053" s="81"/>
      <c r="D1053" s="122"/>
      <c r="E1053" s="114"/>
    </row>
    <row r="1054" spans="1:5" x14ac:dyDescent="0.25">
      <c r="A1054" s="82"/>
      <c r="B1054" s="81"/>
      <c r="C1054" s="81"/>
      <c r="D1054" s="122"/>
      <c r="E1054" s="114"/>
    </row>
    <row r="1055" spans="1:5" x14ac:dyDescent="0.25">
      <c r="A1055" s="82"/>
      <c r="B1055" s="81"/>
      <c r="C1055" s="81"/>
      <c r="D1055" s="122"/>
      <c r="E1055" s="114"/>
    </row>
    <row r="1056" spans="1:5" x14ac:dyDescent="0.25">
      <c r="A1056" s="82"/>
      <c r="B1056" s="81"/>
      <c r="C1056" s="81"/>
      <c r="D1056" s="122"/>
      <c r="E1056" s="114"/>
    </row>
    <row r="1057" spans="1:5" x14ac:dyDescent="0.25">
      <c r="A1057" s="82"/>
      <c r="B1057" s="81"/>
      <c r="C1057" s="81"/>
      <c r="D1057" s="122"/>
      <c r="E1057" s="114"/>
    </row>
    <row r="1058" spans="1:5" x14ac:dyDescent="0.25">
      <c r="A1058" s="82"/>
      <c r="B1058" s="81"/>
      <c r="C1058" s="81"/>
      <c r="D1058" s="122"/>
      <c r="E1058" s="114"/>
    </row>
    <row r="1059" spans="1:5" x14ac:dyDescent="0.25">
      <c r="A1059" s="82"/>
      <c r="B1059" s="81"/>
      <c r="C1059" s="81"/>
      <c r="D1059" s="122"/>
      <c r="E1059" s="114"/>
    </row>
    <row r="1060" spans="1:5" x14ac:dyDescent="0.25">
      <c r="A1060" s="82"/>
      <c r="B1060" s="81"/>
      <c r="C1060" s="81"/>
      <c r="D1060" s="122"/>
      <c r="E1060" s="114"/>
    </row>
    <row r="1061" spans="1:5" x14ac:dyDescent="0.25">
      <c r="A1061" s="82"/>
      <c r="B1061" s="81"/>
      <c r="C1061" s="81"/>
      <c r="D1061" s="122"/>
      <c r="E1061" s="114"/>
    </row>
    <row r="1062" spans="1:5" x14ac:dyDescent="0.25">
      <c r="A1062" s="82"/>
      <c r="B1062" s="81"/>
      <c r="C1062" s="81"/>
      <c r="D1062" s="122"/>
      <c r="E1062" s="114"/>
    </row>
    <row r="1063" spans="1:5" x14ac:dyDescent="0.25">
      <c r="A1063" s="82"/>
      <c r="B1063" s="81"/>
      <c r="C1063" s="81"/>
      <c r="D1063" s="122"/>
      <c r="E1063" s="114"/>
    </row>
    <row r="1064" spans="1:5" x14ac:dyDescent="0.25">
      <c r="A1064" s="82"/>
      <c r="B1064" s="81"/>
      <c r="C1064" s="81"/>
      <c r="D1064" s="122"/>
      <c r="E1064" s="114"/>
    </row>
    <row r="1065" spans="1:5" x14ac:dyDescent="0.25">
      <c r="A1065" s="82"/>
      <c r="B1065" s="81"/>
      <c r="C1065" s="81"/>
      <c r="D1065" s="122"/>
      <c r="E1065" s="114"/>
    </row>
    <row r="1066" spans="1:5" x14ac:dyDescent="0.25">
      <c r="A1066" s="82"/>
      <c r="B1066" s="81"/>
      <c r="C1066" s="81"/>
      <c r="D1066" s="122"/>
      <c r="E1066" s="114"/>
    </row>
    <row r="1067" spans="1:5" x14ac:dyDescent="0.25">
      <c r="A1067" s="82"/>
      <c r="B1067" s="81"/>
      <c r="C1067" s="81"/>
      <c r="D1067" s="122"/>
      <c r="E1067" s="114"/>
    </row>
    <row r="1068" spans="1:5" x14ac:dyDescent="0.25">
      <c r="A1068" s="82"/>
      <c r="B1068" s="81"/>
      <c r="C1068" s="81"/>
      <c r="D1068" s="122"/>
      <c r="E1068" s="114"/>
    </row>
    <row r="1069" spans="1:5" x14ac:dyDescent="0.25">
      <c r="A1069" s="82"/>
      <c r="B1069" s="81"/>
      <c r="C1069" s="81"/>
      <c r="D1069" s="122"/>
      <c r="E1069" s="114"/>
    </row>
    <row r="1070" spans="1:5" x14ac:dyDescent="0.25">
      <c r="A1070" s="82"/>
      <c r="B1070" s="81"/>
      <c r="C1070" s="81"/>
      <c r="D1070" s="122"/>
      <c r="E1070" s="114"/>
    </row>
    <row r="1071" spans="1:5" x14ac:dyDescent="0.25">
      <c r="A1071" s="82"/>
      <c r="B1071" s="81"/>
      <c r="C1071" s="81"/>
      <c r="D1071" s="122"/>
      <c r="E1071" s="114"/>
    </row>
    <row r="1072" spans="1:5" x14ac:dyDescent="0.25">
      <c r="A1072" s="82"/>
      <c r="B1072" s="81"/>
      <c r="C1072" s="81"/>
      <c r="D1072" s="122"/>
      <c r="E1072" s="114"/>
    </row>
    <row r="1073" spans="1:5" x14ac:dyDescent="0.25">
      <c r="A1073" s="82"/>
      <c r="B1073" s="81"/>
      <c r="C1073" s="81"/>
      <c r="D1073" s="122"/>
      <c r="E1073" s="114"/>
    </row>
    <row r="1074" spans="1:5" x14ac:dyDescent="0.25">
      <c r="A1074" s="82"/>
      <c r="B1074" s="81"/>
      <c r="C1074" s="81"/>
      <c r="D1074" s="122"/>
      <c r="E1074" s="114"/>
    </row>
    <row r="1075" spans="1:5" x14ac:dyDescent="0.25">
      <c r="A1075" s="82"/>
      <c r="B1075" s="81"/>
      <c r="C1075" s="81"/>
      <c r="D1075" s="122"/>
      <c r="E1075" s="114"/>
    </row>
    <row r="1076" spans="1:5" x14ac:dyDescent="0.25">
      <c r="A1076" s="82"/>
      <c r="B1076" s="81"/>
      <c r="C1076" s="81"/>
      <c r="D1076" s="122"/>
      <c r="E1076" s="114"/>
    </row>
    <row r="1077" spans="1:5" x14ac:dyDescent="0.25">
      <c r="A1077" s="82"/>
      <c r="B1077" s="81"/>
      <c r="C1077" s="81"/>
      <c r="D1077" s="122"/>
      <c r="E1077" s="114"/>
    </row>
    <row r="1078" spans="1:5" x14ac:dyDescent="0.25">
      <c r="A1078" s="82"/>
      <c r="B1078" s="81"/>
      <c r="C1078" s="81"/>
      <c r="D1078" s="122"/>
      <c r="E1078" s="114"/>
    </row>
    <row r="1079" spans="1:5" x14ac:dyDescent="0.25">
      <c r="A1079" s="82"/>
      <c r="B1079" s="81"/>
      <c r="C1079" s="81"/>
      <c r="D1079" s="122"/>
      <c r="E1079" s="114"/>
    </row>
    <row r="1080" spans="1:5" x14ac:dyDescent="0.25">
      <c r="A1080" s="82"/>
      <c r="B1080" s="81"/>
      <c r="C1080" s="81"/>
      <c r="D1080" s="122"/>
      <c r="E1080" s="114"/>
    </row>
    <row r="1081" spans="1:5" x14ac:dyDescent="0.25">
      <c r="A1081" s="82"/>
      <c r="B1081" s="81"/>
      <c r="C1081" s="81"/>
      <c r="D1081" s="122"/>
      <c r="E1081" s="114"/>
    </row>
    <row r="1082" spans="1:5" x14ac:dyDescent="0.25">
      <c r="A1082" s="82"/>
      <c r="B1082" s="81"/>
      <c r="C1082" s="81"/>
      <c r="D1082" s="122"/>
      <c r="E1082" s="114"/>
    </row>
    <row r="1083" spans="1:5" x14ac:dyDescent="0.25">
      <c r="A1083" s="82"/>
      <c r="B1083" s="81"/>
      <c r="C1083" s="81"/>
      <c r="D1083" s="122"/>
      <c r="E1083" s="114"/>
    </row>
    <row r="1084" spans="1:5" x14ac:dyDescent="0.25">
      <c r="A1084" s="82"/>
      <c r="B1084" s="81"/>
      <c r="C1084" s="81"/>
      <c r="D1084" s="122"/>
      <c r="E1084" s="114"/>
    </row>
    <row r="1085" spans="1:5" x14ac:dyDescent="0.25">
      <c r="A1085" s="82"/>
      <c r="B1085" s="81"/>
      <c r="C1085" s="81"/>
      <c r="D1085" s="122"/>
      <c r="E1085" s="114"/>
    </row>
    <row r="1086" spans="1:5" x14ac:dyDescent="0.25">
      <c r="A1086" s="82"/>
      <c r="B1086" s="81"/>
      <c r="C1086" s="81"/>
      <c r="D1086" s="122"/>
      <c r="E1086" s="114"/>
    </row>
    <row r="1087" spans="1:5" x14ac:dyDescent="0.25">
      <c r="A1087" s="82"/>
      <c r="B1087" s="81"/>
      <c r="C1087" s="81"/>
      <c r="D1087" s="122"/>
      <c r="E1087" s="114"/>
    </row>
    <row r="1088" spans="1:5" x14ac:dyDescent="0.25">
      <c r="A1088" s="82"/>
      <c r="B1088" s="81"/>
      <c r="C1088" s="81"/>
      <c r="D1088" s="122"/>
      <c r="E1088" s="114"/>
    </row>
    <row r="1089" spans="1:5" x14ac:dyDescent="0.25">
      <c r="A1089" s="82"/>
      <c r="B1089" s="81"/>
      <c r="C1089" s="81"/>
      <c r="D1089" s="122"/>
      <c r="E1089" s="114"/>
    </row>
    <row r="1090" spans="1:5" x14ac:dyDescent="0.25">
      <c r="A1090" s="82"/>
      <c r="B1090" s="81"/>
      <c r="C1090" s="81"/>
      <c r="D1090" s="122"/>
      <c r="E1090" s="114"/>
    </row>
    <row r="1091" spans="1:5" x14ac:dyDescent="0.25">
      <c r="A1091" s="82"/>
      <c r="B1091" s="81"/>
      <c r="C1091" s="81"/>
      <c r="D1091" s="122"/>
      <c r="E1091" s="114"/>
    </row>
    <row r="1092" spans="1:5" x14ac:dyDescent="0.25">
      <c r="A1092" s="82"/>
      <c r="B1092" s="81"/>
      <c r="C1092" s="81"/>
      <c r="D1092" s="122"/>
      <c r="E1092" s="114"/>
    </row>
    <row r="1093" spans="1:5" x14ac:dyDescent="0.25">
      <c r="A1093" s="82"/>
      <c r="B1093" s="81"/>
      <c r="C1093" s="81"/>
      <c r="D1093" s="122"/>
      <c r="E1093" s="114"/>
    </row>
    <row r="1094" spans="1:5" x14ac:dyDescent="0.25">
      <c r="A1094" s="82"/>
      <c r="B1094" s="81"/>
      <c r="C1094" s="81"/>
      <c r="D1094" s="122"/>
      <c r="E1094" s="114"/>
    </row>
    <row r="1095" spans="1:5" x14ac:dyDescent="0.25">
      <c r="A1095" s="82"/>
      <c r="B1095" s="81"/>
      <c r="C1095" s="81"/>
      <c r="D1095" s="122"/>
      <c r="E1095" s="114"/>
    </row>
    <row r="1096" spans="1:5" x14ac:dyDescent="0.25">
      <c r="A1096" s="82"/>
      <c r="B1096" s="81"/>
      <c r="C1096" s="81"/>
      <c r="D1096" s="122"/>
      <c r="E1096" s="114"/>
    </row>
    <row r="1097" spans="1:5" x14ac:dyDescent="0.25">
      <c r="A1097" s="82"/>
      <c r="B1097" s="81"/>
      <c r="C1097" s="81"/>
      <c r="D1097" s="122"/>
      <c r="E1097" s="114"/>
    </row>
    <row r="1098" spans="1:5" x14ac:dyDescent="0.25">
      <c r="A1098" s="82"/>
      <c r="B1098" s="81"/>
      <c r="C1098" s="81"/>
      <c r="D1098" s="122"/>
      <c r="E1098" s="114"/>
    </row>
    <row r="1099" spans="1:5" x14ac:dyDescent="0.25">
      <c r="A1099" s="82"/>
      <c r="B1099" s="81"/>
      <c r="C1099" s="81"/>
      <c r="D1099" s="122"/>
      <c r="E1099" s="114"/>
    </row>
    <row r="1100" spans="1:5" x14ac:dyDescent="0.25">
      <c r="A1100" s="82"/>
      <c r="B1100" s="81"/>
      <c r="C1100" s="81"/>
      <c r="D1100" s="122"/>
      <c r="E1100" s="114"/>
    </row>
    <row r="1101" spans="1:5" x14ac:dyDescent="0.25">
      <c r="A1101" s="82"/>
      <c r="B1101" s="81"/>
      <c r="C1101" s="81"/>
      <c r="D1101" s="122"/>
      <c r="E1101" s="114"/>
    </row>
    <row r="1102" spans="1:5" x14ac:dyDescent="0.25">
      <c r="A1102" s="82"/>
      <c r="B1102" s="81"/>
      <c r="C1102" s="81"/>
      <c r="D1102" s="122"/>
      <c r="E1102" s="114"/>
    </row>
    <row r="1103" spans="1:5" x14ac:dyDescent="0.25">
      <c r="A1103" s="82"/>
      <c r="B1103" s="81"/>
      <c r="C1103" s="81"/>
      <c r="D1103" s="122"/>
      <c r="E1103" s="114"/>
    </row>
    <row r="1104" spans="1:5" x14ac:dyDescent="0.25">
      <c r="A1104" s="82"/>
      <c r="B1104" s="81"/>
      <c r="C1104" s="81"/>
      <c r="D1104" s="122"/>
      <c r="E1104" s="114"/>
    </row>
    <row r="1105" spans="1:5" x14ac:dyDescent="0.25">
      <c r="A1105" s="82"/>
      <c r="B1105" s="81"/>
      <c r="C1105" s="81"/>
      <c r="D1105" s="122"/>
      <c r="E1105" s="114"/>
    </row>
    <row r="1106" spans="1:5" x14ac:dyDescent="0.25">
      <c r="A1106" s="82"/>
      <c r="B1106" s="81"/>
      <c r="C1106" s="81"/>
      <c r="D1106" s="122"/>
      <c r="E1106" s="114"/>
    </row>
    <row r="1107" spans="1:5" x14ac:dyDescent="0.25">
      <c r="A1107" s="82"/>
      <c r="B1107" s="81"/>
      <c r="C1107" s="81"/>
      <c r="D1107" s="122"/>
      <c r="E1107" s="114"/>
    </row>
    <row r="1108" spans="1:5" x14ac:dyDescent="0.25">
      <c r="A1108" s="82"/>
      <c r="B1108" s="81"/>
      <c r="C1108" s="81"/>
      <c r="D1108" s="122"/>
      <c r="E1108" s="114"/>
    </row>
    <row r="1109" spans="1:5" x14ac:dyDescent="0.25">
      <c r="A1109" s="82"/>
      <c r="B1109" s="81"/>
      <c r="C1109" s="81"/>
      <c r="D1109" s="122"/>
      <c r="E1109" s="114"/>
    </row>
    <row r="1110" spans="1:5" x14ac:dyDescent="0.25">
      <c r="A1110" s="82"/>
      <c r="B1110" s="81"/>
      <c r="C1110" s="81"/>
      <c r="D1110" s="122"/>
      <c r="E1110" s="114"/>
    </row>
    <row r="1111" spans="1:5" x14ac:dyDescent="0.25">
      <c r="A1111" s="82"/>
      <c r="B1111" s="81"/>
      <c r="C1111" s="81"/>
      <c r="D1111" s="122"/>
      <c r="E1111" s="114"/>
    </row>
    <row r="1112" spans="1:5" x14ac:dyDescent="0.25">
      <c r="A1112" s="82"/>
      <c r="B1112" s="81"/>
      <c r="C1112" s="81"/>
      <c r="D1112" s="122"/>
      <c r="E1112" s="114"/>
    </row>
    <row r="1113" spans="1:5" x14ac:dyDescent="0.25">
      <c r="A1113" s="82"/>
      <c r="B1113" s="81"/>
      <c r="C1113" s="81"/>
      <c r="D1113" s="122"/>
      <c r="E1113" s="114"/>
    </row>
    <row r="1114" spans="1:5" x14ac:dyDescent="0.25">
      <c r="A1114" s="82"/>
      <c r="B1114" s="81"/>
      <c r="C1114" s="81"/>
      <c r="D1114" s="122"/>
      <c r="E1114" s="114"/>
    </row>
    <row r="1115" spans="1:5" x14ac:dyDescent="0.25">
      <c r="A1115" s="82"/>
      <c r="B1115" s="81"/>
      <c r="C1115" s="81"/>
      <c r="D1115" s="122"/>
      <c r="E1115" s="114"/>
    </row>
    <row r="1116" spans="1:5" x14ac:dyDescent="0.25">
      <c r="A1116" s="82"/>
      <c r="B1116" s="81"/>
      <c r="C1116" s="81"/>
      <c r="D1116" s="122"/>
      <c r="E1116" s="114"/>
    </row>
    <row r="1117" spans="1:5" x14ac:dyDescent="0.25">
      <c r="A1117" s="82"/>
      <c r="B1117" s="81"/>
      <c r="C1117" s="81"/>
      <c r="D1117" s="122"/>
      <c r="E1117" s="114"/>
    </row>
    <row r="1118" spans="1:5" x14ac:dyDescent="0.25">
      <c r="A1118" s="82"/>
      <c r="B1118" s="81"/>
      <c r="C1118" s="81"/>
      <c r="D1118" s="122"/>
      <c r="E1118" s="114"/>
    </row>
    <row r="1119" spans="1:5" x14ac:dyDescent="0.25">
      <c r="A1119" s="82"/>
      <c r="B1119" s="81"/>
      <c r="C1119" s="81"/>
      <c r="D1119" s="122"/>
      <c r="E1119" s="114"/>
    </row>
    <row r="1120" spans="1:5" x14ac:dyDescent="0.25">
      <c r="A1120" s="82"/>
      <c r="B1120" s="81"/>
      <c r="C1120" s="81"/>
      <c r="D1120" s="122"/>
      <c r="E1120" s="114"/>
    </row>
    <row r="1121" spans="1:5" x14ac:dyDescent="0.25">
      <c r="A1121" s="82"/>
      <c r="B1121" s="81"/>
      <c r="C1121" s="81"/>
      <c r="D1121" s="122"/>
      <c r="E1121" s="114"/>
    </row>
    <row r="1122" spans="1:5" x14ac:dyDescent="0.25">
      <c r="A1122" s="82"/>
      <c r="B1122" s="81"/>
      <c r="C1122" s="81"/>
      <c r="D1122" s="122"/>
      <c r="E1122" s="114"/>
    </row>
    <row r="1123" spans="1:5" x14ac:dyDescent="0.25">
      <c r="A1123" s="82"/>
      <c r="B1123" s="81"/>
      <c r="C1123" s="81"/>
      <c r="D1123" s="122"/>
      <c r="E1123" s="114"/>
    </row>
    <row r="1124" spans="1:5" x14ac:dyDescent="0.25">
      <c r="A1124" s="82"/>
      <c r="B1124" s="81"/>
      <c r="C1124" s="81"/>
      <c r="D1124" s="122"/>
      <c r="E1124" s="114"/>
    </row>
    <row r="1125" spans="1:5" x14ac:dyDescent="0.25">
      <c r="A1125" s="82"/>
      <c r="B1125" s="81"/>
      <c r="C1125" s="81"/>
      <c r="D1125" s="122"/>
      <c r="E1125" s="114"/>
    </row>
    <row r="1126" spans="1:5" x14ac:dyDescent="0.25">
      <c r="A1126" s="82"/>
      <c r="B1126" s="81"/>
      <c r="C1126" s="81"/>
      <c r="D1126" s="122"/>
      <c r="E1126" s="114"/>
    </row>
    <row r="1127" spans="1:5" x14ac:dyDescent="0.25">
      <c r="A1127" s="82"/>
      <c r="B1127" s="81"/>
      <c r="C1127" s="81"/>
      <c r="D1127" s="122"/>
      <c r="E1127" s="114"/>
    </row>
    <row r="1128" spans="1:5" x14ac:dyDescent="0.25">
      <c r="A1128" s="82"/>
      <c r="B1128" s="81"/>
      <c r="C1128" s="81"/>
      <c r="D1128" s="122"/>
      <c r="E1128" s="114"/>
    </row>
    <row r="1129" spans="1:5" x14ac:dyDescent="0.25">
      <c r="A1129" s="82"/>
      <c r="B1129" s="81"/>
      <c r="C1129" s="81"/>
      <c r="D1129" s="122"/>
      <c r="E1129" s="114"/>
    </row>
    <row r="1130" spans="1:5" x14ac:dyDescent="0.25">
      <c r="A1130" s="82"/>
      <c r="B1130" s="81"/>
      <c r="C1130" s="81"/>
      <c r="D1130" s="122"/>
      <c r="E1130" s="114"/>
    </row>
    <row r="1131" spans="1:5" x14ac:dyDescent="0.25">
      <c r="A1131" s="82"/>
      <c r="B1131" s="81"/>
      <c r="C1131" s="81"/>
      <c r="D1131" s="122"/>
      <c r="E1131" s="114"/>
    </row>
    <row r="1132" spans="1:5" x14ac:dyDescent="0.25">
      <c r="A1132" s="82"/>
      <c r="B1132" s="81"/>
      <c r="C1132" s="81"/>
      <c r="D1132" s="122"/>
      <c r="E1132" s="114"/>
    </row>
    <row r="1133" spans="1:5" x14ac:dyDescent="0.25">
      <c r="A1133" s="82"/>
      <c r="B1133" s="81"/>
      <c r="C1133" s="81"/>
      <c r="D1133" s="122"/>
      <c r="E1133" s="114"/>
    </row>
    <row r="1134" spans="1:5" x14ac:dyDescent="0.25">
      <c r="A1134" s="82"/>
      <c r="B1134" s="81"/>
      <c r="C1134" s="81"/>
      <c r="D1134" s="122"/>
      <c r="E1134" s="114"/>
    </row>
    <row r="1135" spans="1:5" x14ac:dyDescent="0.25">
      <c r="A1135" s="82"/>
      <c r="B1135" s="81"/>
      <c r="C1135" s="81"/>
      <c r="D1135" s="122"/>
      <c r="E1135" s="114"/>
    </row>
    <row r="1136" spans="1:5" x14ac:dyDescent="0.25">
      <c r="A1136" s="82"/>
      <c r="B1136" s="81"/>
      <c r="C1136" s="81"/>
      <c r="D1136" s="122"/>
      <c r="E1136" s="114"/>
    </row>
    <row r="1137" spans="1:5" x14ac:dyDescent="0.25">
      <c r="A1137" s="82"/>
      <c r="B1137" s="81"/>
      <c r="C1137" s="81"/>
      <c r="D1137" s="122"/>
      <c r="E1137" s="114"/>
    </row>
    <row r="1138" spans="1:5" x14ac:dyDescent="0.25">
      <c r="A1138" s="82"/>
      <c r="B1138" s="81"/>
      <c r="C1138" s="81"/>
      <c r="D1138" s="122"/>
      <c r="E1138" s="114"/>
    </row>
    <row r="1139" spans="1:5" x14ac:dyDescent="0.25">
      <c r="A1139" s="82"/>
      <c r="B1139" s="81"/>
      <c r="C1139" s="81"/>
      <c r="D1139" s="122"/>
      <c r="E1139" s="114"/>
    </row>
    <row r="1140" spans="1:5" x14ac:dyDescent="0.25">
      <c r="A1140" s="82"/>
      <c r="B1140" s="81"/>
      <c r="C1140" s="81"/>
      <c r="D1140" s="122"/>
      <c r="E1140" s="114"/>
    </row>
    <row r="1141" spans="1:5" x14ac:dyDescent="0.25">
      <c r="A1141" s="82"/>
      <c r="B1141" s="81"/>
      <c r="C1141" s="81"/>
      <c r="D1141" s="122"/>
      <c r="E1141" s="114"/>
    </row>
    <row r="1142" spans="1:5" x14ac:dyDescent="0.25">
      <c r="A1142" s="82"/>
      <c r="B1142" s="81"/>
      <c r="C1142" s="81"/>
      <c r="D1142" s="122"/>
      <c r="E1142" s="114"/>
    </row>
    <row r="1143" spans="1:5" x14ac:dyDescent="0.25">
      <c r="A1143" s="82"/>
      <c r="B1143" s="81"/>
      <c r="C1143" s="81"/>
      <c r="D1143" s="122"/>
      <c r="E1143" s="114"/>
    </row>
    <row r="1144" spans="1:5" x14ac:dyDescent="0.25">
      <c r="A1144" s="82"/>
      <c r="B1144" s="81"/>
      <c r="C1144" s="81"/>
      <c r="D1144" s="122"/>
      <c r="E1144" s="114"/>
    </row>
    <row r="1145" spans="1:5" x14ac:dyDescent="0.25">
      <c r="A1145" s="82"/>
      <c r="B1145" s="81"/>
      <c r="C1145" s="81"/>
      <c r="D1145" s="122"/>
      <c r="E1145" s="114"/>
    </row>
    <row r="1146" spans="1:5" x14ac:dyDescent="0.25">
      <c r="A1146" s="82"/>
      <c r="B1146" s="81"/>
      <c r="C1146" s="81"/>
      <c r="D1146" s="122"/>
      <c r="E1146" s="114"/>
    </row>
    <row r="1147" spans="1:5" x14ac:dyDescent="0.25">
      <c r="A1147" s="82"/>
      <c r="B1147" s="81"/>
      <c r="C1147" s="81"/>
      <c r="D1147" s="122"/>
      <c r="E1147" s="114"/>
    </row>
    <row r="1148" spans="1:5" x14ac:dyDescent="0.25">
      <c r="A1148" s="82"/>
      <c r="B1148" s="81"/>
      <c r="C1148" s="81"/>
      <c r="D1148" s="122"/>
      <c r="E1148" s="114"/>
    </row>
    <row r="1149" spans="1:5" x14ac:dyDescent="0.25">
      <c r="A1149" s="82"/>
      <c r="B1149" s="81"/>
      <c r="C1149" s="81"/>
      <c r="D1149" s="122"/>
      <c r="E1149" s="114"/>
    </row>
    <row r="1150" spans="1:5" x14ac:dyDescent="0.25">
      <c r="A1150" s="82"/>
      <c r="B1150" s="81"/>
      <c r="C1150" s="81"/>
      <c r="D1150" s="122"/>
      <c r="E1150" s="114"/>
    </row>
    <row r="1151" spans="1:5" x14ac:dyDescent="0.25">
      <c r="A1151" s="82"/>
      <c r="B1151" s="81"/>
      <c r="C1151" s="81"/>
      <c r="D1151" s="122"/>
      <c r="E1151" s="114"/>
    </row>
    <row r="1152" spans="1:5" x14ac:dyDescent="0.25">
      <c r="A1152" s="82"/>
      <c r="B1152" s="81"/>
      <c r="C1152" s="81"/>
      <c r="D1152" s="122"/>
      <c r="E1152" s="114"/>
    </row>
    <row r="1153" spans="1:5" x14ac:dyDescent="0.25">
      <c r="A1153" s="82"/>
      <c r="B1153" s="81"/>
      <c r="C1153" s="81"/>
      <c r="D1153" s="122"/>
      <c r="E1153" s="114"/>
    </row>
    <row r="1154" spans="1:5" x14ac:dyDescent="0.25">
      <c r="A1154" s="82"/>
      <c r="B1154" s="81"/>
      <c r="C1154" s="81"/>
      <c r="D1154" s="122"/>
      <c r="E1154" s="114"/>
    </row>
    <row r="1155" spans="1:5" x14ac:dyDescent="0.25">
      <c r="A1155" s="82"/>
      <c r="B1155" s="81"/>
      <c r="C1155" s="81"/>
      <c r="D1155" s="122"/>
      <c r="E1155" s="114"/>
    </row>
    <row r="1156" spans="1:5" x14ac:dyDescent="0.25">
      <c r="A1156" s="82"/>
      <c r="B1156" s="81"/>
      <c r="C1156" s="81"/>
      <c r="D1156" s="122"/>
      <c r="E1156" s="114"/>
    </row>
    <row r="1157" spans="1:5" x14ac:dyDescent="0.25">
      <c r="A1157" s="82"/>
      <c r="B1157" s="81"/>
      <c r="C1157" s="81"/>
      <c r="D1157" s="122"/>
      <c r="E1157" s="114"/>
    </row>
    <row r="1158" spans="1:5" x14ac:dyDescent="0.25">
      <c r="A1158" s="82"/>
      <c r="B1158" s="81"/>
      <c r="C1158" s="81"/>
      <c r="D1158" s="122"/>
      <c r="E1158" s="114"/>
    </row>
    <row r="1159" spans="1:5" x14ac:dyDescent="0.25">
      <c r="A1159" s="82"/>
      <c r="B1159" s="81"/>
      <c r="C1159" s="81"/>
      <c r="D1159" s="122"/>
      <c r="E1159" s="114"/>
    </row>
    <row r="1160" spans="1:5" x14ac:dyDescent="0.25">
      <c r="A1160" s="82"/>
      <c r="B1160" s="81"/>
      <c r="C1160" s="81"/>
      <c r="D1160" s="122"/>
      <c r="E1160" s="114"/>
    </row>
    <row r="1161" spans="1:5" x14ac:dyDescent="0.25">
      <c r="A1161" s="82"/>
      <c r="B1161" s="81"/>
      <c r="C1161" s="81"/>
      <c r="D1161" s="122"/>
      <c r="E1161" s="114"/>
    </row>
    <row r="1162" spans="1:5" x14ac:dyDescent="0.25">
      <c r="A1162" s="82"/>
      <c r="B1162" s="81"/>
      <c r="C1162" s="81"/>
      <c r="D1162" s="122"/>
      <c r="E1162" s="114"/>
    </row>
    <row r="1163" spans="1:5" x14ac:dyDescent="0.25">
      <c r="A1163" s="82"/>
      <c r="B1163" s="81"/>
      <c r="C1163" s="81"/>
      <c r="D1163" s="122"/>
      <c r="E1163" s="114"/>
    </row>
    <row r="1164" spans="1:5" x14ac:dyDescent="0.25">
      <c r="A1164" s="82"/>
      <c r="B1164" s="81"/>
      <c r="C1164" s="81"/>
      <c r="D1164" s="122"/>
      <c r="E1164" s="114"/>
    </row>
    <row r="1165" spans="1:5" x14ac:dyDescent="0.25">
      <c r="A1165" s="82"/>
      <c r="B1165" s="81"/>
      <c r="C1165" s="81"/>
      <c r="D1165" s="122"/>
      <c r="E1165" s="114"/>
    </row>
    <row r="1166" spans="1:5" x14ac:dyDescent="0.25">
      <c r="A1166" s="82"/>
      <c r="B1166" s="81"/>
      <c r="C1166" s="81"/>
      <c r="D1166" s="122"/>
      <c r="E1166" s="114"/>
    </row>
    <row r="1167" spans="1:5" x14ac:dyDescent="0.25">
      <c r="A1167" s="82"/>
      <c r="B1167" s="81"/>
      <c r="C1167" s="81"/>
      <c r="D1167" s="122"/>
      <c r="E1167" s="114"/>
    </row>
    <row r="1168" spans="1:5" x14ac:dyDescent="0.25">
      <c r="A1168" s="82"/>
      <c r="B1168" s="81"/>
      <c r="C1168" s="81"/>
      <c r="D1168" s="122"/>
      <c r="E1168" s="114"/>
    </row>
    <row r="1169" spans="1:5" x14ac:dyDescent="0.25">
      <c r="A1169" s="82"/>
      <c r="B1169" s="81"/>
      <c r="C1169" s="81"/>
      <c r="D1169" s="122"/>
      <c r="E1169" s="114"/>
    </row>
    <row r="1170" spans="1:5" x14ac:dyDescent="0.25">
      <c r="A1170" s="82"/>
      <c r="B1170" s="81"/>
      <c r="C1170" s="81"/>
      <c r="D1170" s="122"/>
      <c r="E1170" s="114"/>
    </row>
    <row r="1171" spans="1:5" x14ac:dyDescent="0.25">
      <c r="A1171" s="82"/>
      <c r="B1171" s="81"/>
      <c r="C1171" s="81"/>
      <c r="D1171" s="122"/>
      <c r="E1171" s="114"/>
    </row>
    <row r="1172" spans="1:5" x14ac:dyDescent="0.25">
      <c r="A1172" s="82"/>
      <c r="B1172" s="81"/>
      <c r="C1172" s="81"/>
      <c r="D1172" s="122"/>
      <c r="E1172" s="114"/>
    </row>
    <row r="1173" spans="1:5" x14ac:dyDescent="0.25">
      <c r="A1173" s="82"/>
      <c r="B1173" s="81"/>
      <c r="C1173" s="81"/>
      <c r="D1173" s="122"/>
      <c r="E1173" s="114"/>
    </row>
    <row r="1174" spans="1:5" x14ac:dyDescent="0.25">
      <c r="A1174" s="82"/>
      <c r="B1174" s="81"/>
      <c r="C1174" s="81"/>
      <c r="D1174" s="122"/>
      <c r="E1174" s="114"/>
    </row>
    <row r="1175" spans="1:5" x14ac:dyDescent="0.25">
      <c r="A1175" s="82"/>
      <c r="B1175" s="81"/>
      <c r="C1175" s="81"/>
      <c r="D1175" s="122"/>
      <c r="E1175" s="114"/>
    </row>
    <row r="1176" spans="1:5" x14ac:dyDescent="0.25">
      <c r="A1176" s="82"/>
      <c r="B1176" s="81"/>
      <c r="C1176" s="81"/>
      <c r="D1176" s="122"/>
      <c r="E1176" s="114"/>
    </row>
    <row r="1177" spans="1:5" x14ac:dyDescent="0.25">
      <c r="A1177" s="82"/>
      <c r="B1177" s="81"/>
      <c r="C1177" s="81"/>
      <c r="D1177" s="122"/>
      <c r="E1177" s="114"/>
    </row>
    <row r="1178" spans="1:5" x14ac:dyDescent="0.25">
      <c r="A1178" s="82"/>
      <c r="B1178" s="81"/>
      <c r="C1178" s="81"/>
      <c r="D1178" s="122"/>
      <c r="E1178" s="114"/>
    </row>
    <row r="1179" spans="1:5" x14ac:dyDescent="0.25">
      <c r="A1179" s="82"/>
      <c r="B1179" s="81"/>
      <c r="C1179" s="81"/>
      <c r="D1179" s="122"/>
      <c r="E1179" s="114"/>
    </row>
    <row r="1180" spans="1:5" x14ac:dyDescent="0.25">
      <c r="A1180" s="82"/>
      <c r="B1180" s="81"/>
      <c r="C1180" s="81"/>
      <c r="D1180" s="122"/>
      <c r="E1180" s="114"/>
    </row>
    <row r="1181" spans="1:5" x14ac:dyDescent="0.25">
      <c r="A1181" s="82"/>
      <c r="B1181" s="81"/>
      <c r="C1181" s="81"/>
      <c r="D1181" s="122"/>
      <c r="E1181" s="114"/>
    </row>
    <row r="1182" spans="1:5" x14ac:dyDescent="0.25">
      <c r="A1182" s="82"/>
      <c r="B1182" s="81"/>
      <c r="C1182" s="81"/>
      <c r="D1182" s="122"/>
      <c r="E1182" s="114"/>
    </row>
    <row r="1183" spans="1:5" x14ac:dyDescent="0.25">
      <c r="A1183" s="82"/>
      <c r="B1183" s="81"/>
      <c r="C1183" s="81"/>
      <c r="D1183" s="122"/>
      <c r="E1183" s="114"/>
    </row>
    <row r="1184" spans="1:5" x14ac:dyDescent="0.25">
      <c r="A1184" s="82"/>
      <c r="B1184" s="81"/>
      <c r="C1184" s="81"/>
      <c r="D1184" s="122"/>
      <c r="E1184" s="114"/>
    </row>
    <row r="1185" spans="1:5" x14ac:dyDescent="0.25">
      <c r="A1185" s="82"/>
      <c r="B1185" s="81"/>
      <c r="C1185" s="81"/>
      <c r="D1185" s="122"/>
      <c r="E1185" s="114"/>
    </row>
    <row r="1186" spans="1:5" x14ac:dyDescent="0.25">
      <c r="A1186" s="82"/>
      <c r="B1186" s="81"/>
      <c r="C1186" s="81"/>
      <c r="D1186" s="122"/>
      <c r="E1186" s="114"/>
    </row>
    <row r="1187" spans="1:5" x14ac:dyDescent="0.25">
      <c r="A1187" s="82"/>
      <c r="B1187" s="81"/>
      <c r="C1187" s="81"/>
      <c r="D1187" s="122"/>
      <c r="E1187" s="114"/>
    </row>
    <row r="1188" spans="1:5" x14ac:dyDescent="0.25">
      <c r="A1188" s="82"/>
      <c r="B1188" s="81"/>
      <c r="C1188" s="81"/>
      <c r="D1188" s="122"/>
      <c r="E1188" s="114"/>
    </row>
    <row r="1189" spans="1:5" x14ac:dyDescent="0.25">
      <c r="A1189" s="82"/>
      <c r="B1189" s="81"/>
      <c r="C1189" s="81"/>
      <c r="D1189" s="122"/>
      <c r="E1189" s="114"/>
    </row>
    <row r="1190" spans="1:5" x14ac:dyDescent="0.25">
      <c r="A1190" s="82"/>
      <c r="B1190" s="81"/>
      <c r="C1190" s="81"/>
      <c r="D1190" s="122"/>
      <c r="E1190" s="114"/>
    </row>
    <row r="1191" spans="1:5" x14ac:dyDescent="0.25">
      <c r="A1191" s="82"/>
      <c r="B1191" s="81"/>
      <c r="C1191" s="81"/>
      <c r="D1191" s="122"/>
      <c r="E1191" s="114"/>
    </row>
    <row r="1192" spans="1:5" x14ac:dyDescent="0.25">
      <c r="A1192" s="82"/>
      <c r="B1192" s="81"/>
      <c r="C1192" s="81"/>
      <c r="D1192" s="122"/>
      <c r="E1192" s="114"/>
    </row>
    <row r="1193" spans="1:5" x14ac:dyDescent="0.25">
      <c r="A1193" s="82"/>
      <c r="B1193" s="81"/>
      <c r="C1193" s="81"/>
      <c r="D1193" s="122"/>
      <c r="E1193" s="114"/>
    </row>
    <row r="1194" spans="1:5" x14ac:dyDescent="0.25">
      <c r="A1194" s="82"/>
      <c r="B1194" s="81"/>
      <c r="C1194" s="81"/>
      <c r="D1194" s="122"/>
      <c r="E1194" s="114"/>
    </row>
    <row r="1195" spans="1:5" x14ac:dyDescent="0.25">
      <c r="A1195" s="82"/>
      <c r="B1195" s="81"/>
      <c r="C1195" s="81"/>
      <c r="D1195" s="122"/>
      <c r="E1195" s="114"/>
    </row>
    <row r="1196" spans="1:5" x14ac:dyDescent="0.25">
      <c r="A1196" s="82"/>
      <c r="B1196" s="81"/>
      <c r="C1196" s="81"/>
      <c r="D1196" s="122"/>
      <c r="E1196" s="114"/>
    </row>
    <row r="1197" spans="1:5" x14ac:dyDescent="0.25">
      <c r="A1197" s="82"/>
      <c r="B1197" s="81"/>
      <c r="C1197" s="81"/>
      <c r="D1197" s="122"/>
      <c r="E1197" s="114"/>
    </row>
    <row r="1198" spans="1:5" x14ac:dyDescent="0.25">
      <c r="A1198" s="82"/>
      <c r="B1198" s="81"/>
      <c r="C1198" s="81"/>
      <c r="D1198" s="122"/>
      <c r="E1198" s="114"/>
    </row>
    <row r="1199" spans="1:5" x14ac:dyDescent="0.25">
      <c r="A1199" s="82"/>
      <c r="B1199" s="81"/>
      <c r="C1199" s="81"/>
      <c r="D1199" s="122"/>
      <c r="E1199" s="114"/>
    </row>
    <row r="1200" spans="1:5" x14ac:dyDescent="0.25">
      <c r="A1200" s="82"/>
      <c r="B1200" s="81"/>
      <c r="C1200" s="81"/>
      <c r="D1200" s="122"/>
      <c r="E1200" s="114"/>
    </row>
    <row r="1201" spans="1:5" x14ac:dyDescent="0.25">
      <c r="A1201" s="82"/>
      <c r="B1201" s="81"/>
      <c r="C1201" s="81"/>
      <c r="D1201" s="122"/>
      <c r="E1201" s="114"/>
    </row>
    <row r="1202" spans="1:5" x14ac:dyDescent="0.25">
      <c r="A1202" s="82"/>
      <c r="B1202" s="81"/>
      <c r="C1202" s="81"/>
      <c r="D1202" s="122"/>
      <c r="E1202" s="114"/>
    </row>
    <row r="1203" spans="1:5" x14ac:dyDescent="0.25">
      <c r="A1203" s="82"/>
      <c r="B1203" s="81"/>
      <c r="C1203" s="81"/>
      <c r="D1203" s="122"/>
      <c r="E1203" s="114"/>
    </row>
    <row r="1204" spans="1:5" x14ac:dyDescent="0.25">
      <c r="A1204" s="82"/>
      <c r="B1204" s="81"/>
      <c r="C1204" s="81"/>
      <c r="D1204" s="122"/>
      <c r="E1204" s="114"/>
    </row>
    <row r="1205" spans="1:5" x14ac:dyDescent="0.25">
      <c r="A1205" s="82"/>
      <c r="B1205" s="81"/>
      <c r="C1205" s="81"/>
      <c r="D1205" s="122"/>
      <c r="E1205" s="114"/>
    </row>
    <row r="1206" spans="1:5" x14ac:dyDescent="0.25">
      <c r="A1206" s="82"/>
      <c r="B1206" s="81"/>
      <c r="C1206" s="81"/>
      <c r="D1206" s="122"/>
      <c r="E1206" s="114"/>
    </row>
    <row r="1207" spans="1:5" x14ac:dyDescent="0.25">
      <c r="A1207" s="82"/>
      <c r="B1207" s="81"/>
      <c r="C1207" s="81"/>
      <c r="D1207" s="122"/>
      <c r="E1207" s="114"/>
    </row>
    <row r="1208" spans="1:5" x14ac:dyDescent="0.25">
      <c r="A1208" s="82"/>
      <c r="B1208" s="81"/>
      <c r="C1208" s="81"/>
      <c r="D1208" s="122"/>
      <c r="E1208" s="114"/>
    </row>
    <row r="1209" spans="1:5" x14ac:dyDescent="0.25">
      <c r="A1209" s="82"/>
      <c r="B1209" s="81"/>
      <c r="C1209" s="81"/>
      <c r="D1209" s="122"/>
      <c r="E1209" s="114"/>
    </row>
    <row r="1210" spans="1:5" x14ac:dyDescent="0.25">
      <c r="A1210" s="82"/>
      <c r="B1210" s="81"/>
      <c r="C1210" s="81"/>
      <c r="D1210" s="122"/>
      <c r="E1210" s="114"/>
    </row>
    <row r="1211" spans="1:5" x14ac:dyDescent="0.25">
      <c r="A1211" s="82"/>
      <c r="B1211" s="81"/>
      <c r="C1211" s="81"/>
      <c r="D1211" s="122"/>
      <c r="E1211" s="114"/>
    </row>
    <row r="1212" spans="1:5" x14ac:dyDescent="0.25">
      <c r="A1212" s="82"/>
      <c r="B1212" s="81"/>
      <c r="C1212" s="81"/>
      <c r="D1212" s="122"/>
      <c r="E1212" s="114"/>
    </row>
    <row r="1213" spans="1:5" x14ac:dyDescent="0.25">
      <c r="A1213" s="82"/>
      <c r="B1213" s="81"/>
      <c r="C1213" s="81"/>
      <c r="D1213" s="122"/>
      <c r="E1213" s="114"/>
    </row>
    <row r="1214" spans="1:5" x14ac:dyDescent="0.25">
      <c r="A1214" s="82"/>
      <c r="B1214" s="81"/>
      <c r="C1214" s="81"/>
      <c r="D1214" s="122"/>
      <c r="E1214" s="114"/>
    </row>
    <row r="1215" spans="1:5" x14ac:dyDescent="0.25">
      <c r="A1215" s="82"/>
      <c r="B1215" s="81"/>
      <c r="C1215" s="81"/>
      <c r="D1215" s="122"/>
      <c r="E1215" s="114"/>
    </row>
    <row r="1216" spans="1:5" x14ac:dyDescent="0.25">
      <c r="A1216" s="82"/>
      <c r="B1216" s="81"/>
      <c r="C1216" s="81"/>
      <c r="D1216" s="122"/>
      <c r="E1216" s="114"/>
    </row>
    <row r="1217" spans="1:5" x14ac:dyDescent="0.25">
      <c r="A1217" s="82"/>
      <c r="B1217" s="81"/>
      <c r="C1217" s="81"/>
      <c r="D1217" s="122"/>
      <c r="E1217" s="114"/>
    </row>
    <row r="1218" spans="1:5" x14ac:dyDescent="0.25">
      <c r="A1218" s="82"/>
      <c r="B1218" s="81"/>
      <c r="C1218" s="81"/>
      <c r="D1218" s="122"/>
      <c r="E1218" s="114"/>
    </row>
    <row r="1219" spans="1:5" x14ac:dyDescent="0.25">
      <c r="A1219" s="82"/>
      <c r="B1219" s="81"/>
      <c r="C1219" s="81"/>
      <c r="D1219" s="122"/>
      <c r="E1219" s="114"/>
    </row>
    <row r="1220" spans="1:5" x14ac:dyDescent="0.25">
      <c r="A1220" s="82"/>
      <c r="B1220" s="81"/>
      <c r="C1220" s="81"/>
      <c r="D1220" s="122"/>
      <c r="E1220" s="114"/>
    </row>
    <row r="1221" spans="1:5" x14ac:dyDescent="0.25">
      <c r="A1221" s="82"/>
      <c r="B1221" s="81"/>
      <c r="C1221" s="81"/>
      <c r="D1221" s="122"/>
      <c r="E1221" s="114"/>
    </row>
    <row r="1222" spans="1:5" x14ac:dyDescent="0.25">
      <c r="A1222" s="82"/>
      <c r="B1222" s="81"/>
      <c r="C1222" s="81"/>
      <c r="D1222" s="122"/>
      <c r="E1222" s="114"/>
    </row>
    <row r="1223" spans="1:5" x14ac:dyDescent="0.25">
      <c r="A1223" s="82"/>
      <c r="B1223" s="81"/>
      <c r="C1223" s="81"/>
      <c r="D1223" s="122"/>
      <c r="E1223" s="114"/>
    </row>
    <row r="1224" spans="1:5" x14ac:dyDescent="0.25">
      <c r="A1224" s="82"/>
      <c r="B1224" s="81"/>
      <c r="C1224" s="81"/>
      <c r="D1224" s="122"/>
      <c r="E1224" s="114"/>
    </row>
    <row r="1225" spans="1:5" x14ac:dyDescent="0.25">
      <c r="A1225" s="82"/>
      <c r="B1225" s="81"/>
      <c r="C1225" s="81"/>
      <c r="D1225" s="122"/>
      <c r="E1225" s="114"/>
    </row>
    <row r="1226" spans="1:5" x14ac:dyDescent="0.25">
      <c r="A1226" s="82"/>
      <c r="B1226" s="81"/>
      <c r="C1226" s="81"/>
      <c r="D1226" s="122"/>
      <c r="E1226" s="114"/>
    </row>
    <row r="1227" spans="1:5" x14ac:dyDescent="0.25">
      <c r="A1227" s="82"/>
      <c r="B1227" s="81"/>
      <c r="C1227" s="81"/>
      <c r="D1227" s="122"/>
      <c r="E1227" s="114"/>
    </row>
    <row r="1228" spans="1:5" x14ac:dyDescent="0.25">
      <c r="A1228" s="82"/>
      <c r="B1228" s="81"/>
      <c r="C1228" s="81"/>
      <c r="D1228" s="122"/>
      <c r="E1228" s="114"/>
    </row>
    <row r="1229" spans="1:5" x14ac:dyDescent="0.25">
      <c r="A1229" s="82"/>
      <c r="B1229" s="81"/>
      <c r="C1229" s="81"/>
      <c r="D1229" s="122"/>
      <c r="E1229" s="114"/>
    </row>
    <row r="1230" spans="1:5" x14ac:dyDescent="0.25">
      <c r="A1230" s="82"/>
      <c r="B1230" s="81"/>
      <c r="C1230" s="81"/>
      <c r="D1230" s="122"/>
      <c r="E1230" s="114"/>
    </row>
    <row r="1231" spans="1:5" x14ac:dyDescent="0.25">
      <c r="A1231" s="82"/>
      <c r="B1231" s="81"/>
      <c r="C1231" s="81"/>
      <c r="D1231" s="122"/>
      <c r="E1231" s="114"/>
    </row>
    <row r="1232" spans="1:5" x14ac:dyDescent="0.25">
      <c r="A1232" s="82"/>
      <c r="B1232" s="81"/>
      <c r="C1232" s="81"/>
      <c r="D1232" s="122"/>
      <c r="E1232" s="114"/>
    </row>
    <row r="1233" spans="1:5" x14ac:dyDescent="0.25">
      <c r="A1233" s="82"/>
      <c r="B1233" s="81"/>
      <c r="C1233" s="81"/>
      <c r="D1233" s="122"/>
      <c r="E1233" s="114"/>
    </row>
    <row r="1234" spans="1:5" x14ac:dyDescent="0.25">
      <c r="A1234" s="82"/>
      <c r="B1234" s="81"/>
      <c r="C1234" s="81"/>
      <c r="D1234" s="122"/>
      <c r="E1234" s="114"/>
    </row>
    <row r="1235" spans="1:5" x14ac:dyDescent="0.25">
      <c r="A1235" s="82"/>
      <c r="B1235" s="81"/>
      <c r="C1235" s="81"/>
      <c r="D1235" s="122"/>
      <c r="E1235" s="114"/>
    </row>
    <row r="1236" spans="1:5" x14ac:dyDescent="0.25">
      <c r="A1236" s="82"/>
      <c r="B1236" s="81"/>
      <c r="C1236" s="81"/>
      <c r="D1236" s="122"/>
      <c r="E1236" s="114"/>
    </row>
    <row r="1237" spans="1:5" x14ac:dyDescent="0.25">
      <c r="A1237" s="82"/>
      <c r="B1237" s="81"/>
      <c r="C1237" s="81"/>
      <c r="D1237" s="122"/>
      <c r="E1237" s="114"/>
    </row>
    <row r="1238" spans="1:5" x14ac:dyDescent="0.25">
      <c r="A1238" s="82"/>
      <c r="B1238" s="81"/>
      <c r="C1238" s="81"/>
      <c r="D1238" s="122"/>
      <c r="E1238" s="114"/>
    </row>
    <row r="1239" spans="1:5" x14ac:dyDescent="0.25">
      <c r="A1239" s="82"/>
      <c r="B1239" s="81"/>
      <c r="C1239" s="81"/>
      <c r="D1239" s="122"/>
      <c r="E1239" s="114"/>
    </row>
    <row r="1240" spans="1:5" x14ac:dyDescent="0.25">
      <c r="A1240" s="82"/>
      <c r="B1240" s="81"/>
      <c r="C1240" s="81"/>
      <c r="D1240" s="122"/>
      <c r="E1240" s="114"/>
    </row>
    <row r="1241" spans="1:5" x14ac:dyDescent="0.25">
      <c r="A1241" s="82"/>
      <c r="B1241" s="81"/>
      <c r="C1241" s="81"/>
      <c r="D1241" s="122"/>
      <c r="E1241" s="114"/>
    </row>
    <row r="1242" spans="1:5" x14ac:dyDescent="0.25">
      <c r="A1242" s="82"/>
      <c r="B1242" s="81"/>
      <c r="C1242" s="81"/>
      <c r="D1242" s="122"/>
      <c r="E1242" s="114"/>
    </row>
    <row r="1243" spans="1:5" x14ac:dyDescent="0.25">
      <c r="A1243" s="82"/>
      <c r="B1243" s="81"/>
      <c r="C1243" s="81"/>
      <c r="D1243" s="122"/>
      <c r="E1243" s="114"/>
    </row>
    <row r="1244" spans="1:5" x14ac:dyDescent="0.25">
      <c r="A1244" s="82"/>
      <c r="B1244" s="81"/>
      <c r="C1244" s="81"/>
      <c r="D1244" s="122"/>
      <c r="E1244" s="114"/>
    </row>
    <row r="1245" spans="1:5" x14ac:dyDescent="0.25">
      <c r="A1245" s="82"/>
      <c r="B1245" s="81"/>
      <c r="C1245" s="81"/>
      <c r="D1245" s="122"/>
      <c r="E1245" s="114"/>
    </row>
    <row r="1246" spans="1:5" x14ac:dyDescent="0.25">
      <c r="A1246" s="82"/>
      <c r="B1246" s="81"/>
      <c r="C1246" s="81"/>
      <c r="D1246" s="122"/>
      <c r="E1246" s="114"/>
    </row>
    <row r="1247" spans="1:5" x14ac:dyDescent="0.25">
      <c r="A1247" s="82"/>
      <c r="B1247" s="81"/>
      <c r="C1247" s="81"/>
      <c r="D1247" s="122"/>
      <c r="E1247" s="114"/>
    </row>
    <row r="1248" spans="1:5" x14ac:dyDescent="0.25">
      <c r="A1248" s="82"/>
      <c r="B1248" s="81"/>
      <c r="C1248" s="81"/>
      <c r="D1248" s="122"/>
      <c r="E1248" s="114"/>
    </row>
    <row r="1249" spans="1:5" x14ac:dyDescent="0.25">
      <c r="A1249" s="82"/>
      <c r="B1249" s="81"/>
      <c r="C1249" s="81"/>
      <c r="D1249" s="122"/>
      <c r="E1249" s="114"/>
    </row>
    <row r="1250" spans="1:5" x14ac:dyDescent="0.25">
      <c r="A1250" s="82"/>
      <c r="B1250" s="81"/>
      <c r="C1250" s="81"/>
      <c r="D1250" s="122"/>
      <c r="E1250" s="114"/>
    </row>
    <row r="1251" spans="1:5" x14ac:dyDescent="0.25">
      <c r="A1251" s="82"/>
      <c r="B1251" s="81"/>
      <c r="C1251" s="81"/>
      <c r="D1251" s="122"/>
      <c r="E1251" s="114"/>
    </row>
    <row r="1252" spans="1:5" x14ac:dyDescent="0.25">
      <c r="A1252" s="82"/>
      <c r="B1252" s="81"/>
      <c r="C1252" s="81"/>
      <c r="D1252" s="122"/>
      <c r="E1252" s="114"/>
    </row>
    <row r="1253" spans="1:5" x14ac:dyDescent="0.25">
      <c r="A1253" s="82"/>
      <c r="B1253" s="81"/>
      <c r="C1253" s="81"/>
      <c r="D1253" s="122"/>
      <c r="E1253" s="114"/>
    </row>
    <row r="1254" spans="1:5" x14ac:dyDescent="0.25">
      <c r="A1254" s="82"/>
      <c r="B1254" s="81"/>
      <c r="C1254" s="81"/>
      <c r="D1254" s="122"/>
      <c r="E1254" s="114"/>
    </row>
    <row r="1255" spans="1:5" x14ac:dyDescent="0.25">
      <c r="A1255" s="82"/>
      <c r="B1255" s="81"/>
      <c r="C1255" s="81"/>
      <c r="D1255" s="122"/>
      <c r="E1255" s="114"/>
    </row>
    <row r="1256" spans="1:5" x14ac:dyDescent="0.25">
      <c r="A1256" s="82"/>
      <c r="B1256" s="81"/>
      <c r="C1256" s="81"/>
      <c r="D1256" s="122"/>
      <c r="E1256" s="114"/>
    </row>
    <row r="1257" spans="1:5" x14ac:dyDescent="0.25">
      <c r="A1257" s="82"/>
      <c r="B1257" s="81"/>
      <c r="C1257" s="81"/>
      <c r="D1257" s="122"/>
      <c r="E1257" s="114"/>
    </row>
    <row r="1258" spans="1:5" x14ac:dyDescent="0.25">
      <c r="A1258" s="82"/>
      <c r="B1258" s="81"/>
      <c r="C1258" s="81"/>
      <c r="D1258" s="122"/>
      <c r="E1258" s="114"/>
    </row>
    <row r="1259" spans="1:5" x14ac:dyDescent="0.25">
      <c r="A1259" s="82"/>
      <c r="B1259" s="81"/>
      <c r="C1259" s="81"/>
      <c r="D1259" s="122"/>
      <c r="E1259" s="114"/>
    </row>
    <row r="1260" spans="1:5" x14ac:dyDescent="0.25">
      <c r="A1260" s="82"/>
      <c r="B1260" s="81"/>
      <c r="C1260" s="81"/>
      <c r="D1260" s="122"/>
      <c r="E1260" s="114"/>
    </row>
    <row r="1261" spans="1:5" x14ac:dyDescent="0.25">
      <c r="A1261" s="82"/>
      <c r="B1261" s="81"/>
      <c r="C1261" s="81"/>
      <c r="D1261" s="122"/>
      <c r="E1261" s="114"/>
    </row>
    <row r="1262" spans="1:5" x14ac:dyDescent="0.25">
      <c r="A1262" s="82"/>
      <c r="B1262" s="81"/>
      <c r="C1262" s="81"/>
      <c r="D1262" s="122"/>
      <c r="E1262" s="114"/>
    </row>
    <row r="1263" spans="1:5" x14ac:dyDescent="0.25">
      <c r="A1263" s="82"/>
      <c r="B1263" s="81"/>
      <c r="C1263" s="81"/>
      <c r="D1263" s="122"/>
      <c r="E1263" s="114"/>
    </row>
    <row r="1264" spans="1:5" x14ac:dyDescent="0.25">
      <c r="A1264" s="82"/>
      <c r="B1264" s="81"/>
      <c r="C1264" s="81"/>
      <c r="D1264" s="122"/>
      <c r="E1264" s="114"/>
    </row>
    <row r="1265" spans="1:5" x14ac:dyDescent="0.25">
      <c r="A1265" s="82"/>
      <c r="B1265" s="81"/>
      <c r="C1265" s="81"/>
      <c r="D1265" s="122"/>
      <c r="E1265" s="114"/>
    </row>
    <row r="1266" spans="1:5" x14ac:dyDescent="0.25">
      <c r="A1266" s="82"/>
      <c r="B1266" s="81"/>
      <c r="C1266" s="81"/>
      <c r="D1266" s="122"/>
      <c r="E1266" s="114"/>
    </row>
    <row r="1267" spans="1:5" x14ac:dyDescent="0.25">
      <c r="A1267" s="82"/>
      <c r="B1267" s="81"/>
      <c r="C1267" s="81"/>
      <c r="D1267" s="122"/>
      <c r="E1267" s="114"/>
    </row>
    <row r="1268" spans="1:5" x14ac:dyDescent="0.25">
      <c r="A1268" s="82"/>
      <c r="B1268" s="81"/>
      <c r="C1268" s="81"/>
      <c r="D1268" s="122"/>
      <c r="E1268" s="114"/>
    </row>
    <row r="1269" spans="1:5" x14ac:dyDescent="0.25">
      <c r="A1269" s="82"/>
      <c r="B1269" s="81"/>
      <c r="C1269" s="81"/>
      <c r="D1269" s="122"/>
      <c r="E1269" s="114"/>
    </row>
    <row r="1270" spans="1:5" x14ac:dyDescent="0.25">
      <c r="A1270" s="82"/>
      <c r="B1270" s="81"/>
      <c r="C1270" s="81"/>
      <c r="D1270" s="122"/>
      <c r="E1270" s="114"/>
    </row>
    <row r="1271" spans="1:5" x14ac:dyDescent="0.25">
      <c r="A1271" s="82"/>
      <c r="B1271" s="81"/>
      <c r="C1271" s="81"/>
      <c r="D1271" s="122"/>
      <c r="E1271" s="114"/>
    </row>
    <row r="1272" spans="1:5" x14ac:dyDescent="0.25">
      <c r="A1272" s="82"/>
      <c r="B1272" s="81"/>
      <c r="C1272" s="81"/>
      <c r="D1272" s="122"/>
      <c r="E1272" s="114"/>
    </row>
    <row r="1273" spans="1:5" x14ac:dyDescent="0.25">
      <c r="A1273" s="82"/>
      <c r="B1273" s="81"/>
      <c r="C1273" s="81"/>
      <c r="D1273" s="122"/>
      <c r="E1273" s="114"/>
    </row>
    <row r="1274" spans="1:5" x14ac:dyDescent="0.25">
      <c r="A1274" s="82"/>
      <c r="B1274" s="81"/>
      <c r="C1274" s="81"/>
      <c r="D1274" s="122"/>
      <c r="E1274" s="114"/>
    </row>
    <row r="1275" spans="1:5" x14ac:dyDescent="0.25">
      <c r="A1275" s="82"/>
      <c r="B1275" s="81"/>
      <c r="C1275" s="81"/>
      <c r="D1275" s="122"/>
      <c r="E1275" s="114"/>
    </row>
    <row r="1276" spans="1:5" x14ac:dyDescent="0.25">
      <c r="A1276" s="82"/>
      <c r="B1276" s="81"/>
      <c r="C1276" s="81"/>
      <c r="D1276" s="122"/>
      <c r="E1276" s="114"/>
    </row>
    <row r="1277" spans="1:5" x14ac:dyDescent="0.25">
      <c r="A1277" s="82"/>
      <c r="B1277" s="81"/>
      <c r="C1277" s="81"/>
      <c r="D1277" s="122"/>
      <c r="E1277" s="114"/>
    </row>
    <row r="1278" spans="1:5" x14ac:dyDescent="0.25">
      <c r="A1278" s="82"/>
      <c r="B1278" s="81"/>
      <c r="C1278" s="81"/>
      <c r="D1278" s="122"/>
      <c r="E1278" s="114"/>
    </row>
    <row r="1279" spans="1:5" x14ac:dyDescent="0.25">
      <c r="A1279" s="82"/>
      <c r="B1279" s="81"/>
      <c r="C1279" s="81"/>
      <c r="D1279" s="122"/>
      <c r="E1279" s="114"/>
    </row>
    <row r="1280" spans="1:5" x14ac:dyDescent="0.25">
      <c r="A1280" s="82"/>
      <c r="B1280" s="81"/>
      <c r="C1280" s="81"/>
      <c r="D1280" s="122"/>
      <c r="E1280" s="114"/>
    </row>
    <row r="1281" spans="1:5" x14ac:dyDescent="0.25">
      <c r="A1281" s="82"/>
      <c r="B1281" s="81"/>
      <c r="C1281" s="81"/>
      <c r="D1281" s="122"/>
      <c r="E1281" s="114"/>
    </row>
    <row r="1282" spans="1:5" x14ac:dyDescent="0.25">
      <c r="A1282" s="82"/>
      <c r="B1282" s="81"/>
      <c r="C1282" s="81"/>
      <c r="D1282" s="122"/>
      <c r="E1282" s="114"/>
    </row>
    <row r="1283" spans="1:5" x14ac:dyDescent="0.25">
      <c r="A1283" s="82"/>
      <c r="B1283" s="81"/>
      <c r="C1283" s="81"/>
      <c r="D1283" s="122"/>
      <c r="E1283" s="114"/>
    </row>
    <row r="1284" spans="1:5" x14ac:dyDescent="0.25">
      <c r="A1284" s="82"/>
      <c r="B1284" s="81"/>
      <c r="C1284" s="81"/>
      <c r="D1284" s="122"/>
      <c r="E1284" s="114"/>
    </row>
    <row r="1285" spans="1:5" x14ac:dyDescent="0.25">
      <c r="A1285" s="82"/>
      <c r="B1285" s="81"/>
      <c r="C1285" s="81"/>
      <c r="D1285" s="122"/>
      <c r="E1285" s="114"/>
    </row>
    <row r="1286" spans="1:5" x14ac:dyDescent="0.25">
      <c r="A1286" s="82"/>
      <c r="B1286" s="81"/>
      <c r="C1286" s="81"/>
      <c r="D1286" s="122"/>
      <c r="E1286" s="114"/>
    </row>
    <row r="1287" spans="1:5" x14ac:dyDescent="0.25">
      <c r="A1287" s="82"/>
      <c r="B1287" s="81"/>
      <c r="C1287" s="81"/>
      <c r="D1287" s="122"/>
      <c r="E1287" s="114"/>
    </row>
    <row r="1288" spans="1:5" x14ac:dyDescent="0.25">
      <c r="A1288" s="82"/>
      <c r="B1288" s="81"/>
      <c r="C1288" s="81"/>
      <c r="D1288" s="122"/>
      <c r="E1288" s="114"/>
    </row>
    <row r="1289" spans="1:5" x14ac:dyDescent="0.25">
      <c r="A1289" s="82"/>
      <c r="B1289" s="81"/>
      <c r="C1289" s="81"/>
      <c r="D1289" s="122"/>
      <c r="E1289" s="114"/>
    </row>
    <row r="1290" spans="1:5" x14ac:dyDescent="0.25">
      <c r="A1290" s="82"/>
      <c r="B1290" s="81"/>
      <c r="C1290" s="81"/>
      <c r="D1290" s="122"/>
      <c r="E1290" s="114"/>
    </row>
    <row r="1291" spans="1:5" x14ac:dyDescent="0.25">
      <c r="A1291" s="82"/>
      <c r="B1291" s="81"/>
      <c r="C1291" s="81"/>
      <c r="D1291" s="122"/>
      <c r="E1291" s="114"/>
    </row>
    <row r="1292" spans="1:5" x14ac:dyDescent="0.25">
      <c r="A1292" s="82"/>
      <c r="B1292" s="81"/>
      <c r="C1292" s="81"/>
      <c r="D1292" s="122"/>
      <c r="E1292" s="114"/>
    </row>
    <row r="1293" spans="1:5" x14ac:dyDescent="0.25">
      <c r="A1293" s="82"/>
      <c r="B1293" s="81"/>
      <c r="C1293" s="81"/>
      <c r="D1293" s="122"/>
      <c r="E1293" s="114"/>
    </row>
    <row r="1294" spans="1:5" x14ac:dyDescent="0.25">
      <c r="A1294" s="82"/>
      <c r="B1294" s="81"/>
      <c r="C1294" s="81"/>
      <c r="D1294" s="122"/>
      <c r="E1294" s="114"/>
    </row>
    <row r="1295" spans="1:5" x14ac:dyDescent="0.25">
      <c r="A1295" s="82"/>
      <c r="B1295" s="81"/>
      <c r="C1295" s="81"/>
      <c r="D1295" s="122"/>
      <c r="E1295" s="114"/>
    </row>
    <row r="1296" spans="1:5" x14ac:dyDescent="0.25">
      <c r="A1296" s="82"/>
      <c r="B1296" s="81"/>
      <c r="C1296" s="81"/>
      <c r="D1296" s="122"/>
      <c r="E1296" s="114"/>
    </row>
    <row r="1297" spans="1:5" x14ac:dyDescent="0.25">
      <c r="A1297" s="82"/>
      <c r="B1297" s="81"/>
      <c r="C1297" s="81"/>
      <c r="D1297" s="122"/>
      <c r="E1297" s="114"/>
    </row>
    <row r="1298" spans="1:5" x14ac:dyDescent="0.25">
      <c r="A1298" s="82"/>
      <c r="B1298" s="81"/>
      <c r="C1298" s="81"/>
      <c r="D1298" s="122"/>
      <c r="E1298" s="114"/>
    </row>
    <row r="1299" spans="1:5" x14ac:dyDescent="0.25">
      <c r="A1299" s="82"/>
      <c r="B1299" s="81"/>
      <c r="C1299" s="81"/>
      <c r="D1299" s="122"/>
      <c r="E1299" s="114"/>
    </row>
    <row r="1300" spans="1:5" x14ac:dyDescent="0.25">
      <c r="A1300" s="82"/>
      <c r="B1300" s="81"/>
      <c r="C1300" s="81"/>
      <c r="D1300" s="122"/>
      <c r="E1300" s="114"/>
    </row>
    <row r="1301" spans="1:5" x14ac:dyDescent="0.25">
      <c r="A1301" s="82"/>
      <c r="B1301" s="81"/>
      <c r="C1301" s="81"/>
      <c r="D1301" s="122"/>
      <c r="E1301" s="114"/>
    </row>
    <row r="1302" spans="1:5" x14ac:dyDescent="0.25">
      <c r="A1302" s="82"/>
      <c r="B1302" s="81"/>
      <c r="C1302" s="81"/>
      <c r="D1302" s="122"/>
      <c r="E1302" s="114"/>
    </row>
    <row r="1303" spans="1:5" x14ac:dyDescent="0.25">
      <c r="A1303" s="82"/>
      <c r="B1303" s="81"/>
      <c r="C1303" s="81"/>
      <c r="D1303" s="122"/>
      <c r="E1303" s="114"/>
    </row>
    <row r="1304" spans="1:5" x14ac:dyDescent="0.25">
      <c r="A1304" s="82"/>
      <c r="B1304" s="81"/>
      <c r="C1304" s="81"/>
      <c r="D1304" s="122"/>
      <c r="E1304" s="114"/>
    </row>
    <row r="1305" spans="1:5" x14ac:dyDescent="0.25">
      <c r="A1305" s="82"/>
      <c r="B1305" s="81"/>
      <c r="C1305" s="81"/>
      <c r="D1305" s="122"/>
      <c r="E1305" s="114"/>
    </row>
    <row r="1306" spans="1:5" x14ac:dyDescent="0.25">
      <c r="A1306" s="82"/>
      <c r="B1306" s="81"/>
      <c r="C1306" s="81"/>
      <c r="D1306" s="122"/>
      <c r="E1306" s="114"/>
    </row>
    <row r="1307" spans="1:5" x14ac:dyDescent="0.25">
      <c r="A1307" s="82"/>
      <c r="B1307" s="81"/>
      <c r="C1307" s="81"/>
      <c r="D1307" s="122"/>
      <c r="E1307" s="114"/>
    </row>
    <row r="1308" spans="1:5" x14ac:dyDescent="0.25">
      <c r="A1308" s="82"/>
      <c r="B1308" s="81"/>
      <c r="C1308" s="81"/>
      <c r="D1308" s="122"/>
      <c r="E1308" s="114"/>
    </row>
    <row r="1309" spans="1:5" x14ac:dyDescent="0.25">
      <c r="A1309" s="82"/>
      <c r="B1309" s="81"/>
      <c r="C1309" s="81"/>
      <c r="D1309" s="122"/>
      <c r="E1309" s="114"/>
    </row>
    <row r="1310" spans="1:5" x14ac:dyDescent="0.25">
      <c r="A1310" s="82"/>
      <c r="B1310" s="81"/>
      <c r="C1310" s="81"/>
      <c r="D1310" s="122"/>
      <c r="E1310" s="114"/>
    </row>
    <row r="1311" spans="1:5" x14ac:dyDescent="0.25">
      <c r="A1311" s="82"/>
      <c r="B1311" s="81"/>
      <c r="C1311" s="81"/>
      <c r="D1311" s="122"/>
      <c r="E1311" s="114"/>
    </row>
    <row r="1312" spans="1:5" x14ac:dyDescent="0.25">
      <c r="A1312" s="82"/>
      <c r="B1312" s="81"/>
      <c r="C1312" s="81"/>
      <c r="D1312" s="122"/>
      <c r="E1312" s="114"/>
    </row>
    <row r="1313" spans="1:5" x14ac:dyDescent="0.25">
      <c r="A1313" s="82"/>
      <c r="B1313" s="81"/>
      <c r="C1313" s="81"/>
      <c r="D1313" s="122"/>
      <c r="E1313" s="114"/>
    </row>
    <row r="1314" spans="1:5" x14ac:dyDescent="0.25">
      <c r="A1314" s="82"/>
      <c r="B1314" s="81"/>
      <c r="C1314" s="81"/>
      <c r="D1314" s="122"/>
      <c r="E1314" s="114"/>
    </row>
    <row r="1315" spans="1:5" x14ac:dyDescent="0.25">
      <c r="A1315" s="82"/>
      <c r="B1315" s="81"/>
      <c r="C1315" s="81"/>
      <c r="D1315" s="122"/>
      <c r="E1315" s="114"/>
    </row>
    <row r="1316" spans="1:5" x14ac:dyDescent="0.25">
      <c r="A1316" s="82"/>
      <c r="B1316" s="81"/>
      <c r="C1316" s="81"/>
      <c r="D1316" s="122"/>
      <c r="E1316" s="114"/>
    </row>
    <row r="1317" spans="1:5" x14ac:dyDescent="0.25">
      <c r="A1317" s="82"/>
      <c r="B1317" s="81"/>
      <c r="C1317" s="81"/>
      <c r="D1317" s="122"/>
      <c r="E1317" s="114"/>
    </row>
    <row r="1318" spans="1:5" x14ac:dyDescent="0.25">
      <c r="A1318" s="82"/>
      <c r="B1318" s="81"/>
      <c r="C1318" s="81"/>
      <c r="D1318" s="122"/>
      <c r="E1318" s="114"/>
    </row>
    <row r="1319" spans="1:5" x14ac:dyDescent="0.25">
      <c r="A1319" s="82"/>
      <c r="B1319" s="81"/>
      <c r="C1319" s="81"/>
      <c r="D1319" s="122"/>
      <c r="E1319" s="114"/>
    </row>
    <row r="1320" spans="1:5" x14ac:dyDescent="0.25">
      <c r="A1320" s="82"/>
      <c r="B1320" s="81"/>
      <c r="C1320" s="81"/>
      <c r="D1320" s="122"/>
      <c r="E1320" s="114"/>
    </row>
    <row r="1321" spans="1:5" x14ac:dyDescent="0.25">
      <c r="A1321" s="82"/>
      <c r="B1321" s="81"/>
      <c r="C1321" s="81"/>
      <c r="D1321" s="122"/>
      <c r="E1321" s="114"/>
    </row>
    <row r="1322" spans="1:5" x14ac:dyDescent="0.25">
      <c r="A1322" s="82"/>
      <c r="B1322" s="81"/>
      <c r="C1322" s="81"/>
      <c r="D1322" s="122"/>
      <c r="E1322" s="114"/>
    </row>
    <row r="1323" spans="1:5" x14ac:dyDescent="0.25">
      <c r="A1323" s="82"/>
      <c r="B1323" s="81"/>
      <c r="C1323" s="81"/>
      <c r="D1323" s="122"/>
      <c r="E1323" s="114"/>
    </row>
    <row r="1324" spans="1:5" x14ac:dyDescent="0.25">
      <c r="A1324" s="82"/>
      <c r="B1324" s="81"/>
      <c r="C1324" s="81"/>
      <c r="D1324" s="122"/>
      <c r="E1324" s="114"/>
    </row>
    <row r="1325" spans="1:5" x14ac:dyDescent="0.25">
      <c r="A1325" s="82"/>
      <c r="B1325" s="81"/>
      <c r="C1325" s="81"/>
      <c r="D1325" s="122"/>
      <c r="E1325" s="114"/>
    </row>
    <row r="1326" spans="1:5" x14ac:dyDescent="0.25">
      <c r="A1326" s="82"/>
      <c r="B1326" s="81"/>
      <c r="C1326" s="81"/>
      <c r="D1326" s="122"/>
      <c r="E1326" s="114"/>
    </row>
    <row r="1327" spans="1:5" x14ac:dyDescent="0.25">
      <c r="A1327" s="82"/>
      <c r="B1327" s="81"/>
      <c r="C1327" s="81"/>
      <c r="D1327" s="122"/>
      <c r="E1327" s="114"/>
    </row>
    <row r="1328" spans="1:5" x14ac:dyDescent="0.25">
      <c r="A1328" s="82"/>
      <c r="B1328" s="81"/>
      <c r="C1328" s="81"/>
      <c r="D1328" s="122"/>
      <c r="E1328" s="114"/>
    </row>
    <row r="1329" spans="1:5" x14ac:dyDescent="0.25">
      <c r="A1329" s="82"/>
      <c r="B1329" s="81"/>
      <c r="C1329" s="81"/>
      <c r="D1329" s="122"/>
      <c r="E1329" s="114"/>
    </row>
    <row r="1330" spans="1:5" x14ac:dyDescent="0.25">
      <c r="A1330" s="82"/>
      <c r="B1330" s="81"/>
      <c r="C1330" s="81"/>
      <c r="D1330" s="122"/>
      <c r="E1330" s="114"/>
    </row>
    <row r="1331" spans="1:5" x14ac:dyDescent="0.25">
      <c r="A1331" s="82"/>
      <c r="B1331" s="81"/>
      <c r="C1331" s="81"/>
      <c r="D1331" s="122"/>
      <c r="E1331" s="114"/>
    </row>
    <row r="1332" spans="1:5" x14ac:dyDescent="0.25">
      <c r="A1332" s="82"/>
      <c r="B1332" s="81"/>
      <c r="C1332" s="81"/>
      <c r="D1332" s="122"/>
      <c r="E1332" s="114"/>
    </row>
    <row r="1333" spans="1:5" x14ac:dyDescent="0.25">
      <c r="A1333" s="82"/>
      <c r="B1333" s="81"/>
      <c r="C1333" s="81"/>
      <c r="D1333" s="122"/>
      <c r="E1333" s="114"/>
    </row>
    <row r="1334" spans="1:5" x14ac:dyDescent="0.25">
      <c r="A1334" s="82"/>
      <c r="B1334" s="81"/>
      <c r="C1334" s="81"/>
      <c r="D1334" s="122"/>
      <c r="E1334" s="114"/>
    </row>
    <row r="1335" spans="1:5" x14ac:dyDescent="0.25">
      <c r="A1335" s="82"/>
      <c r="B1335" s="81"/>
      <c r="C1335" s="81"/>
      <c r="D1335" s="122"/>
      <c r="E1335" s="114"/>
    </row>
    <row r="1336" spans="1:5" x14ac:dyDescent="0.25">
      <c r="A1336" s="82"/>
      <c r="B1336" s="81"/>
      <c r="C1336" s="81"/>
      <c r="D1336" s="122"/>
      <c r="E1336" s="114"/>
    </row>
    <row r="1337" spans="1:5" x14ac:dyDescent="0.25">
      <c r="A1337" s="82"/>
      <c r="B1337" s="81"/>
      <c r="C1337" s="81"/>
      <c r="D1337" s="122"/>
      <c r="E1337" s="114"/>
    </row>
    <row r="1338" spans="1:5" x14ac:dyDescent="0.25">
      <c r="A1338" s="82"/>
      <c r="B1338" s="81"/>
      <c r="C1338" s="81"/>
      <c r="D1338" s="122"/>
      <c r="E1338" s="114"/>
    </row>
    <row r="1339" spans="1:5" x14ac:dyDescent="0.25">
      <c r="A1339" s="82"/>
      <c r="B1339" s="81"/>
      <c r="C1339" s="81"/>
      <c r="D1339" s="122"/>
      <c r="E1339" s="114"/>
    </row>
    <row r="1340" spans="1:5" x14ac:dyDescent="0.25">
      <c r="A1340" s="82"/>
      <c r="B1340" s="81"/>
      <c r="C1340" s="81"/>
      <c r="D1340" s="122"/>
      <c r="E1340" s="114"/>
    </row>
    <row r="1341" spans="1:5" x14ac:dyDescent="0.25">
      <c r="A1341" s="82"/>
      <c r="B1341" s="81"/>
      <c r="C1341" s="81"/>
      <c r="D1341" s="122"/>
      <c r="E1341" s="114"/>
    </row>
    <row r="1342" spans="1:5" x14ac:dyDescent="0.25">
      <c r="A1342" s="82"/>
      <c r="B1342" s="81"/>
      <c r="C1342" s="81"/>
      <c r="D1342" s="122"/>
      <c r="E1342" s="114"/>
    </row>
    <row r="1343" spans="1:5" x14ac:dyDescent="0.25">
      <c r="A1343" s="82"/>
      <c r="B1343" s="81"/>
      <c r="C1343" s="81"/>
      <c r="D1343" s="122"/>
      <c r="E1343" s="114"/>
    </row>
    <row r="1344" spans="1:5" x14ac:dyDescent="0.25">
      <c r="A1344" s="82"/>
      <c r="B1344" s="81"/>
      <c r="C1344" s="81"/>
      <c r="D1344" s="122"/>
      <c r="E1344" s="114"/>
    </row>
    <row r="1345" spans="1:5" x14ac:dyDescent="0.25">
      <c r="A1345" s="82"/>
      <c r="B1345" s="81"/>
      <c r="C1345" s="81"/>
      <c r="D1345" s="122"/>
      <c r="E1345" s="114"/>
    </row>
    <row r="1346" spans="1:5" x14ac:dyDescent="0.25">
      <c r="A1346" s="82"/>
      <c r="B1346" s="81"/>
      <c r="C1346" s="81"/>
      <c r="D1346" s="122"/>
      <c r="E1346" s="114"/>
    </row>
    <row r="1347" spans="1:5" x14ac:dyDescent="0.25">
      <c r="A1347" s="82"/>
      <c r="B1347" s="81"/>
      <c r="C1347" s="81"/>
      <c r="D1347" s="122"/>
      <c r="E1347" s="114"/>
    </row>
    <row r="1348" spans="1:5" x14ac:dyDescent="0.25">
      <c r="A1348" s="82"/>
      <c r="B1348" s="81"/>
      <c r="C1348" s="81"/>
      <c r="D1348" s="122"/>
      <c r="E1348" s="114"/>
    </row>
    <row r="1349" spans="1:5" x14ac:dyDescent="0.25">
      <c r="A1349" s="82"/>
      <c r="B1349" s="81"/>
      <c r="C1349" s="81"/>
      <c r="D1349" s="122"/>
      <c r="E1349" s="114"/>
    </row>
    <row r="1350" spans="1:5" x14ac:dyDescent="0.25">
      <c r="A1350" s="82"/>
      <c r="B1350" s="81"/>
      <c r="C1350" s="81"/>
      <c r="D1350" s="122"/>
      <c r="E1350" s="114"/>
    </row>
    <row r="1351" spans="1:5" x14ac:dyDescent="0.25">
      <c r="A1351" s="82"/>
      <c r="B1351" s="81"/>
      <c r="C1351" s="81"/>
      <c r="D1351" s="122"/>
      <c r="E1351" s="114"/>
    </row>
    <row r="1352" spans="1:5" x14ac:dyDescent="0.25">
      <c r="A1352" s="82"/>
      <c r="B1352" s="81"/>
      <c r="C1352" s="81"/>
      <c r="D1352" s="122"/>
      <c r="E1352" s="114"/>
    </row>
    <row r="1353" spans="1:5" x14ac:dyDescent="0.25">
      <c r="A1353" s="82"/>
      <c r="B1353" s="81"/>
      <c r="C1353" s="81"/>
      <c r="D1353" s="122"/>
      <c r="E1353" s="114"/>
    </row>
    <row r="1354" spans="1:5" x14ac:dyDescent="0.25">
      <c r="A1354" s="82"/>
      <c r="B1354" s="81"/>
      <c r="C1354" s="81"/>
      <c r="D1354" s="122"/>
      <c r="E1354" s="114"/>
    </row>
    <row r="1355" spans="1:5" x14ac:dyDescent="0.25">
      <c r="A1355" s="82"/>
      <c r="B1355" s="81"/>
      <c r="C1355" s="81"/>
      <c r="D1355" s="122"/>
      <c r="E1355" s="114"/>
    </row>
    <row r="1356" spans="1:5" x14ac:dyDescent="0.25">
      <c r="A1356" s="82"/>
      <c r="B1356" s="81"/>
      <c r="C1356" s="81"/>
      <c r="D1356" s="122"/>
      <c r="E1356" s="114"/>
    </row>
    <row r="1357" spans="1:5" x14ac:dyDescent="0.25">
      <c r="A1357" s="82"/>
      <c r="B1357" s="81"/>
      <c r="C1357" s="81"/>
      <c r="D1357" s="122"/>
      <c r="E1357" s="114"/>
    </row>
    <row r="1358" spans="1:5" x14ac:dyDescent="0.25">
      <c r="A1358" s="82"/>
      <c r="B1358" s="81"/>
      <c r="C1358" s="81"/>
      <c r="D1358" s="122"/>
      <c r="E1358" s="114"/>
    </row>
    <row r="1359" spans="1:5" x14ac:dyDescent="0.25">
      <c r="A1359" s="82"/>
      <c r="B1359" s="81"/>
      <c r="C1359" s="81"/>
      <c r="D1359" s="122"/>
      <c r="E1359" s="114"/>
    </row>
    <row r="1360" spans="1:5" x14ac:dyDescent="0.25">
      <c r="A1360" s="82"/>
      <c r="B1360" s="81"/>
      <c r="C1360" s="81"/>
      <c r="D1360" s="122"/>
      <c r="E1360" s="114"/>
    </row>
    <row r="1361" spans="1:5" x14ac:dyDescent="0.25">
      <c r="A1361" s="82"/>
      <c r="B1361" s="81"/>
      <c r="C1361" s="81"/>
      <c r="D1361" s="122"/>
      <c r="E1361" s="114"/>
    </row>
    <row r="1362" spans="1:5" x14ac:dyDescent="0.25">
      <c r="A1362" s="82"/>
      <c r="B1362" s="81"/>
      <c r="C1362" s="81"/>
      <c r="D1362" s="122"/>
      <c r="E1362" s="114"/>
    </row>
    <row r="1363" spans="1:5" x14ac:dyDescent="0.25">
      <c r="A1363" s="82"/>
      <c r="B1363" s="81"/>
      <c r="C1363" s="81"/>
      <c r="D1363" s="122"/>
      <c r="E1363" s="114"/>
    </row>
    <row r="1364" spans="1:5" x14ac:dyDescent="0.25">
      <c r="A1364" s="82"/>
      <c r="B1364" s="81"/>
      <c r="C1364" s="81"/>
      <c r="D1364" s="122"/>
      <c r="E1364" s="114"/>
    </row>
    <row r="1365" spans="1:5" x14ac:dyDescent="0.25">
      <c r="A1365" s="82"/>
      <c r="B1365" s="81"/>
      <c r="C1365" s="81"/>
      <c r="D1365" s="122"/>
      <c r="E1365" s="114"/>
    </row>
    <row r="1366" spans="1:5" x14ac:dyDescent="0.25">
      <c r="A1366" s="82"/>
      <c r="B1366" s="81"/>
      <c r="C1366" s="81"/>
      <c r="D1366" s="122"/>
      <c r="E1366" s="114"/>
    </row>
    <row r="1367" spans="1:5" x14ac:dyDescent="0.25">
      <c r="A1367" s="82"/>
      <c r="B1367" s="81"/>
      <c r="C1367" s="81"/>
      <c r="D1367" s="122"/>
      <c r="E1367" s="114"/>
    </row>
    <row r="1368" spans="1:5" x14ac:dyDescent="0.25">
      <c r="A1368" s="82"/>
      <c r="B1368" s="81"/>
      <c r="C1368" s="81"/>
      <c r="D1368" s="122"/>
      <c r="E1368" s="114"/>
    </row>
    <row r="1369" spans="1:5" x14ac:dyDescent="0.25">
      <c r="A1369" s="82"/>
      <c r="B1369" s="81"/>
      <c r="C1369" s="81"/>
      <c r="D1369" s="122"/>
      <c r="E1369" s="114"/>
    </row>
    <row r="1370" spans="1:5" x14ac:dyDescent="0.25">
      <c r="A1370" s="82"/>
      <c r="B1370" s="81"/>
      <c r="C1370" s="81"/>
      <c r="D1370" s="122"/>
      <c r="E1370" s="114"/>
    </row>
    <row r="1371" spans="1:5" x14ac:dyDescent="0.25">
      <c r="A1371" s="82"/>
      <c r="B1371" s="81"/>
      <c r="C1371" s="81"/>
      <c r="D1371" s="122"/>
      <c r="E1371" s="114"/>
    </row>
    <row r="1372" spans="1:5" x14ac:dyDescent="0.25">
      <c r="A1372" s="82"/>
      <c r="B1372" s="81"/>
      <c r="C1372" s="81"/>
      <c r="D1372" s="122"/>
      <c r="E1372" s="114"/>
    </row>
    <row r="1373" spans="1:5" x14ac:dyDescent="0.25">
      <c r="A1373" s="82"/>
      <c r="B1373" s="81"/>
      <c r="C1373" s="81"/>
      <c r="D1373" s="122"/>
      <c r="E1373" s="114"/>
    </row>
    <row r="1374" spans="1:5" x14ac:dyDescent="0.25">
      <c r="A1374" s="82"/>
      <c r="B1374" s="81"/>
      <c r="C1374" s="81"/>
      <c r="D1374" s="122"/>
      <c r="E1374" s="114"/>
    </row>
    <row r="1375" spans="1:5" x14ac:dyDescent="0.25">
      <c r="A1375" s="82"/>
      <c r="B1375" s="81"/>
      <c r="C1375" s="81"/>
      <c r="D1375" s="122"/>
      <c r="E1375" s="114"/>
    </row>
    <row r="1376" spans="1:5" x14ac:dyDescent="0.25">
      <c r="A1376" s="82"/>
      <c r="B1376" s="81"/>
      <c r="C1376" s="81"/>
      <c r="D1376" s="122"/>
      <c r="E1376" s="114"/>
    </row>
    <row r="1377" spans="1:5" x14ac:dyDescent="0.25">
      <c r="A1377" s="82"/>
      <c r="B1377" s="81"/>
      <c r="C1377" s="81"/>
      <c r="D1377" s="122"/>
      <c r="E1377" s="114"/>
    </row>
    <row r="1378" spans="1:5" x14ac:dyDescent="0.25">
      <c r="A1378" s="82"/>
      <c r="B1378" s="81"/>
      <c r="C1378" s="81"/>
      <c r="D1378" s="122"/>
      <c r="E1378" s="114"/>
    </row>
    <row r="1379" spans="1:5" x14ac:dyDescent="0.25">
      <c r="A1379" s="82"/>
      <c r="B1379" s="81"/>
      <c r="C1379" s="81"/>
      <c r="D1379" s="122"/>
      <c r="E1379" s="114"/>
    </row>
    <row r="1380" spans="1:5" x14ac:dyDescent="0.25">
      <c r="A1380" s="82"/>
      <c r="B1380" s="81"/>
      <c r="C1380" s="81"/>
      <c r="D1380" s="122"/>
      <c r="E1380" s="114"/>
    </row>
    <row r="1381" spans="1:5" x14ac:dyDescent="0.25">
      <c r="A1381" s="82"/>
      <c r="B1381" s="81"/>
      <c r="C1381" s="81"/>
      <c r="D1381" s="122"/>
      <c r="E1381" s="114"/>
    </row>
    <row r="1382" spans="1:5" x14ac:dyDescent="0.25">
      <c r="A1382" s="82"/>
      <c r="B1382" s="81"/>
      <c r="C1382" s="81"/>
      <c r="D1382" s="122"/>
      <c r="E1382" s="114"/>
    </row>
    <row r="1383" spans="1:5" x14ac:dyDescent="0.25">
      <c r="A1383" s="82"/>
      <c r="B1383" s="81"/>
      <c r="C1383" s="81"/>
      <c r="D1383" s="122"/>
      <c r="E1383" s="114"/>
    </row>
    <row r="1384" spans="1:5" x14ac:dyDescent="0.25">
      <c r="A1384" s="82"/>
      <c r="B1384" s="81"/>
      <c r="C1384" s="81"/>
      <c r="D1384" s="122"/>
      <c r="E1384" s="114"/>
    </row>
    <row r="1385" spans="1:5" x14ac:dyDescent="0.25">
      <c r="A1385" s="82"/>
      <c r="B1385" s="81"/>
      <c r="C1385" s="81"/>
      <c r="D1385" s="122"/>
      <c r="E1385" s="114"/>
    </row>
    <row r="1386" spans="1:5" x14ac:dyDescent="0.25">
      <c r="A1386" s="82"/>
      <c r="B1386" s="81"/>
      <c r="C1386" s="81"/>
      <c r="D1386" s="122"/>
      <c r="E1386" s="114"/>
    </row>
    <row r="1387" spans="1:5" x14ac:dyDescent="0.25">
      <c r="A1387" s="82"/>
      <c r="B1387" s="81"/>
      <c r="C1387" s="81"/>
      <c r="D1387" s="122"/>
      <c r="E1387" s="114"/>
    </row>
    <row r="1388" spans="1:5" x14ac:dyDescent="0.25">
      <c r="A1388" s="82"/>
      <c r="B1388" s="81"/>
      <c r="C1388" s="81"/>
      <c r="D1388" s="122"/>
      <c r="E1388" s="114"/>
    </row>
    <row r="1389" spans="1:5" x14ac:dyDescent="0.25">
      <c r="A1389" s="82"/>
      <c r="B1389" s="81"/>
      <c r="C1389" s="81"/>
      <c r="D1389" s="122"/>
      <c r="E1389" s="114"/>
    </row>
    <row r="1390" spans="1:5" x14ac:dyDescent="0.25">
      <c r="A1390" s="82"/>
      <c r="B1390" s="81"/>
      <c r="C1390" s="81"/>
      <c r="D1390" s="122"/>
      <c r="E1390" s="114"/>
    </row>
    <row r="1391" spans="1:5" x14ac:dyDescent="0.25">
      <c r="A1391" s="82"/>
      <c r="B1391" s="81"/>
      <c r="C1391" s="81"/>
      <c r="D1391" s="122"/>
      <c r="E1391" s="114"/>
    </row>
    <row r="1392" spans="1:5" x14ac:dyDescent="0.25">
      <c r="A1392" s="82"/>
      <c r="B1392" s="81"/>
      <c r="C1392" s="81"/>
      <c r="D1392" s="122"/>
      <c r="E1392" s="114"/>
    </row>
    <row r="1393" spans="1:5" x14ac:dyDescent="0.25">
      <c r="A1393" s="82"/>
      <c r="B1393" s="81"/>
      <c r="C1393" s="81"/>
      <c r="D1393" s="122"/>
      <c r="E1393" s="114"/>
    </row>
    <row r="1394" spans="1:5" x14ac:dyDescent="0.25">
      <c r="A1394" s="82"/>
      <c r="B1394" s="81"/>
      <c r="C1394" s="81"/>
      <c r="D1394" s="122"/>
      <c r="E1394" s="114"/>
    </row>
    <row r="1395" spans="1:5" x14ac:dyDescent="0.25">
      <c r="A1395" s="82"/>
      <c r="B1395" s="81"/>
      <c r="C1395" s="81"/>
      <c r="D1395" s="122"/>
      <c r="E1395" s="114"/>
    </row>
    <row r="1396" spans="1:5" x14ac:dyDescent="0.25">
      <c r="A1396" s="82"/>
      <c r="B1396" s="81"/>
      <c r="C1396" s="81"/>
      <c r="D1396" s="122"/>
      <c r="E1396" s="114"/>
    </row>
    <row r="1397" spans="1:5" x14ac:dyDescent="0.25">
      <c r="A1397" s="82"/>
      <c r="B1397" s="81"/>
      <c r="C1397" s="81"/>
      <c r="D1397" s="122"/>
      <c r="E1397" s="114"/>
    </row>
    <row r="1398" spans="1:5" x14ac:dyDescent="0.25">
      <c r="A1398" s="82"/>
      <c r="B1398" s="81"/>
      <c r="C1398" s="81"/>
      <c r="D1398" s="122"/>
      <c r="E1398" s="114"/>
    </row>
    <row r="1399" spans="1:5" x14ac:dyDescent="0.25">
      <c r="A1399" s="82"/>
      <c r="B1399" s="81"/>
      <c r="C1399" s="81"/>
      <c r="D1399" s="122"/>
      <c r="E1399" s="114"/>
    </row>
    <row r="1400" spans="1:5" x14ac:dyDescent="0.25">
      <c r="A1400" s="82"/>
      <c r="B1400" s="81"/>
      <c r="C1400" s="81"/>
      <c r="D1400" s="122"/>
      <c r="E1400" s="114"/>
    </row>
    <row r="1401" spans="1:5" x14ac:dyDescent="0.25">
      <c r="A1401" s="82"/>
      <c r="B1401" s="81"/>
      <c r="C1401" s="81"/>
      <c r="D1401" s="122"/>
      <c r="E1401" s="114"/>
    </row>
    <row r="1402" spans="1:5" x14ac:dyDescent="0.25">
      <c r="A1402" s="82"/>
      <c r="B1402" s="81"/>
      <c r="C1402" s="81"/>
      <c r="D1402" s="122"/>
      <c r="E1402" s="114"/>
    </row>
    <row r="1403" spans="1:5" x14ac:dyDescent="0.25">
      <c r="A1403" s="82"/>
      <c r="B1403" s="81"/>
      <c r="C1403" s="81"/>
      <c r="D1403" s="122"/>
      <c r="E1403" s="114"/>
    </row>
    <row r="1404" spans="1:5" x14ac:dyDescent="0.25">
      <c r="A1404" s="82"/>
      <c r="B1404" s="81"/>
      <c r="C1404" s="81"/>
      <c r="D1404" s="122"/>
      <c r="E1404" s="114"/>
    </row>
    <row r="1405" spans="1:5" x14ac:dyDescent="0.25">
      <c r="A1405" s="82"/>
      <c r="B1405" s="81"/>
      <c r="C1405" s="81"/>
      <c r="D1405" s="122"/>
      <c r="E1405" s="114"/>
    </row>
    <row r="1406" spans="1:5" x14ac:dyDescent="0.25">
      <c r="A1406" s="82"/>
      <c r="B1406" s="81"/>
      <c r="C1406" s="81"/>
      <c r="D1406" s="122"/>
      <c r="E1406" s="114"/>
    </row>
    <row r="1407" spans="1:5" x14ac:dyDescent="0.25">
      <c r="A1407" s="82"/>
      <c r="B1407" s="81"/>
      <c r="C1407" s="81"/>
      <c r="D1407" s="122"/>
      <c r="E1407" s="114"/>
    </row>
    <row r="1408" spans="1:5" x14ac:dyDescent="0.25">
      <c r="A1408" s="82"/>
      <c r="B1408" s="81"/>
      <c r="C1408" s="81"/>
      <c r="D1408" s="122"/>
      <c r="E1408" s="114"/>
    </row>
    <row r="1409" spans="1:5" x14ac:dyDescent="0.25">
      <c r="A1409" s="82"/>
      <c r="B1409" s="81"/>
      <c r="C1409" s="81"/>
      <c r="D1409" s="122"/>
      <c r="E1409" s="114"/>
    </row>
    <row r="1410" spans="1:5" x14ac:dyDescent="0.25">
      <c r="A1410" s="82"/>
      <c r="B1410" s="81"/>
      <c r="C1410" s="81"/>
      <c r="D1410" s="122"/>
      <c r="E1410" s="114"/>
    </row>
    <row r="1411" spans="1:5" x14ac:dyDescent="0.25">
      <c r="A1411" s="82"/>
      <c r="B1411" s="81"/>
      <c r="C1411" s="81"/>
      <c r="D1411" s="122"/>
      <c r="E1411" s="114"/>
    </row>
    <row r="1412" spans="1:5" x14ac:dyDescent="0.25">
      <c r="A1412" s="82"/>
      <c r="B1412" s="81"/>
      <c r="C1412" s="81"/>
      <c r="D1412" s="122"/>
      <c r="E1412" s="114"/>
    </row>
    <row r="1413" spans="1:5" x14ac:dyDescent="0.25">
      <c r="A1413" s="82"/>
      <c r="B1413" s="81"/>
      <c r="C1413" s="81"/>
      <c r="D1413" s="122"/>
      <c r="E1413" s="114"/>
    </row>
    <row r="1414" spans="1:5" x14ac:dyDescent="0.25">
      <c r="A1414" s="82"/>
      <c r="B1414" s="81"/>
      <c r="C1414" s="81"/>
      <c r="D1414" s="122"/>
      <c r="E1414" s="114"/>
    </row>
    <row r="1415" spans="1:5" x14ac:dyDescent="0.25">
      <c r="A1415" s="82"/>
      <c r="B1415" s="81"/>
      <c r="C1415" s="81"/>
      <c r="D1415" s="122"/>
      <c r="E1415" s="114"/>
    </row>
    <row r="1416" spans="1:5" x14ac:dyDescent="0.25">
      <c r="A1416" s="82"/>
      <c r="B1416" s="81"/>
      <c r="C1416" s="81"/>
      <c r="D1416" s="122"/>
      <c r="E1416" s="114"/>
    </row>
    <row r="1417" spans="1:5" x14ac:dyDescent="0.25">
      <c r="A1417" s="82"/>
      <c r="B1417" s="81"/>
      <c r="C1417" s="81"/>
      <c r="D1417" s="122"/>
      <c r="E1417" s="114"/>
    </row>
    <row r="1418" spans="1:5" x14ac:dyDescent="0.25">
      <c r="A1418" s="82"/>
      <c r="B1418" s="81"/>
      <c r="C1418" s="81"/>
      <c r="D1418" s="122"/>
      <c r="E1418" s="114"/>
    </row>
    <row r="1419" spans="1:5" x14ac:dyDescent="0.25">
      <c r="A1419" s="82"/>
      <c r="B1419" s="81"/>
      <c r="C1419" s="81"/>
      <c r="D1419" s="122"/>
      <c r="E1419" s="114"/>
    </row>
    <row r="1420" spans="1:5" x14ac:dyDescent="0.25">
      <c r="A1420" s="82"/>
      <c r="B1420" s="81"/>
      <c r="C1420" s="81"/>
      <c r="D1420" s="122"/>
      <c r="E1420" s="114"/>
    </row>
    <row r="1421" spans="1:5" x14ac:dyDescent="0.25">
      <c r="A1421" s="82"/>
      <c r="B1421" s="81"/>
      <c r="C1421" s="81"/>
      <c r="D1421" s="122"/>
      <c r="E1421" s="114"/>
    </row>
    <row r="1422" spans="1:5" x14ac:dyDescent="0.25">
      <c r="A1422" s="82"/>
      <c r="B1422" s="81"/>
      <c r="C1422" s="81"/>
      <c r="D1422" s="122"/>
      <c r="E1422" s="114"/>
    </row>
    <row r="1423" spans="1:5" x14ac:dyDescent="0.25">
      <c r="A1423" s="82"/>
      <c r="B1423" s="81"/>
      <c r="C1423" s="81"/>
      <c r="D1423" s="122"/>
      <c r="E1423" s="114"/>
    </row>
    <row r="1424" spans="1:5" x14ac:dyDescent="0.25">
      <c r="A1424" s="82"/>
      <c r="B1424" s="81"/>
      <c r="C1424" s="81"/>
      <c r="D1424" s="122"/>
      <c r="E1424" s="114"/>
    </row>
    <row r="1425" spans="1:5" x14ac:dyDescent="0.25">
      <c r="A1425" s="82"/>
      <c r="B1425" s="81"/>
      <c r="C1425" s="81"/>
      <c r="D1425" s="122"/>
      <c r="E1425" s="114"/>
    </row>
    <row r="1426" spans="1:5" x14ac:dyDescent="0.25">
      <c r="A1426" s="82"/>
      <c r="B1426" s="81"/>
      <c r="C1426" s="81"/>
      <c r="D1426" s="122"/>
      <c r="E1426" s="114"/>
    </row>
    <row r="1427" spans="1:5" x14ac:dyDescent="0.25">
      <c r="A1427" s="82"/>
      <c r="B1427" s="81"/>
      <c r="C1427" s="81"/>
      <c r="D1427" s="122"/>
      <c r="E1427" s="114"/>
    </row>
    <row r="1428" spans="1:5" x14ac:dyDescent="0.25">
      <c r="A1428" s="82"/>
      <c r="B1428" s="81"/>
      <c r="C1428" s="81"/>
      <c r="D1428" s="122"/>
      <c r="E1428" s="114"/>
    </row>
    <row r="1429" spans="1:5" x14ac:dyDescent="0.25">
      <c r="A1429" s="82"/>
      <c r="B1429" s="81"/>
      <c r="C1429" s="81"/>
      <c r="D1429" s="122"/>
      <c r="E1429" s="114"/>
    </row>
    <row r="1430" spans="1:5" x14ac:dyDescent="0.25">
      <c r="A1430" s="82"/>
      <c r="B1430" s="81"/>
      <c r="C1430" s="81"/>
      <c r="D1430" s="122"/>
      <c r="E1430" s="114"/>
    </row>
    <row r="1431" spans="1:5" x14ac:dyDescent="0.25">
      <c r="A1431" s="82"/>
      <c r="B1431" s="81"/>
      <c r="C1431" s="81"/>
      <c r="D1431" s="122"/>
      <c r="E1431" s="114"/>
    </row>
    <row r="1432" spans="1:5" x14ac:dyDescent="0.25">
      <c r="A1432" s="82"/>
      <c r="B1432" s="81"/>
      <c r="C1432" s="81"/>
      <c r="D1432" s="122"/>
      <c r="E1432" s="114"/>
    </row>
    <row r="1433" spans="1:5" x14ac:dyDescent="0.25">
      <c r="A1433" s="82"/>
      <c r="B1433" s="81"/>
      <c r="C1433" s="81"/>
      <c r="D1433" s="122"/>
      <c r="E1433" s="114"/>
    </row>
    <row r="1434" spans="1:5" x14ac:dyDescent="0.25">
      <c r="A1434" s="82"/>
      <c r="B1434" s="81"/>
      <c r="C1434" s="81"/>
      <c r="D1434" s="122"/>
      <c r="E1434" s="114"/>
    </row>
    <row r="1435" spans="1:5" x14ac:dyDescent="0.25">
      <c r="A1435" s="82"/>
      <c r="B1435" s="81"/>
      <c r="C1435" s="81"/>
      <c r="D1435" s="122"/>
      <c r="E1435" s="114"/>
    </row>
    <row r="1436" spans="1:5" x14ac:dyDescent="0.25">
      <c r="A1436" s="82"/>
      <c r="B1436" s="81"/>
      <c r="C1436" s="81"/>
      <c r="D1436" s="122"/>
      <c r="E1436" s="114"/>
    </row>
    <row r="1437" spans="1:5" x14ac:dyDescent="0.25">
      <c r="A1437" s="82"/>
      <c r="B1437" s="81"/>
      <c r="C1437" s="81"/>
      <c r="D1437" s="122"/>
      <c r="E1437" s="114"/>
    </row>
    <row r="1438" spans="1:5" x14ac:dyDescent="0.25">
      <c r="A1438" s="82"/>
      <c r="B1438" s="81"/>
      <c r="C1438" s="81"/>
      <c r="D1438" s="122"/>
      <c r="E1438" s="114"/>
    </row>
    <row r="1439" spans="1:5" x14ac:dyDescent="0.25">
      <c r="A1439" s="82"/>
      <c r="B1439" s="81"/>
      <c r="C1439" s="81"/>
      <c r="D1439" s="122"/>
      <c r="E1439" s="114"/>
    </row>
    <row r="1440" spans="1:5" x14ac:dyDescent="0.25">
      <c r="A1440" s="82"/>
      <c r="B1440" s="81"/>
      <c r="C1440" s="81"/>
      <c r="D1440" s="122"/>
      <c r="E1440" s="114"/>
    </row>
    <row r="1441" spans="1:5" x14ac:dyDescent="0.25">
      <c r="A1441" s="82"/>
      <c r="B1441" s="81"/>
      <c r="C1441" s="81"/>
      <c r="D1441" s="122"/>
      <c r="E1441" s="114"/>
    </row>
    <row r="1442" spans="1:5" x14ac:dyDescent="0.25">
      <c r="A1442" s="82"/>
      <c r="B1442" s="81"/>
      <c r="C1442" s="81"/>
      <c r="D1442" s="122"/>
      <c r="E1442" s="114"/>
    </row>
    <row r="1443" spans="1:5" x14ac:dyDescent="0.25">
      <c r="A1443" s="82"/>
      <c r="B1443" s="81"/>
      <c r="C1443" s="81"/>
      <c r="D1443" s="122"/>
      <c r="E1443" s="114"/>
    </row>
    <row r="1444" spans="1:5" x14ac:dyDescent="0.25">
      <c r="A1444" s="82"/>
      <c r="B1444" s="81"/>
      <c r="C1444" s="81"/>
      <c r="D1444" s="122"/>
      <c r="E1444" s="114"/>
    </row>
    <row r="1445" spans="1:5" x14ac:dyDescent="0.25">
      <c r="A1445" s="82"/>
      <c r="B1445" s="81"/>
      <c r="C1445" s="81"/>
      <c r="D1445" s="122"/>
      <c r="E1445" s="114"/>
    </row>
    <row r="1446" spans="1:5" x14ac:dyDescent="0.25">
      <c r="A1446" s="82"/>
      <c r="B1446" s="81"/>
      <c r="C1446" s="81"/>
      <c r="D1446" s="122"/>
      <c r="E1446" s="114"/>
    </row>
    <row r="1447" spans="1:5" x14ac:dyDescent="0.25">
      <c r="A1447" s="82"/>
      <c r="B1447" s="81"/>
      <c r="C1447" s="81"/>
      <c r="D1447" s="122"/>
      <c r="E1447" s="114"/>
    </row>
    <row r="1448" spans="1:5" x14ac:dyDescent="0.25">
      <c r="A1448" s="82"/>
      <c r="B1448" s="81"/>
      <c r="C1448" s="81"/>
      <c r="D1448" s="122"/>
      <c r="E1448" s="114"/>
    </row>
    <row r="1449" spans="1:5" x14ac:dyDescent="0.25">
      <c r="A1449" s="82"/>
      <c r="B1449" s="81"/>
      <c r="C1449" s="81"/>
      <c r="D1449" s="122"/>
      <c r="E1449" s="114"/>
    </row>
    <row r="1450" spans="1:5" x14ac:dyDescent="0.25">
      <c r="A1450" s="82"/>
      <c r="B1450" s="81"/>
      <c r="C1450" s="81"/>
      <c r="D1450" s="122"/>
      <c r="E1450" s="114"/>
    </row>
    <row r="1451" spans="1:5" x14ac:dyDescent="0.25">
      <c r="A1451" s="82"/>
      <c r="B1451" s="81"/>
      <c r="C1451" s="81"/>
      <c r="D1451" s="122"/>
      <c r="E1451" s="114"/>
    </row>
    <row r="1452" spans="1:5" x14ac:dyDescent="0.25">
      <c r="A1452" s="82"/>
      <c r="B1452" s="81"/>
      <c r="C1452" s="81"/>
      <c r="D1452" s="122"/>
      <c r="E1452" s="114"/>
    </row>
    <row r="1453" spans="1:5" x14ac:dyDescent="0.25">
      <c r="A1453" s="82"/>
      <c r="B1453" s="81"/>
      <c r="C1453" s="81"/>
      <c r="D1453" s="122"/>
      <c r="E1453" s="114"/>
    </row>
    <row r="1454" spans="1:5" x14ac:dyDescent="0.25">
      <c r="A1454" s="82"/>
      <c r="B1454" s="81"/>
      <c r="C1454" s="81"/>
      <c r="D1454" s="122"/>
      <c r="E1454" s="114"/>
    </row>
    <row r="1455" spans="1:5" x14ac:dyDescent="0.25">
      <c r="A1455" s="82"/>
      <c r="B1455" s="81"/>
      <c r="C1455" s="81"/>
      <c r="D1455" s="122"/>
      <c r="E1455" s="114"/>
    </row>
    <row r="1456" spans="1:5" x14ac:dyDescent="0.25">
      <c r="A1456" s="82"/>
      <c r="B1456" s="81"/>
      <c r="C1456" s="81"/>
      <c r="D1456" s="122"/>
      <c r="E1456" s="114"/>
    </row>
    <row r="1457" spans="1:5" x14ac:dyDescent="0.25">
      <c r="A1457" s="82"/>
      <c r="B1457" s="81"/>
      <c r="C1457" s="81"/>
      <c r="D1457" s="122"/>
      <c r="E1457" s="114"/>
    </row>
    <row r="1458" spans="1:5" x14ac:dyDescent="0.25">
      <c r="A1458" s="82"/>
      <c r="B1458" s="81"/>
      <c r="C1458" s="81"/>
      <c r="D1458" s="122"/>
      <c r="E1458" s="114"/>
    </row>
    <row r="1459" spans="1:5" x14ac:dyDescent="0.25">
      <c r="A1459" s="82"/>
      <c r="B1459" s="81"/>
      <c r="C1459" s="81"/>
      <c r="D1459" s="122"/>
      <c r="E1459" s="114"/>
    </row>
    <row r="1460" spans="1:5" x14ac:dyDescent="0.25">
      <c r="A1460" s="82"/>
      <c r="B1460" s="81"/>
      <c r="C1460" s="81"/>
      <c r="D1460" s="122"/>
      <c r="E1460" s="114"/>
    </row>
    <row r="1461" spans="1:5" x14ac:dyDescent="0.25">
      <c r="A1461" s="82"/>
      <c r="B1461" s="81"/>
      <c r="C1461" s="81"/>
      <c r="D1461" s="122"/>
      <c r="E1461" s="114"/>
    </row>
    <row r="1462" spans="1:5" x14ac:dyDescent="0.25">
      <c r="A1462" s="82"/>
      <c r="B1462" s="81"/>
      <c r="C1462" s="81"/>
      <c r="D1462" s="122"/>
      <c r="E1462" s="114"/>
    </row>
    <row r="1463" spans="1:5" x14ac:dyDescent="0.25">
      <c r="A1463" s="82"/>
      <c r="B1463" s="81"/>
      <c r="C1463" s="81"/>
      <c r="D1463" s="122"/>
      <c r="E1463" s="114"/>
    </row>
    <row r="1464" spans="1:5" x14ac:dyDescent="0.25">
      <c r="A1464" s="82"/>
      <c r="B1464" s="81"/>
      <c r="C1464" s="81"/>
      <c r="D1464" s="122"/>
      <c r="E1464" s="114"/>
    </row>
    <row r="1465" spans="1:5" x14ac:dyDescent="0.25">
      <c r="A1465" s="82"/>
      <c r="B1465" s="81"/>
      <c r="C1465" s="81"/>
      <c r="D1465" s="122"/>
      <c r="E1465" s="114"/>
    </row>
    <row r="1466" spans="1:5" x14ac:dyDescent="0.25">
      <c r="A1466" s="82"/>
      <c r="B1466" s="81"/>
      <c r="C1466" s="81"/>
      <c r="D1466" s="122"/>
      <c r="E1466" s="114"/>
    </row>
    <row r="1467" spans="1:5" x14ac:dyDescent="0.25">
      <c r="A1467" s="82"/>
      <c r="B1467" s="81"/>
      <c r="C1467" s="81"/>
      <c r="D1467" s="122"/>
      <c r="E1467" s="114"/>
    </row>
    <row r="1468" spans="1:5" x14ac:dyDescent="0.25">
      <c r="A1468" s="82"/>
      <c r="B1468" s="81"/>
      <c r="C1468" s="81"/>
      <c r="D1468" s="122"/>
      <c r="E1468" s="114"/>
    </row>
    <row r="1469" spans="1:5" x14ac:dyDescent="0.25">
      <c r="A1469" s="82"/>
      <c r="B1469" s="81"/>
      <c r="C1469" s="81"/>
      <c r="D1469" s="122"/>
      <c r="E1469" s="114"/>
    </row>
    <row r="1470" spans="1:5" x14ac:dyDescent="0.25">
      <c r="A1470" s="82"/>
      <c r="B1470" s="81"/>
      <c r="C1470" s="81"/>
      <c r="D1470" s="122"/>
      <c r="E1470" s="114"/>
    </row>
    <row r="1471" spans="1:5" x14ac:dyDescent="0.25">
      <c r="A1471" s="82"/>
      <c r="B1471" s="81"/>
      <c r="C1471" s="81"/>
      <c r="D1471" s="122"/>
      <c r="E1471" s="114"/>
    </row>
    <row r="1472" spans="1:5" x14ac:dyDescent="0.25">
      <c r="A1472" s="82"/>
      <c r="B1472" s="81"/>
      <c r="C1472" s="81"/>
      <c r="D1472" s="122"/>
      <c r="E1472" s="114"/>
    </row>
    <row r="1473" spans="1:5" x14ac:dyDescent="0.25">
      <c r="A1473" s="82"/>
      <c r="B1473" s="81"/>
      <c r="C1473" s="81"/>
      <c r="D1473" s="122"/>
      <c r="E1473" s="114"/>
    </row>
    <row r="1474" spans="1:5" x14ac:dyDescent="0.25">
      <c r="A1474" s="82"/>
      <c r="B1474" s="81"/>
      <c r="C1474" s="81"/>
      <c r="D1474" s="122"/>
      <c r="E1474" s="114"/>
    </row>
    <row r="1475" spans="1:5" x14ac:dyDescent="0.25">
      <c r="A1475" s="82"/>
      <c r="B1475" s="81"/>
      <c r="C1475" s="81"/>
      <c r="D1475" s="122"/>
      <c r="E1475" s="114"/>
    </row>
    <row r="1476" spans="1:5" x14ac:dyDescent="0.25">
      <c r="A1476" s="82"/>
      <c r="B1476" s="81"/>
      <c r="C1476" s="81"/>
      <c r="D1476" s="122"/>
      <c r="E1476" s="114"/>
    </row>
    <row r="1477" spans="1:5" x14ac:dyDescent="0.25">
      <c r="A1477" s="82"/>
      <c r="B1477" s="81"/>
      <c r="C1477" s="81"/>
      <c r="D1477" s="122"/>
      <c r="E1477" s="114"/>
    </row>
    <row r="1478" spans="1:5" x14ac:dyDescent="0.25">
      <c r="A1478" s="82"/>
      <c r="B1478" s="81"/>
      <c r="C1478" s="81"/>
      <c r="D1478" s="122"/>
      <c r="E1478" s="114"/>
    </row>
    <row r="1479" spans="1:5" x14ac:dyDescent="0.25">
      <c r="A1479" s="82"/>
      <c r="B1479" s="81"/>
      <c r="C1479" s="81"/>
      <c r="D1479" s="122"/>
      <c r="E1479" s="114"/>
    </row>
    <row r="1480" spans="1:5" x14ac:dyDescent="0.25">
      <c r="A1480" s="82"/>
      <c r="B1480" s="81"/>
      <c r="C1480" s="81"/>
      <c r="D1480" s="122"/>
      <c r="E1480" s="114"/>
    </row>
    <row r="1481" spans="1:5" x14ac:dyDescent="0.25">
      <c r="A1481" s="82"/>
      <c r="B1481" s="81"/>
      <c r="C1481" s="81"/>
      <c r="D1481" s="122"/>
      <c r="E1481" s="114"/>
    </row>
    <row r="1482" spans="1:5" x14ac:dyDescent="0.25">
      <c r="A1482" s="82"/>
      <c r="B1482" s="81"/>
      <c r="C1482" s="81"/>
      <c r="D1482" s="122"/>
      <c r="E1482" s="114"/>
    </row>
    <row r="1483" spans="1:5" x14ac:dyDescent="0.25">
      <c r="A1483" s="82"/>
      <c r="B1483" s="81"/>
      <c r="C1483" s="81"/>
      <c r="D1483" s="122"/>
      <c r="E1483" s="114"/>
    </row>
    <row r="1484" spans="1:5" x14ac:dyDescent="0.25">
      <c r="A1484" s="82"/>
      <c r="B1484" s="81"/>
      <c r="C1484" s="81"/>
      <c r="D1484" s="122"/>
      <c r="E1484" s="114"/>
    </row>
    <row r="1485" spans="1:5" x14ac:dyDescent="0.25">
      <c r="A1485" s="82"/>
      <c r="B1485" s="81"/>
      <c r="C1485" s="81"/>
      <c r="D1485" s="122"/>
      <c r="E1485" s="114"/>
    </row>
    <row r="1486" spans="1:5" x14ac:dyDescent="0.25">
      <c r="A1486" s="82"/>
      <c r="B1486" s="81"/>
      <c r="C1486" s="81"/>
      <c r="D1486" s="122"/>
      <c r="E1486" s="114"/>
    </row>
    <row r="1487" spans="1:5" x14ac:dyDescent="0.25">
      <c r="A1487" s="82"/>
      <c r="B1487" s="81"/>
      <c r="C1487" s="81"/>
      <c r="D1487" s="122"/>
      <c r="E1487" s="114"/>
    </row>
    <row r="1488" spans="1:5" x14ac:dyDescent="0.25">
      <c r="A1488" s="82"/>
      <c r="B1488" s="81"/>
      <c r="C1488" s="81"/>
      <c r="D1488" s="122"/>
      <c r="E1488" s="114"/>
    </row>
    <row r="1489" spans="1:5" x14ac:dyDescent="0.25">
      <c r="A1489" s="82"/>
      <c r="B1489" s="81"/>
      <c r="C1489" s="81"/>
      <c r="D1489" s="122"/>
      <c r="E1489" s="114"/>
    </row>
    <row r="1490" spans="1:5" x14ac:dyDescent="0.25">
      <c r="A1490" s="82"/>
      <c r="B1490" s="81"/>
      <c r="C1490" s="81"/>
      <c r="D1490" s="122"/>
      <c r="E1490" s="114"/>
    </row>
    <row r="1491" spans="1:5" x14ac:dyDescent="0.25">
      <c r="A1491" s="82"/>
      <c r="B1491" s="81"/>
      <c r="C1491" s="81"/>
      <c r="D1491" s="122"/>
      <c r="E1491" s="114"/>
    </row>
    <row r="1492" spans="1:5" x14ac:dyDescent="0.25">
      <c r="A1492" s="82"/>
      <c r="B1492" s="81"/>
      <c r="C1492" s="81"/>
      <c r="D1492" s="122"/>
      <c r="E1492" s="114"/>
    </row>
    <row r="1493" spans="1:5" x14ac:dyDescent="0.25">
      <c r="A1493" s="82"/>
      <c r="B1493" s="81"/>
      <c r="C1493" s="81"/>
      <c r="D1493" s="122"/>
      <c r="E1493" s="114"/>
    </row>
    <row r="1494" spans="1:5" x14ac:dyDescent="0.25">
      <c r="A1494" s="82"/>
      <c r="B1494" s="81"/>
      <c r="C1494" s="81"/>
      <c r="D1494" s="122"/>
      <c r="E1494" s="114"/>
    </row>
    <row r="1495" spans="1:5" x14ac:dyDescent="0.25">
      <c r="A1495" s="82"/>
      <c r="B1495" s="81"/>
      <c r="C1495" s="81"/>
      <c r="D1495" s="122"/>
      <c r="E1495" s="114"/>
    </row>
    <row r="1496" spans="1:5" x14ac:dyDescent="0.25">
      <c r="A1496" s="82"/>
      <c r="B1496" s="81"/>
      <c r="C1496" s="81"/>
      <c r="D1496" s="122"/>
      <c r="E1496" s="114"/>
    </row>
    <row r="1497" spans="1:5" x14ac:dyDescent="0.25">
      <c r="A1497" s="82"/>
      <c r="B1497" s="81"/>
      <c r="C1497" s="81"/>
      <c r="D1497" s="122"/>
      <c r="E1497" s="114"/>
    </row>
    <row r="1498" spans="1:5" x14ac:dyDescent="0.25">
      <c r="A1498" s="82"/>
      <c r="B1498" s="81"/>
      <c r="C1498" s="81"/>
      <c r="D1498" s="122"/>
      <c r="E1498" s="114"/>
    </row>
    <row r="1499" spans="1:5" x14ac:dyDescent="0.25">
      <c r="A1499" s="82"/>
      <c r="B1499" s="81"/>
      <c r="C1499" s="81"/>
      <c r="D1499" s="122"/>
      <c r="E1499" s="114"/>
    </row>
    <row r="1500" spans="1:5" x14ac:dyDescent="0.25">
      <c r="A1500" s="82"/>
      <c r="B1500" s="81"/>
      <c r="C1500" s="81"/>
      <c r="D1500" s="122"/>
      <c r="E1500" s="114"/>
    </row>
    <row r="1501" spans="1:5" x14ac:dyDescent="0.25">
      <c r="A1501" s="82"/>
      <c r="B1501" s="81"/>
      <c r="C1501" s="81"/>
      <c r="D1501" s="122"/>
      <c r="E1501" s="114"/>
    </row>
    <row r="1502" spans="1:5" x14ac:dyDescent="0.25">
      <c r="A1502" s="82"/>
      <c r="B1502" s="81"/>
      <c r="C1502" s="81"/>
      <c r="D1502" s="122"/>
      <c r="E1502" s="114"/>
    </row>
    <row r="1503" spans="1:5" x14ac:dyDescent="0.25">
      <c r="A1503" s="82"/>
      <c r="B1503" s="81"/>
      <c r="C1503" s="81"/>
      <c r="D1503" s="122"/>
      <c r="E1503" s="114"/>
    </row>
    <row r="1504" spans="1:5" x14ac:dyDescent="0.25">
      <c r="A1504" s="82"/>
      <c r="B1504" s="81"/>
      <c r="C1504" s="81"/>
      <c r="D1504" s="122"/>
      <c r="E1504" s="114"/>
    </row>
    <row r="1505" spans="1:5" x14ac:dyDescent="0.25">
      <c r="A1505" s="82"/>
      <c r="B1505" s="81"/>
      <c r="C1505" s="81"/>
      <c r="D1505" s="122"/>
      <c r="E1505" s="114"/>
    </row>
    <row r="1506" spans="1:5" x14ac:dyDescent="0.25">
      <c r="A1506" s="82"/>
      <c r="B1506" s="81"/>
      <c r="C1506" s="81"/>
      <c r="D1506" s="122"/>
      <c r="E1506" s="114"/>
    </row>
    <row r="1507" spans="1:5" x14ac:dyDescent="0.25">
      <c r="A1507" s="82"/>
      <c r="B1507" s="81"/>
      <c r="C1507" s="81"/>
      <c r="D1507" s="122"/>
      <c r="E1507" s="114"/>
    </row>
    <row r="1508" spans="1:5" x14ac:dyDescent="0.25">
      <c r="A1508" s="82"/>
      <c r="B1508" s="81"/>
      <c r="C1508" s="81"/>
      <c r="D1508" s="122"/>
      <c r="E1508" s="114"/>
    </row>
    <row r="1509" spans="1:5" x14ac:dyDescent="0.25">
      <c r="A1509" s="82"/>
      <c r="B1509" s="81"/>
      <c r="C1509" s="81"/>
      <c r="D1509" s="122"/>
      <c r="E1509" s="114"/>
    </row>
    <row r="1510" spans="1:5" x14ac:dyDescent="0.25">
      <c r="A1510" s="82"/>
      <c r="B1510" s="81"/>
      <c r="C1510" s="81"/>
      <c r="D1510" s="122"/>
      <c r="E1510" s="114"/>
    </row>
    <row r="1511" spans="1:5" x14ac:dyDescent="0.25">
      <c r="A1511" s="82"/>
      <c r="B1511" s="81"/>
      <c r="C1511" s="81"/>
      <c r="D1511" s="122"/>
      <c r="E1511" s="114"/>
    </row>
    <row r="1512" spans="1:5" x14ac:dyDescent="0.25">
      <c r="A1512" s="82"/>
      <c r="B1512" s="81"/>
      <c r="C1512" s="81"/>
      <c r="D1512" s="122"/>
      <c r="E1512" s="114"/>
    </row>
    <row r="1513" spans="1:5" x14ac:dyDescent="0.25">
      <c r="A1513" s="82"/>
      <c r="B1513" s="81"/>
      <c r="C1513" s="81"/>
      <c r="D1513" s="122"/>
      <c r="E1513" s="114"/>
    </row>
    <row r="1514" spans="1:5" x14ac:dyDescent="0.25">
      <c r="A1514" s="82"/>
      <c r="B1514" s="81"/>
      <c r="C1514" s="81"/>
      <c r="D1514" s="122"/>
      <c r="E1514" s="114"/>
    </row>
    <row r="1515" spans="1:5" x14ac:dyDescent="0.25">
      <c r="A1515" s="82"/>
      <c r="B1515" s="81"/>
      <c r="C1515" s="81"/>
      <c r="D1515" s="122"/>
      <c r="E1515" s="114"/>
    </row>
    <row r="1516" spans="1:5" x14ac:dyDescent="0.25">
      <c r="A1516" s="82"/>
      <c r="B1516" s="81"/>
      <c r="C1516" s="81"/>
      <c r="D1516" s="122"/>
      <c r="E1516" s="114"/>
    </row>
    <row r="1517" spans="1:5" x14ac:dyDescent="0.25">
      <c r="A1517" s="82"/>
      <c r="B1517" s="81"/>
      <c r="C1517" s="81"/>
      <c r="D1517" s="122"/>
      <c r="E1517" s="114"/>
    </row>
    <row r="1518" spans="1:5" x14ac:dyDescent="0.25">
      <c r="A1518" s="82"/>
      <c r="B1518" s="81"/>
      <c r="C1518" s="81"/>
      <c r="D1518" s="122"/>
      <c r="E1518" s="114"/>
    </row>
    <row r="1519" spans="1:5" x14ac:dyDescent="0.25">
      <c r="A1519" s="82"/>
      <c r="B1519" s="81"/>
      <c r="C1519" s="81"/>
      <c r="D1519" s="122"/>
      <c r="E1519" s="114"/>
    </row>
    <row r="1520" spans="1:5" x14ac:dyDescent="0.25">
      <c r="A1520" s="82"/>
      <c r="B1520" s="81"/>
      <c r="C1520" s="81"/>
      <c r="D1520" s="122"/>
      <c r="E1520" s="114"/>
    </row>
    <row r="1521" spans="1:5" x14ac:dyDescent="0.25">
      <c r="A1521" s="82"/>
      <c r="B1521" s="81"/>
      <c r="C1521" s="81"/>
      <c r="D1521" s="122"/>
      <c r="E1521" s="114"/>
    </row>
    <row r="1522" spans="1:5" x14ac:dyDescent="0.25">
      <c r="A1522" s="82"/>
      <c r="B1522" s="81"/>
      <c r="C1522" s="81"/>
      <c r="D1522" s="122"/>
      <c r="E1522" s="114"/>
    </row>
    <row r="1523" spans="1:5" x14ac:dyDescent="0.25">
      <c r="A1523" s="82"/>
      <c r="B1523" s="81"/>
      <c r="C1523" s="81"/>
      <c r="D1523" s="122"/>
      <c r="E1523" s="114"/>
    </row>
    <row r="1524" spans="1:5" x14ac:dyDescent="0.25">
      <c r="A1524" s="82"/>
      <c r="B1524" s="81"/>
      <c r="C1524" s="81"/>
      <c r="D1524" s="122"/>
      <c r="E1524" s="114"/>
    </row>
    <row r="1525" spans="1:5" x14ac:dyDescent="0.25">
      <c r="A1525" s="82"/>
      <c r="B1525" s="81"/>
      <c r="C1525" s="81"/>
      <c r="D1525" s="122"/>
      <c r="E1525" s="114"/>
    </row>
    <row r="1526" spans="1:5" x14ac:dyDescent="0.25">
      <c r="A1526" s="82"/>
      <c r="B1526" s="81"/>
      <c r="C1526" s="81"/>
      <c r="D1526" s="122"/>
      <c r="E1526" s="114"/>
    </row>
    <row r="1527" spans="1:5" x14ac:dyDescent="0.25">
      <c r="A1527" s="82"/>
      <c r="B1527" s="81"/>
      <c r="C1527" s="81"/>
      <c r="D1527" s="122"/>
      <c r="E1527" s="114"/>
    </row>
    <row r="1528" spans="1:5" x14ac:dyDescent="0.25">
      <c r="A1528" s="82"/>
      <c r="B1528" s="81"/>
      <c r="C1528" s="81"/>
      <c r="D1528" s="122"/>
      <c r="E1528" s="114"/>
    </row>
    <row r="1529" spans="1:5" x14ac:dyDescent="0.25">
      <c r="A1529" s="82"/>
      <c r="B1529" s="81"/>
      <c r="C1529" s="81"/>
      <c r="D1529" s="122"/>
      <c r="E1529" s="114"/>
    </row>
    <row r="1530" spans="1:5" x14ac:dyDescent="0.25">
      <c r="A1530" s="82"/>
      <c r="B1530" s="81"/>
      <c r="C1530" s="81"/>
      <c r="D1530" s="122"/>
      <c r="E1530" s="114"/>
    </row>
    <row r="1531" spans="1:5" x14ac:dyDescent="0.25">
      <c r="A1531" s="82"/>
      <c r="B1531" s="81"/>
      <c r="C1531" s="81"/>
      <c r="D1531" s="122"/>
      <c r="E1531" s="114"/>
    </row>
    <row r="1532" spans="1:5" x14ac:dyDescent="0.25">
      <c r="A1532" s="82"/>
      <c r="B1532" s="81"/>
      <c r="C1532" s="81"/>
      <c r="D1532" s="122"/>
      <c r="E1532" s="114"/>
    </row>
    <row r="1533" spans="1:5" x14ac:dyDescent="0.25">
      <c r="A1533" s="82"/>
      <c r="B1533" s="81"/>
      <c r="C1533" s="81"/>
      <c r="D1533" s="122"/>
      <c r="E1533" s="114"/>
    </row>
    <row r="1534" spans="1:5" x14ac:dyDescent="0.25">
      <c r="A1534" s="82"/>
      <c r="B1534" s="81"/>
      <c r="C1534" s="81"/>
      <c r="D1534" s="122"/>
      <c r="E1534" s="114"/>
    </row>
    <row r="1535" spans="1:5" x14ac:dyDescent="0.25">
      <c r="A1535" s="82"/>
      <c r="B1535" s="81"/>
      <c r="C1535" s="81"/>
      <c r="D1535" s="122"/>
      <c r="E1535" s="114"/>
    </row>
    <row r="1536" spans="1:5" x14ac:dyDescent="0.25">
      <c r="A1536" s="82"/>
      <c r="B1536" s="81"/>
      <c r="C1536" s="81"/>
      <c r="D1536" s="122"/>
      <c r="E1536" s="114"/>
    </row>
    <row r="1537" spans="1:5" x14ac:dyDescent="0.25">
      <c r="A1537" s="82"/>
      <c r="B1537" s="81"/>
      <c r="C1537" s="81"/>
      <c r="D1537" s="122"/>
      <c r="E1537" s="114"/>
    </row>
    <row r="1538" spans="1:5" x14ac:dyDescent="0.25">
      <c r="A1538" s="82"/>
      <c r="B1538" s="81"/>
      <c r="C1538" s="81"/>
      <c r="D1538" s="122"/>
      <c r="E1538" s="114"/>
    </row>
    <row r="1539" spans="1:5" x14ac:dyDescent="0.25">
      <c r="A1539" s="82"/>
      <c r="B1539" s="81"/>
      <c r="C1539" s="81"/>
      <c r="D1539" s="122"/>
      <c r="E1539" s="114"/>
    </row>
    <row r="1540" spans="1:5" x14ac:dyDescent="0.25">
      <c r="A1540" s="82"/>
      <c r="B1540" s="81"/>
      <c r="C1540" s="81"/>
      <c r="D1540" s="122"/>
      <c r="E1540" s="114"/>
    </row>
    <row r="1541" spans="1:5" x14ac:dyDescent="0.25">
      <c r="A1541" s="82"/>
      <c r="B1541" s="81"/>
      <c r="C1541" s="81"/>
      <c r="D1541" s="122"/>
      <c r="E1541" s="114"/>
    </row>
    <row r="1542" spans="1:5" x14ac:dyDescent="0.25">
      <c r="A1542" s="82"/>
      <c r="B1542" s="81"/>
      <c r="C1542" s="81"/>
      <c r="D1542" s="122"/>
      <c r="E1542" s="114"/>
    </row>
    <row r="1543" spans="1:5" x14ac:dyDescent="0.25">
      <c r="A1543" s="82"/>
      <c r="B1543" s="81"/>
      <c r="C1543" s="81"/>
      <c r="D1543" s="122"/>
      <c r="E1543" s="114"/>
    </row>
    <row r="1544" spans="1:5" x14ac:dyDescent="0.25">
      <c r="A1544" s="82"/>
      <c r="B1544" s="81"/>
      <c r="C1544" s="81"/>
      <c r="D1544" s="122"/>
      <c r="E1544" s="114"/>
    </row>
    <row r="1545" spans="1:5" x14ac:dyDescent="0.25">
      <c r="A1545" s="82"/>
      <c r="B1545" s="81"/>
      <c r="C1545" s="81"/>
      <c r="D1545" s="122"/>
      <c r="E1545" s="114"/>
    </row>
    <row r="1546" spans="1:5" x14ac:dyDescent="0.25">
      <c r="A1546" s="82"/>
      <c r="B1546" s="81"/>
      <c r="C1546" s="81"/>
      <c r="D1546" s="122"/>
      <c r="E1546" s="114"/>
    </row>
    <row r="1547" spans="1:5" x14ac:dyDescent="0.25">
      <c r="A1547" s="82"/>
      <c r="B1547" s="81"/>
      <c r="C1547" s="81"/>
      <c r="D1547" s="122"/>
      <c r="E1547" s="114"/>
    </row>
    <row r="1548" spans="1:5" x14ac:dyDescent="0.25">
      <c r="A1548" s="82"/>
      <c r="B1548" s="81"/>
      <c r="C1548" s="81"/>
      <c r="D1548" s="122"/>
      <c r="E1548" s="114"/>
    </row>
    <row r="1549" spans="1:5" x14ac:dyDescent="0.25">
      <c r="A1549" s="82"/>
      <c r="B1549" s="81"/>
      <c r="C1549" s="81"/>
      <c r="D1549" s="122"/>
      <c r="E1549" s="114"/>
    </row>
    <row r="1550" spans="1:5" x14ac:dyDescent="0.25">
      <c r="A1550" s="82"/>
      <c r="B1550" s="81"/>
      <c r="C1550" s="81"/>
      <c r="D1550" s="122"/>
      <c r="E1550" s="114"/>
    </row>
    <row r="1551" spans="1:5" x14ac:dyDescent="0.25">
      <c r="A1551" s="82"/>
      <c r="B1551" s="81"/>
      <c r="C1551" s="81"/>
      <c r="D1551" s="122"/>
      <c r="E1551" s="114"/>
    </row>
    <row r="1552" spans="1:5" x14ac:dyDescent="0.25">
      <c r="A1552" s="82"/>
      <c r="B1552" s="81"/>
      <c r="C1552" s="81"/>
      <c r="D1552" s="122"/>
      <c r="E1552" s="114"/>
    </row>
    <row r="1553" spans="1:5" x14ac:dyDescent="0.25">
      <c r="A1553" s="82"/>
      <c r="B1553" s="81"/>
      <c r="C1553" s="81"/>
      <c r="D1553" s="122"/>
      <c r="E1553" s="114"/>
    </row>
    <row r="1554" spans="1:5" x14ac:dyDescent="0.25">
      <c r="A1554" s="82"/>
      <c r="B1554" s="81"/>
      <c r="C1554" s="81"/>
      <c r="D1554" s="122"/>
      <c r="E1554" s="114"/>
    </row>
    <row r="1555" spans="1:5" x14ac:dyDescent="0.25">
      <c r="A1555" s="82"/>
      <c r="B1555" s="81"/>
      <c r="C1555" s="81"/>
      <c r="D1555" s="122"/>
      <c r="E1555" s="114"/>
    </row>
    <row r="1556" spans="1:5" x14ac:dyDescent="0.25">
      <c r="A1556" s="82"/>
      <c r="B1556" s="81"/>
      <c r="C1556" s="81"/>
      <c r="D1556" s="122"/>
      <c r="E1556" s="114"/>
    </row>
    <row r="1557" spans="1:5" x14ac:dyDescent="0.25">
      <c r="A1557" s="82"/>
      <c r="B1557" s="81"/>
      <c r="C1557" s="81"/>
      <c r="D1557" s="122"/>
      <c r="E1557" s="114"/>
    </row>
    <row r="1558" spans="1:5" x14ac:dyDescent="0.25">
      <c r="A1558" s="82"/>
      <c r="B1558" s="81"/>
      <c r="C1558" s="81"/>
      <c r="D1558" s="122"/>
      <c r="E1558" s="114"/>
    </row>
    <row r="1559" spans="1:5" x14ac:dyDescent="0.25">
      <c r="A1559" s="82"/>
      <c r="B1559" s="81"/>
      <c r="C1559" s="81"/>
      <c r="D1559" s="122"/>
      <c r="E1559" s="114"/>
    </row>
    <row r="1560" spans="1:5" x14ac:dyDescent="0.25">
      <c r="A1560" s="82"/>
      <c r="B1560" s="81"/>
      <c r="C1560" s="81"/>
      <c r="D1560" s="122"/>
      <c r="E1560" s="114"/>
    </row>
    <row r="1561" spans="1:5" x14ac:dyDescent="0.25">
      <c r="A1561" s="82"/>
      <c r="B1561" s="81"/>
      <c r="C1561" s="81"/>
      <c r="D1561" s="122"/>
      <c r="E1561" s="114"/>
    </row>
    <row r="1562" spans="1:5" x14ac:dyDescent="0.25">
      <c r="A1562" s="82"/>
      <c r="B1562" s="81"/>
      <c r="C1562" s="81"/>
      <c r="D1562" s="122"/>
      <c r="E1562" s="114"/>
    </row>
    <row r="1563" spans="1:5" x14ac:dyDescent="0.25">
      <c r="A1563" s="82"/>
      <c r="B1563" s="81"/>
      <c r="C1563" s="81"/>
      <c r="D1563" s="122"/>
      <c r="E1563" s="114"/>
    </row>
    <row r="1564" spans="1:5" x14ac:dyDescent="0.25">
      <c r="A1564" s="82"/>
      <c r="B1564" s="81"/>
      <c r="C1564" s="81"/>
      <c r="D1564" s="122"/>
      <c r="E1564" s="114"/>
    </row>
    <row r="1565" spans="1:5" x14ac:dyDescent="0.25">
      <c r="A1565" s="82"/>
      <c r="B1565" s="81"/>
      <c r="C1565" s="81"/>
      <c r="D1565" s="122"/>
      <c r="E1565" s="114"/>
    </row>
    <row r="1566" spans="1:5" x14ac:dyDescent="0.25">
      <c r="A1566" s="82"/>
      <c r="B1566" s="81"/>
      <c r="C1566" s="81"/>
      <c r="D1566" s="122"/>
      <c r="E1566" s="114"/>
    </row>
    <row r="1567" spans="1:5" x14ac:dyDescent="0.25">
      <c r="A1567" s="82"/>
      <c r="B1567" s="81"/>
      <c r="C1567" s="81"/>
      <c r="D1567" s="122"/>
      <c r="E1567" s="114"/>
    </row>
    <row r="1568" spans="1:5" x14ac:dyDescent="0.25">
      <c r="A1568" s="82"/>
      <c r="B1568" s="81"/>
      <c r="C1568" s="81"/>
      <c r="D1568" s="122"/>
      <c r="E1568" s="114"/>
    </row>
    <row r="1569" spans="1:5" x14ac:dyDescent="0.25">
      <c r="A1569" s="82"/>
      <c r="B1569" s="81"/>
      <c r="C1569" s="81"/>
      <c r="D1569" s="122"/>
      <c r="E1569" s="114"/>
    </row>
    <row r="1570" spans="1:5" x14ac:dyDescent="0.25">
      <c r="A1570" s="82"/>
      <c r="B1570" s="81"/>
      <c r="C1570" s="81"/>
      <c r="D1570" s="122"/>
      <c r="E1570" s="114"/>
    </row>
    <row r="1571" spans="1:5" x14ac:dyDescent="0.25">
      <c r="A1571" s="82"/>
      <c r="B1571" s="81"/>
      <c r="C1571" s="81"/>
      <c r="D1571" s="122"/>
      <c r="E1571" s="114"/>
    </row>
    <row r="1572" spans="1:5" x14ac:dyDescent="0.25">
      <c r="A1572" s="82"/>
      <c r="B1572" s="81"/>
      <c r="C1572" s="81"/>
      <c r="D1572" s="122"/>
      <c r="E1572" s="114"/>
    </row>
    <row r="1573" spans="1:5" x14ac:dyDescent="0.25">
      <c r="A1573" s="82"/>
      <c r="B1573" s="81"/>
      <c r="C1573" s="81"/>
      <c r="D1573" s="122"/>
      <c r="E1573" s="114"/>
    </row>
    <row r="1574" spans="1:5" x14ac:dyDescent="0.25">
      <c r="A1574" s="82"/>
      <c r="B1574" s="81"/>
      <c r="C1574" s="81"/>
      <c r="D1574" s="122"/>
      <c r="E1574" s="114"/>
    </row>
    <row r="1575" spans="1:5" x14ac:dyDescent="0.25">
      <c r="A1575" s="82"/>
      <c r="B1575" s="81"/>
      <c r="C1575" s="81"/>
      <c r="D1575" s="122"/>
      <c r="E1575" s="114"/>
    </row>
    <row r="1576" spans="1:5" x14ac:dyDescent="0.25">
      <c r="A1576" s="82"/>
      <c r="B1576" s="81"/>
      <c r="C1576" s="81"/>
      <c r="D1576" s="122"/>
      <c r="E1576" s="114"/>
    </row>
    <row r="1577" spans="1:5" x14ac:dyDescent="0.25">
      <c r="A1577" s="82"/>
      <c r="B1577" s="81"/>
      <c r="C1577" s="81"/>
      <c r="D1577" s="122"/>
      <c r="E1577" s="114"/>
    </row>
    <row r="1578" spans="1:5" x14ac:dyDescent="0.25">
      <c r="A1578" s="82"/>
      <c r="B1578" s="81"/>
      <c r="C1578" s="81"/>
      <c r="D1578" s="122"/>
      <c r="E1578" s="114"/>
    </row>
    <row r="1579" spans="1:5" x14ac:dyDescent="0.25">
      <c r="A1579" s="82"/>
      <c r="B1579" s="81"/>
      <c r="C1579" s="81"/>
      <c r="D1579" s="122"/>
      <c r="E1579" s="114"/>
    </row>
    <row r="1580" spans="1:5" x14ac:dyDescent="0.25">
      <c r="A1580" s="82"/>
      <c r="B1580" s="81"/>
      <c r="C1580" s="81"/>
      <c r="D1580" s="122"/>
      <c r="E1580" s="114"/>
    </row>
    <row r="1581" spans="1:5" x14ac:dyDescent="0.25">
      <c r="A1581" s="82"/>
      <c r="B1581" s="81"/>
      <c r="C1581" s="81"/>
      <c r="D1581" s="122"/>
      <c r="E1581" s="114"/>
    </row>
    <row r="1582" spans="1:5" x14ac:dyDescent="0.25">
      <c r="A1582" s="82"/>
      <c r="B1582" s="81"/>
      <c r="C1582" s="81"/>
      <c r="D1582" s="122"/>
      <c r="E1582" s="114"/>
    </row>
    <row r="1583" spans="1:5" x14ac:dyDescent="0.25">
      <c r="A1583" s="82"/>
      <c r="B1583" s="81"/>
      <c r="C1583" s="81"/>
      <c r="D1583" s="122"/>
      <c r="E1583" s="114"/>
    </row>
    <row r="1584" spans="1:5" x14ac:dyDescent="0.25">
      <c r="A1584" s="82"/>
      <c r="B1584" s="81"/>
      <c r="C1584" s="81"/>
      <c r="D1584" s="122"/>
      <c r="E1584" s="114"/>
    </row>
    <row r="1585" spans="1:5" x14ac:dyDescent="0.25">
      <c r="A1585" s="82"/>
      <c r="B1585" s="81"/>
      <c r="C1585" s="81"/>
      <c r="D1585" s="122"/>
      <c r="E1585" s="114"/>
    </row>
    <row r="1586" spans="1:5" x14ac:dyDescent="0.25">
      <c r="A1586" s="82"/>
      <c r="B1586" s="81"/>
      <c r="C1586" s="81"/>
      <c r="D1586" s="122"/>
      <c r="E1586" s="114"/>
    </row>
    <row r="1587" spans="1:5" x14ac:dyDescent="0.25">
      <c r="A1587" s="82"/>
      <c r="B1587" s="81"/>
      <c r="C1587" s="81"/>
      <c r="D1587" s="122"/>
      <c r="E1587" s="114"/>
    </row>
    <row r="1588" spans="1:5" x14ac:dyDescent="0.25">
      <c r="A1588" s="82"/>
      <c r="B1588" s="81"/>
      <c r="C1588" s="81"/>
      <c r="D1588" s="122"/>
      <c r="E1588" s="114"/>
    </row>
    <row r="1589" spans="1:5" x14ac:dyDescent="0.25">
      <c r="A1589" s="82"/>
      <c r="B1589" s="81"/>
      <c r="C1589" s="81"/>
      <c r="D1589" s="122"/>
      <c r="E1589" s="114"/>
    </row>
    <row r="1590" spans="1:5" x14ac:dyDescent="0.25">
      <c r="A1590" s="82"/>
      <c r="B1590" s="81"/>
      <c r="C1590" s="81"/>
      <c r="D1590" s="122"/>
      <c r="E1590" s="114"/>
    </row>
    <row r="1591" spans="1:5" x14ac:dyDescent="0.25">
      <c r="A1591" s="82"/>
      <c r="B1591" s="81"/>
      <c r="C1591" s="81"/>
      <c r="D1591" s="122"/>
      <c r="E1591" s="114"/>
    </row>
    <row r="1592" spans="1:5" x14ac:dyDescent="0.25">
      <c r="A1592" s="82"/>
      <c r="B1592" s="81"/>
      <c r="C1592" s="81"/>
      <c r="D1592" s="122"/>
      <c r="E1592" s="114"/>
    </row>
    <row r="1593" spans="1:5" x14ac:dyDescent="0.25">
      <c r="A1593" s="82"/>
      <c r="B1593" s="81"/>
      <c r="C1593" s="81"/>
      <c r="D1593" s="122"/>
      <c r="E1593" s="114"/>
    </row>
    <row r="1594" spans="1:5" x14ac:dyDescent="0.25">
      <c r="A1594" s="82"/>
      <c r="B1594" s="81"/>
      <c r="C1594" s="81"/>
      <c r="D1594" s="122"/>
      <c r="E1594" s="114"/>
    </row>
    <row r="1595" spans="1:5" x14ac:dyDescent="0.25">
      <c r="A1595" s="82"/>
      <c r="B1595" s="81"/>
      <c r="C1595" s="81"/>
      <c r="D1595" s="122"/>
      <c r="E1595" s="114"/>
    </row>
    <row r="1596" spans="1:5" x14ac:dyDescent="0.25">
      <c r="A1596" s="82"/>
      <c r="B1596" s="81"/>
      <c r="C1596" s="81"/>
      <c r="D1596" s="122"/>
      <c r="E1596" s="114"/>
    </row>
    <row r="1597" spans="1:5" x14ac:dyDescent="0.25">
      <c r="A1597" s="82"/>
      <c r="B1597" s="81"/>
      <c r="C1597" s="81"/>
      <c r="D1597" s="122"/>
      <c r="E1597" s="114"/>
    </row>
    <row r="1598" spans="1:5" x14ac:dyDescent="0.25">
      <c r="A1598" s="82"/>
      <c r="B1598" s="81"/>
      <c r="C1598" s="81"/>
      <c r="D1598" s="122"/>
      <c r="E1598" s="114"/>
    </row>
    <row r="1599" spans="1:5" x14ac:dyDescent="0.25">
      <c r="A1599" s="82"/>
      <c r="B1599" s="81"/>
      <c r="C1599" s="81"/>
      <c r="D1599" s="122"/>
      <c r="E1599" s="114"/>
    </row>
    <row r="1600" spans="1:5" x14ac:dyDescent="0.25">
      <c r="A1600" s="82"/>
      <c r="B1600" s="81"/>
      <c r="C1600" s="81"/>
      <c r="D1600" s="122"/>
      <c r="E1600" s="114"/>
    </row>
    <row r="1601" spans="1:5" x14ac:dyDescent="0.25">
      <c r="A1601" s="82"/>
      <c r="B1601" s="81"/>
      <c r="C1601" s="81"/>
      <c r="D1601" s="122"/>
      <c r="E1601" s="114"/>
    </row>
    <row r="1602" spans="1:5" x14ac:dyDescent="0.25">
      <c r="A1602" s="82"/>
      <c r="B1602" s="81"/>
      <c r="C1602" s="81"/>
      <c r="D1602" s="122"/>
      <c r="E1602" s="114"/>
    </row>
    <row r="1603" spans="1:5" x14ac:dyDescent="0.25">
      <c r="A1603" s="82"/>
      <c r="B1603" s="81"/>
      <c r="C1603" s="81"/>
      <c r="D1603" s="122"/>
      <c r="E1603" s="114"/>
    </row>
    <row r="1604" spans="1:5" x14ac:dyDescent="0.25">
      <c r="A1604" s="82"/>
      <c r="B1604" s="81"/>
      <c r="C1604" s="81"/>
      <c r="D1604" s="122"/>
      <c r="E1604" s="114"/>
    </row>
    <row r="1605" spans="1:5" x14ac:dyDescent="0.25">
      <c r="A1605" s="82"/>
      <c r="B1605" s="81"/>
      <c r="C1605" s="81"/>
      <c r="D1605" s="122"/>
      <c r="E1605" s="114"/>
    </row>
    <row r="1606" spans="1:5" x14ac:dyDescent="0.25">
      <c r="A1606" s="82"/>
      <c r="B1606" s="81"/>
      <c r="C1606" s="81"/>
      <c r="D1606" s="122"/>
      <c r="E1606" s="114"/>
    </row>
    <row r="1607" spans="1:5" x14ac:dyDescent="0.25">
      <c r="A1607" s="82"/>
      <c r="B1607" s="81"/>
      <c r="C1607" s="81"/>
      <c r="D1607" s="122"/>
      <c r="E1607" s="114"/>
    </row>
    <row r="1608" spans="1:5" x14ac:dyDescent="0.25">
      <c r="A1608" s="82"/>
      <c r="B1608" s="81"/>
      <c r="C1608" s="81"/>
      <c r="D1608" s="122"/>
      <c r="E1608" s="114"/>
    </row>
    <row r="1609" spans="1:5" x14ac:dyDescent="0.25">
      <c r="A1609" s="82"/>
      <c r="B1609" s="81"/>
      <c r="C1609" s="81"/>
      <c r="D1609" s="122"/>
      <c r="E1609" s="114"/>
    </row>
    <row r="1610" spans="1:5" x14ac:dyDescent="0.25">
      <c r="A1610" s="82"/>
      <c r="B1610" s="81"/>
      <c r="C1610" s="81"/>
      <c r="D1610" s="122"/>
      <c r="E1610" s="114"/>
    </row>
    <row r="1611" spans="1:5" x14ac:dyDescent="0.25">
      <c r="A1611" s="82"/>
      <c r="B1611" s="81"/>
      <c r="C1611" s="81"/>
      <c r="D1611" s="122"/>
      <c r="E1611" s="114"/>
    </row>
    <row r="1612" spans="1:5" x14ac:dyDescent="0.25">
      <c r="A1612" s="82"/>
      <c r="B1612" s="81"/>
      <c r="C1612" s="81"/>
      <c r="D1612" s="122"/>
      <c r="E1612" s="114"/>
    </row>
    <row r="1613" spans="1:5" x14ac:dyDescent="0.25">
      <c r="A1613" s="82"/>
      <c r="B1613" s="81"/>
      <c r="C1613" s="81"/>
      <c r="D1613" s="122"/>
      <c r="E1613" s="114"/>
    </row>
    <row r="1614" spans="1:5" x14ac:dyDescent="0.25">
      <c r="A1614" s="82"/>
      <c r="B1614" s="81"/>
      <c r="C1614" s="81"/>
      <c r="D1614" s="122"/>
      <c r="E1614" s="114"/>
    </row>
    <row r="1615" spans="1:5" x14ac:dyDescent="0.25">
      <c r="A1615" s="82"/>
      <c r="B1615" s="81"/>
      <c r="C1615" s="81"/>
      <c r="D1615" s="122"/>
      <c r="E1615" s="114"/>
    </row>
    <row r="1616" spans="1:5" x14ac:dyDescent="0.25">
      <c r="A1616" s="82"/>
      <c r="B1616" s="81"/>
      <c r="C1616" s="81"/>
      <c r="D1616" s="122"/>
      <c r="E1616" s="114"/>
    </row>
    <row r="1617" spans="1:5" x14ac:dyDescent="0.25">
      <c r="A1617" s="82"/>
      <c r="B1617" s="81"/>
      <c r="C1617" s="81"/>
      <c r="D1617" s="122"/>
      <c r="E1617" s="114"/>
    </row>
    <row r="1618" spans="1:5" x14ac:dyDescent="0.25">
      <c r="A1618" s="82"/>
      <c r="B1618" s="81"/>
      <c r="C1618" s="81"/>
      <c r="D1618" s="122"/>
      <c r="E1618" s="114"/>
    </row>
    <row r="1619" spans="1:5" x14ac:dyDescent="0.25">
      <c r="A1619" s="82"/>
      <c r="B1619" s="81"/>
      <c r="C1619" s="81"/>
      <c r="D1619" s="122"/>
      <c r="E1619" s="114"/>
    </row>
    <row r="1620" spans="1:5" x14ac:dyDescent="0.25">
      <c r="A1620" s="82"/>
      <c r="B1620" s="81"/>
      <c r="C1620" s="81"/>
      <c r="D1620" s="122"/>
      <c r="E1620" s="114"/>
    </row>
    <row r="1621" spans="1:5" x14ac:dyDescent="0.25">
      <c r="A1621" s="82"/>
      <c r="B1621" s="81"/>
      <c r="C1621" s="81"/>
      <c r="D1621" s="122"/>
      <c r="E1621" s="114"/>
    </row>
    <row r="1622" spans="1:5" x14ac:dyDescent="0.25">
      <c r="A1622" s="82"/>
      <c r="B1622" s="81"/>
      <c r="C1622" s="81"/>
      <c r="D1622" s="122"/>
      <c r="E1622" s="114"/>
    </row>
    <row r="1623" spans="1:5" x14ac:dyDescent="0.25">
      <c r="A1623" s="82"/>
      <c r="B1623" s="81"/>
      <c r="C1623" s="81"/>
      <c r="D1623" s="122"/>
      <c r="E1623" s="114"/>
    </row>
    <row r="1624" spans="1:5" x14ac:dyDescent="0.25">
      <c r="A1624" s="82"/>
      <c r="B1624" s="81"/>
      <c r="C1624" s="81"/>
      <c r="D1624" s="122"/>
      <c r="E1624" s="114"/>
    </row>
    <row r="1625" spans="1:5" x14ac:dyDescent="0.25">
      <c r="A1625" s="82"/>
      <c r="B1625" s="81"/>
      <c r="C1625" s="81"/>
      <c r="D1625" s="122"/>
      <c r="E1625" s="114"/>
    </row>
    <row r="1626" spans="1:5" x14ac:dyDescent="0.25">
      <c r="A1626" s="82"/>
      <c r="B1626" s="81"/>
      <c r="C1626" s="81"/>
      <c r="D1626" s="122"/>
      <c r="E1626" s="114"/>
    </row>
    <row r="1627" spans="1:5" x14ac:dyDescent="0.25">
      <c r="A1627" s="82"/>
      <c r="B1627" s="81"/>
      <c r="C1627" s="81"/>
      <c r="D1627" s="122"/>
      <c r="E1627" s="114"/>
    </row>
    <row r="1628" spans="1:5" x14ac:dyDescent="0.25">
      <c r="A1628" s="82"/>
      <c r="B1628" s="81"/>
      <c r="C1628" s="81"/>
      <c r="D1628" s="122"/>
      <c r="E1628" s="114"/>
    </row>
    <row r="1629" spans="1:5" x14ac:dyDescent="0.25">
      <c r="A1629" s="82"/>
      <c r="B1629" s="81"/>
      <c r="C1629" s="81"/>
      <c r="D1629" s="122"/>
      <c r="E1629" s="114"/>
    </row>
    <row r="1630" spans="1:5" x14ac:dyDescent="0.25">
      <c r="A1630" s="82"/>
      <c r="B1630" s="81"/>
      <c r="C1630" s="81"/>
      <c r="D1630" s="122"/>
      <c r="E1630" s="114"/>
    </row>
    <row r="1631" spans="1:5" x14ac:dyDescent="0.25">
      <c r="A1631" s="82"/>
      <c r="B1631" s="81"/>
      <c r="C1631" s="81"/>
      <c r="D1631" s="122"/>
      <c r="E1631" s="114"/>
    </row>
    <row r="1632" spans="1:5" x14ac:dyDescent="0.25">
      <c r="A1632" s="82"/>
      <c r="B1632" s="81"/>
      <c r="C1632" s="81"/>
      <c r="D1632" s="122"/>
      <c r="E1632" s="114"/>
    </row>
    <row r="1633" spans="1:5" x14ac:dyDescent="0.25">
      <c r="A1633" s="82"/>
      <c r="B1633" s="81"/>
      <c r="C1633" s="81"/>
      <c r="D1633" s="122"/>
      <c r="E1633" s="114"/>
    </row>
    <row r="1634" spans="1:5" x14ac:dyDescent="0.25">
      <c r="A1634" s="82"/>
      <c r="B1634" s="81"/>
      <c r="C1634" s="81"/>
      <c r="D1634" s="122"/>
      <c r="E1634" s="114"/>
    </row>
    <row r="1635" spans="1:5" x14ac:dyDescent="0.25">
      <c r="A1635" s="82"/>
      <c r="B1635" s="81"/>
      <c r="C1635" s="81"/>
      <c r="D1635" s="122"/>
      <c r="E1635" s="114"/>
    </row>
    <row r="1636" spans="1:5" x14ac:dyDescent="0.25">
      <c r="A1636" s="82"/>
      <c r="B1636" s="81"/>
      <c r="C1636" s="81"/>
      <c r="D1636" s="122"/>
      <c r="E1636" s="114"/>
    </row>
    <row r="1637" spans="1:5" x14ac:dyDescent="0.25">
      <c r="A1637" s="82"/>
      <c r="B1637" s="81"/>
      <c r="C1637" s="81"/>
      <c r="D1637" s="122"/>
      <c r="E1637" s="114"/>
    </row>
    <row r="1638" spans="1:5" x14ac:dyDescent="0.25">
      <c r="A1638" s="82"/>
      <c r="B1638" s="81"/>
      <c r="C1638" s="81"/>
      <c r="D1638" s="122"/>
      <c r="E1638" s="114"/>
    </row>
    <row r="1639" spans="1:5" x14ac:dyDescent="0.25">
      <c r="A1639" s="82"/>
      <c r="B1639" s="81"/>
      <c r="C1639" s="81"/>
      <c r="D1639" s="122"/>
      <c r="E1639" s="114"/>
    </row>
    <row r="1640" spans="1:5" x14ac:dyDescent="0.25">
      <c r="A1640" s="82"/>
      <c r="B1640" s="81"/>
      <c r="C1640" s="81"/>
      <c r="D1640" s="122"/>
      <c r="E1640" s="114"/>
    </row>
    <row r="1641" spans="1:5" x14ac:dyDescent="0.25">
      <c r="A1641" s="82"/>
      <c r="B1641" s="81"/>
      <c r="C1641" s="81"/>
      <c r="D1641" s="122"/>
      <c r="E1641" s="114"/>
    </row>
    <row r="1642" spans="1:5" x14ac:dyDescent="0.25">
      <c r="A1642" s="82"/>
      <c r="B1642" s="81"/>
      <c r="C1642" s="81"/>
      <c r="D1642" s="122"/>
      <c r="E1642" s="114"/>
    </row>
    <row r="1643" spans="1:5" x14ac:dyDescent="0.25">
      <c r="A1643" s="82"/>
      <c r="B1643" s="81"/>
      <c r="C1643" s="81"/>
      <c r="D1643" s="122"/>
      <c r="E1643" s="114"/>
    </row>
    <row r="1644" spans="1:5" x14ac:dyDescent="0.25">
      <c r="A1644" s="82"/>
      <c r="B1644" s="81"/>
      <c r="C1644" s="81"/>
      <c r="D1644" s="122"/>
      <c r="E1644" s="114"/>
    </row>
    <row r="1645" spans="1:5" x14ac:dyDescent="0.25">
      <c r="A1645" s="82"/>
      <c r="B1645" s="81"/>
      <c r="C1645" s="81"/>
      <c r="D1645" s="122"/>
      <c r="E1645" s="114"/>
    </row>
    <row r="1646" spans="1:5" x14ac:dyDescent="0.25">
      <c r="A1646" s="82"/>
      <c r="B1646" s="81"/>
      <c r="C1646" s="81"/>
      <c r="D1646" s="122"/>
      <c r="E1646" s="114"/>
    </row>
    <row r="1647" spans="1:5" x14ac:dyDescent="0.25">
      <c r="A1647" s="82"/>
      <c r="B1647" s="81"/>
      <c r="C1647" s="81"/>
      <c r="D1647" s="122"/>
      <c r="E1647" s="114"/>
    </row>
    <row r="1648" spans="1:5" x14ac:dyDescent="0.25">
      <c r="A1648" s="82"/>
      <c r="B1648" s="81"/>
      <c r="C1648" s="81"/>
      <c r="D1648" s="122"/>
      <c r="E1648" s="114"/>
    </row>
    <row r="1649" spans="1:5" x14ac:dyDescent="0.25">
      <c r="A1649" s="82"/>
      <c r="B1649" s="81"/>
      <c r="C1649" s="81"/>
      <c r="D1649" s="122"/>
      <c r="E1649" s="114"/>
    </row>
    <row r="1650" spans="1:5" x14ac:dyDescent="0.25">
      <c r="A1650" s="82"/>
      <c r="B1650" s="81"/>
      <c r="C1650" s="81"/>
      <c r="D1650" s="122"/>
      <c r="E1650" s="114"/>
    </row>
    <row r="1651" spans="1:5" x14ac:dyDescent="0.25">
      <c r="A1651" s="82"/>
      <c r="B1651" s="81"/>
      <c r="C1651" s="81"/>
      <c r="D1651" s="122"/>
      <c r="E1651" s="114"/>
    </row>
    <row r="1652" spans="1:5" x14ac:dyDescent="0.25">
      <c r="A1652" s="82"/>
      <c r="B1652" s="81"/>
      <c r="C1652" s="81"/>
      <c r="D1652" s="122"/>
      <c r="E1652" s="114"/>
    </row>
    <row r="1653" spans="1:5" x14ac:dyDescent="0.25">
      <c r="A1653" s="82"/>
      <c r="B1653" s="81"/>
      <c r="C1653" s="81"/>
      <c r="D1653" s="122"/>
      <c r="E1653" s="114"/>
    </row>
    <row r="1654" spans="1:5" x14ac:dyDescent="0.25">
      <c r="A1654" s="82"/>
      <c r="B1654" s="81"/>
      <c r="C1654" s="81"/>
      <c r="D1654" s="122"/>
      <c r="E1654" s="114"/>
    </row>
    <row r="1655" spans="1:5" x14ac:dyDescent="0.25">
      <c r="A1655" s="82"/>
      <c r="B1655" s="81"/>
      <c r="C1655" s="81"/>
      <c r="D1655" s="122"/>
      <c r="E1655" s="114"/>
    </row>
    <row r="1656" spans="1:5" x14ac:dyDescent="0.25">
      <c r="A1656" s="82"/>
      <c r="B1656" s="81"/>
      <c r="C1656" s="81"/>
      <c r="D1656" s="122"/>
      <c r="E1656" s="114"/>
    </row>
    <row r="1657" spans="1:5" x14ac:dyDescent="0.25">
      <c r="A1657" s="82"/>
      <c r="B1657" s="81"/>
      <c r="C1657" s="81"/>
      <c r="D1657" s="122"/>
      <c r="E1657" s="114"/>
    </row>
    <row r="1658" spans="1:5" x14ac:dyDescent="0.25">
      <c r="A1658" s="82"/>
      <c r="B1658" s="81"/>
      <c r="C1658" s="81"/>
      <c r="D1658" s="122"/>
      <c r="E1658" s="114"/>
    </row>
    <row r="1659" spans="1:5" x14ac:dyDescent="0.25">
      <c r="A1659" s="82"/>
      <c r="B1659" s="81"/>
      <c r="C1659" s="81"/>
      <c r="D1659" s="122"/>
      <c r="E1659" s="114"/>
    </row>
    <row r="1660" spans="1:5" x14ac:dyDescent="0.25">
      <c r="A1660" s="82"/>
      <c r="B1660" s="81"/>
      <c r="C1660" s="81"/>
      <c r="D1660" s="122"/>
      <c r="E1660" s="114"/>
    </row>
    <row r="1661" spans="1:5" x14ac:dyDescent="0.25">
      <c r="A1661" s="82"/>
      <c r="B1661" s="81"/>
      <c r="C1661" s="81"/>
      <c r="D1661" s="122"/>
      <c r="E1661" s="114"/>
    </row>
    <row r="1662" spans="1:5" x14ac:dyDescent="0.25">
      <c r="A1662" s="82"/>
      <c r="B1662" s="81"/>
      <c r="C1662" s="81"/>
      <c r="D1662" s="122"/>
      <c r="E1662" s="114"/>
    </row>
    <row r="1663" spans="1:5" x14ac:dyDescent="0.25">
      <c r="A1663" s="82"/>
      <c r="B1663" s="81"/>
      <c r="C1663" s="81"/>
      <c r="D1663" s="122"/>
      <c r="E1663" s="114"/>
    </row>
    <row r="1664" spans="1:5" x14ac:dyDescent="0.25">
      <c r="A1664" s="82"/>
      <c r="B1664" s="81"/>
      <c r="C1664" s="81"/>
      <c r="D1664" s="122"/>
      <c r="E1664" s="114"/>
    </row>
    <row r="1665" spans="1:5" x14ac:dyDescent="0.25">
      <c r="A1665" s="82"/>
      <c r="B1665" s="81"/>
      <c r="C1665" s="81"/>
      <c r="D1665" s="122"/>
      <c r="E1665" s="114"/>
    </row>
    <row r="1666" spans="1:5" x14ac:dyDescent="0.25">
      <c r="A1666" s="82"/>
      <c r="B1666" s="81"/>
      <c r="C1666" s="81"/>
      <c r="D1666" s="122"/>
      <c r="E1666" s="114"/>
    </row>
    <row r="1667" spans="1:5" x14ac:dyDescent="0.25">
      <c r="A1667" s="82"/>
      <c r="B1667" s="81"/>
      <c r="C1667" s="81"/>
      <c r="D1667" s="122"/>
      <c r="E1667" s="114"/>
    </row>
    <row r="1668" spans="1:5" x14ac:dyDescent="0.25">
      <c r="A1668" s="82"/>
      <c r="B1668" s="81"/>
      <c r="C1668" s="81"/>
      <c r="D1668" s="122"/>
      <c r="E1668" s="114"/>
    </row>
    <row r="1669" spans="1:5" x14ac:dyDescent="0.25">
      <c r="A1669" s="82"/>
      <c r="B1669" s="81"/>
      <c r="C1669" s="81"/>
      <c r="D1669" s="122"/>
      <c r="E1669" s="114"/>
    </row>
    <row r="1670" spans="1:5" x14ac:dyDescent="0.25">
      <c r="A1670" s="82"/>
      <c r="B1670" s="81"/>
      <c r="C1670" s="81"/>
      <c r="D1670" s="122"/>
      <c r="E1670" s="114"/>
    </row>
    <row r="1671" spans="1:5" x14ac:dyDescent="0.25">
      <c r="A1671" s="82"/>
      <c r="B1671" s="81"/>
      <c r="C1671" s="81"/>
      <c r="D1671" s="122"/>
      <c r="E1671" s="114"/>
    </row>
    <row r="1672" spans="1:5" x14ac:dyDescent="0.25">
      <c r="A1672" s="82"/>
      <c r="B1672" s="81"/>
      <c r="C1672" s="81"/>
      <c r="D1672" s="122"/>
      <c r="E1672" s="114"/>
    </row>
    <row r="1673" spans="1:5" x14ac:dyDescent="0.25">
      <c r="A1673" s="82"/>
      <c r="B1673" s="81"/>
      <c r="C1673" s="81"/>
      <c r="D1673" s="122"/>
      <c r="E1673" s="114"/>
    </row>
    <row r="1674" spans="1:5" x14ac:dyDescent="0.25">
      <c r="A1674" s="82"/>
      <c r="B1674" s="81"/>
      <c r="C1674" s="81"/>
      <c r="D1674" s="122"/>
      <c r="E1674" s="114"/>
    </row>
    <row r="1675" spans="1:5" x14ac:dyDescent="0.25">
      <c r="A1675" s="82"/>
      <c r="B1675" s="81"/>
      <c r="C1675" s="81"/>
      <c r="D1675" s="122"/>
      <c r="E1675" s="114"/>
    </row>
    <row r="1676" spans="1:5" x14ac:dyDescent="0.25">
      <c r="A1676" s="82"/>
      <c r="B1676" s="81"/>
      <c r="C1676" s="81"/>
      <c r="D1676" s="122"/>
      <c r="E1676" s="114"/>
    </row>
    <row r="1677" spans="1:5" x14ac:dyDescent="0.25">
      <c r="A1677" s="82"/>
      <c r="B1677" s="81"/>
      <c r="C1677" s="81"/>
      <c r="D1677" s="122"/>
      <c r="E1677" s="114"/>
    </row>
    <row r="1678" spans="1:5" x14ac:dyDescent="0.25">
      <c r="A1678" s="82"/>
      <c r="B1678" s="81"/>
      <c r="C1678" s="81"/>
      <c r="D1678" s="122"/>
      <c r="E1678" s="114"/>
    </row>
    <row r="1679" spans="1:5" x14ac:dyDescent="0.25">
      <c r="A1679" s="82"/>
      <c r="B1679" s="81"/>
      <c r="C1679" s="81"/>
      <c r="D1679" s="122"/>
      <c r="E1679" s="114"/>
    </row>
    <row r="1680" spans="1:5" x14ac:dyDescent="0.25">
      <c r="A1680" s="82"/>
      <c r="B1680" s="81"/>
      <c r="C1680" s="81"/>
      <c r="D1680" s="122"/>
      <c r="E1680" s="114"/>
    </row>
    <row r="1681" spans="1:5" x14ac:dyDescent="0.25">
      <c r="A1681" s="82"/>
      <c r="B1681" s="81"/>
      <c r="C1681" s="81"/>
      <c r="D1681" s="122"/>
      <c r="E1681" s="114"/>
    </row>
    <row r="1682" spans="1:5" x14ac:dyDescent="0.25">
      <c r="A1682" s="82"/>
      <c r="B1682" s="81"/>
      <c r="C1682" s="81"/>
      <c r="D1682" s="122"/>
      <c r="E1682" s="114"/>
    </row>
    <row r="1683" spans="1:5" x14ac:dyDescent="0.25">
      <c r="A1683" s="82"/>
      <c r="B1683" s="81"/>
      <c r="C1683" s="81"/>
      <c r="D1683" s="122"/>
      <c r="E1683" s="114"/>
    </row>
    <row r="1684" spans="1:5" x14ac:dyDescent="0.25">
      <c r="A1684" s="82"/>
      <c r="B1684" s="81"/>
      <c r="C1684" s="81"/>
      <c r="D1684" s="122"/>
      <c r="E1684" s="114"/>
    </row>
    <row r="1685" spans="1:5" x14ac:dyDescent="0.25">
      <c r="A1685" s="82"/>
      <c r="B1685" s="81"/>
      <c r="C1685" s="81"/>
      <c r="D1685" s="122"/>
      <c r="E1685" s="114"/>
    </row>
    <row r="1686" spans="1:5" x14ac:dyDescent="0.25">
      <c r="A1686" s="82"/>
      <c r="B1686" s="81"/>
      <c r="C1686" s="81"/>
      <c r="D1686" s="122"/>
      <c r="E1686" s="114"/>
    </row>
    <row r="1687" spans="1:5" x14ac:dyDescent="0.25">
      <c r="A1687" s="82"/>
      <c r="B1687" s="81"/>
      <c r="C1687" s="81"/>
      <c r="D1687" s="122"/>
      <c r="E1687" s="114"/>
    </row>
    <row r="1688" spans="1:5" x14ac:dyDescent="0.25">
      <c r="A1688" s="82"/>
      <c r="B1688" s="81"/>
      <c r="C1688" s="81"/>
      <c r="D1688" s="122"/>
      <c r="E1688" s="114"/>
    </row>
    <row r="1689" spans="1:5" x14ac:dyDescent="0.25">
      <c r="A1689" s="82"/>
      <c r="B1689" s="81"/>
      <c r="C1689" s="81"/>
      <c r="D1689" s="122"/>
      <c r="E1689" s="114"/>
    </row>
    <row r="1690" spans="1:5" x14ac:dyDescent="0.25">
      <c r="A1690" s="82"/>
      <c r="B1690" s="81"/>
      <c r="C1690" s="81"/>
      <c r="D1690" s="122"/>
      <c r="E1690" s="114"/>
    </row>
    <row r="1691" spans="1:5" x14ac:dyDescent="0.25">
      <c r="A1691" s="82"/>
      <c r="B1691" s="81"/>
      <c r="C1691" s="81"/>
      <c r="D1691" s="122"/>
      <c r="E1691" s="114"/>
    </row>
    <row r="1692" spans="1:5" x14ac:dyDescent="0.25">
      <c r="A1692" s="82"/>
      <c r="B1692" s="81"/>
      <c r="C1692" s="81"/>
      <c r="D1692" s="122"/>
      <c r="E1692" s="114"/>
    </row>
    <row r="1693" spans="1:5" x14ac:dyDescent="0.25">
      <c r="A1693" s="82"/>
      <c r="B1693" s="81"/>
      <c r="C1693" s="81"/>
      <c r="D1693" s="122"/>
      <c r="E1693" s="114"/>
    </row>
    <row r="1694" spans="1:5" x14ac:dyDescent="0.25">
      <c r="A1694" s="82"/>
      <c r="B1694" s="81"/>
      <c r="C1694" s="81"/>
      <c r="D1694" s="122"/>
      <c r="E1694" s="114"/>
    </row>
    <row r="1695" spans="1:5" x14ac:dyDescent="0.25">
      <c r="A1695" s="82"/>
      <c r="B1695" s="81"/>
      <c r="C1695" s="81"/>
      <c r="D1695" s="122"/>
      <c r="E1695" s="114"/>
    </row>
    <row r="1696" spans="1:5" x14ac:dyDescent="0.25">
      <c r="A1696" s="82"/>
      <c r="B1696" s="81"/>
      <c r="C1696" s="81"/>
      <c r="D1696" s="122"/>
      <c r="E1696" s="114"/>
    </row>
    <row r="1697" spans="1:5" x14ac:dyDescent="0.25">
      <c r="A1697" s="82"/>
      <c r="B1697" s="81"/>
      <c r="C1697" s="81"/>
      <c r="D1697" s="122"/>
      <c r="E1697" s="114"/>
    </row>
    <row r="1698" spans="1:5" x14ac:dyDescent="0.25">
      <c r="A1698" s="82"/>
      <c r="B1698" s="81"/>
      <c r="C1698" s="81"/>
      <c r="D1698" s="122"/>
      <c r="E1698" s="114"/>
    </row>
    <row r="1699" spans="1:5" x14ac:dyDescent="0.25">
      <c r="A1699" s="82"/>
      <c r="B1699" s="81"/>
      <c r="C1699" s="81"/>
      <c r="D1699" s="122"/>
      <c r="E1699" s="114"/>
    </row>
    <row r="1700" spans="1:5" x14ac:dyDescent="0.25">
      <c r="A1700" s="82"/>
      <c r="B1700" s="81"/>
      <c r="C1700" s="81"/>
      <c r="D1700" s="122"/>
      <c r="E1700" s="114"/>
    </row>
    <row r="1701" spans="1:5" x14ac:dyDescent="0.25">
      <c r="A1701" s="82"/>
      <c r="B1701" s="81"/>
      <c r="C1701" s="81"/>
      <c r="D1701" s="122"/>
      <c r="E1701" s="114"/>
    </row>
    <row r="1702" spans="1:5" x14ac:dyDescent="0.25">
      <c r="A1702" s="82"/>
      <c r="B1702" s="81"/>
      <c r="C1702" s="81"/>
      <c r="D1702" s="122"/>
      <c r="E1702" s="114"/>
    </row>
    <row r="1703" spans="1:5" x14ac:dyDescent="0.25">
      <c r="A1703" s="82"/>
      <c r="B1703" s="81"/>
      <c r="C1703" s="81"/>
      <c r="D1703" s="122"/>
      <c r="E1703" s="114"/>
    </row>
    <row r="1704" spans="1:5" x14ac:dyDescent="0.25">
      <c r="A1704" s="82"/>
      <c r="B1704" s="81"/>
      <c r="C1704" s="81"/>
      <c r="D1704" s="122"/>
      <c r="E1704" s="114"/>
    </row>
    <row r="1705" spans="1:5" x14ac:dyDescent="0.25">
      <c r="A1705" s="82"/>
      <c r="B1705" s="81"/>
      <c r="C1705" s="81"/>
      <c r="D1705" s="122"/>
      <c r="E1705" s="114"/>
    </row>
    <row r="1706" spans="1:5" x14ac:dyDescent="0.25">
      <c r="A1706" s="82"/>
      <c r="B1706" s="81"/>
      <c r="C1706" s="81"/>
      <c r="D1706" s="122"/>
      <c r="E1706" s="114"/>
    </row>
    <row r="1707" spans="1:5" x14ac:dyDescent="0.25">
      <c r="A1707" s="82"/>
      <c r="B1707" s="81"/>
      <c r="C1707" s="81"/>
      <c r="D1707" s="122"/>
      <c r="E1707" s="114"/>
    </row>
    <row r="1708" spans="1:5" x14ac:dyDescent="0.25">
      <c r="A1708" s="82"/>
      <c r="B1708" s="81"/>
      <c r="C1708" s="81"/>
      <c r="D1708" s="122"/>
      <c r="E1708" s="114"/>
    </row>
    <row r="1709" spans="1:5" x14ac:dyDescent="0.25">
      <c r="A1709" s="82"/>
      <c r="B1709" s="81"/>
      <c r="C1709" s="81"/>
      <c r="D1709" s="122"/>
      <c r="E1709" s="114"/>
    </row>
    <row r="1710" spans="1:5" x14ac:dyDescent="0.25">
      <c r="A1710" s="82"/>
      <c r="B1710" s="81"/>
      <c r="C1710" s="81"/>
      <c r="D1710" s="122"/>
      <c r="E1710" s="114"/>
    </row>
    <row r="1711" spans="1:5" x14ac:dyDescent="0.25">
      <c r="A1711" s="82"/>
      <c r="B1711" s="81"/>
      <c r="C1711" s="81"/>
      <c r="D1711" s="122"/>
      <c r="E1711" s="114"/>
    </row>
    <row r="1712" spans="1:5" x14ac:dyDescent="0.25">
      <c r="A1712" s="82"/>
      <c r="B1712" s="81"/>
      <c r="C1712" s="81"/>
      <c r="D1712" s="122"/>
      <c r="E1712" s="114"/>
    </row>
    <row r="1713" spans="1:5" x14ac:dyDescent="0.25">
      <c r="A1713" s="82"/>
      <c r="B1713" s="81"/>
      <c r="C1713" s="81"/>
      <c r="D1713" s="122"/>
      <c r="E1713" s="114"/>
    </row>
    <row r="1714" spans="1:5" x14ac:dyDescent="0.25">
      <c r="A1714" s="82"/>
      <c r="B1714" s="81"/>
      <c r="C1714" s="81"/>
      <c r="D1714" s="122"/>
      <c r="E1714" s="114"/>
    </row>
    <row r="1715" spans="1:5" x14ac:dyDescent="0.25">
      <c r="A1715" s="82"/>
      <c r="B1715" s="81"/>
      <c r="C1715" s="81"/>
      <c r="D1715" s="122"/>
      <c r="E1715" s="114"/>
    </row>
    <row r="1716" spans="1:5" x14ac:dyDescent="0.25">
      <c r="A1716" s="82"/>
      <c r="B1716" s="81"/>
      <c r="C1716" s="81"/>
      <c r="D1716" s="122"/>
      <c r="E1716" s="114"/>
    </row>
    <row r="1717" spans="1:5" x14ac:dyDescent="0.25">
      <c r="A1717" s="82"/>
      <c r="B1717" s="81"/>
      <c r="C1717" s="81"/>
      <c r="D1717" s="122"/>
      <c r="E1717" s="114"/>
    </row>
    <row r="1718" spans="1:5" x14ac:dyDescent="0.25">
      <c r="A1718" s="82"/>
      <c r="B1718" s="81"/>
      <c r="C1718" s="81"/>
      <c r="D1718" s="122"/>
      <c r="E1718" s="114"/>
    </row>
    <row r="1719" spans="1:5" x14ac:dyDescent="0.25">
      <c r="A1719" s="82"/>
      <c r="B1719" s="81"/>
      <c r="C1719" s="81"/>
      <c r="D1719" s="122"/>
      <c r="E1719" s="114"/>
    </row>
    <row r="1720" spans="1:5" x14ac:dyDescent="0.25">
      <c r="A1720" s="82"/>
      <c r="B1720" s="81"/>
      <c r="C1720" s="81"/>
      <c r="D1720" s="122"/>
      <c r="E1720" s="114"/>
    </row>
    <row r="1721" spans="1:5" x14ac:dyDescent="0.25">
      <c r="A1721" s="82"/>
      <c r="B1721" s="81"/>
      <c r="C1721" s="81"/>
      <c r="D1721" s="122"/>
      <c r="E1721" s="114"/>
    </row>
    <row r="1722" spans="1:5" x14ac:dyDescent="0.25">
      <c r="A1722" s="82"/>
      <c r="B1722" s="81"/>
      <c r="C1722" s="81"/>
      <c r="D1722" s="122"/>
      <c r="E1722" s="114"/>
    </row>
    <row r="1723" spans="1:5" x14ac:dyDescent="0.25">
      <c r="A1723" s="82"/>
      <c r="B1723" s="81"/>
      <c r="C1723" s="81"/>
      <c r="D1723" s="122"/>
      <c r="E1723" s="114"/>
    </row>
    <row r="1724" spans="1:5" x14ac:dyDescent="0.25">
      <c r="A1724" s="82"/>
      <c r="B1724" s="81"/>
      <c r="C1724" s="81"/>
      <c r="D1724" s="122"/>
      <c r="E1724" s="114"/>
    </row>
    <row r="1725" spans="1:5" x14ac:dyDescent="0.25">
      <c r="A1725" s="82"/>
      <c r="B1725" s="81"/>
      <c r="C1725" s="81"/>
      <c r="D1725" s="122"/>
      <c r="E1725" s="114"/>
    </row>
    <row r="1726" spans="1:5" x14ac:dyDescent="0.25">
      <c r="A1726" s="82"/>
      <c r="B1726" s="81"/>
      <c r="C1726" s="81"/>
      <c r="D1726" s="122"/>
      <c r="E1726" s="114"/>
    </row>
    <row r="1727" spans="1:5" x14ac:dyDescent="0.25">
      <c r="A1727" s="82"/>
      <c r="B1727" s="81"/>
      <c r="C1727" s="81"/>
      <c r="D1727" s="122"/>
      <c r="E1727" s="114"/>
    </row>
    <row r="1728" spans="1:5" x14ac:dyDescent="0.25">
      <c r="A1728" s="82"/>
      <c r="B1728" s="81"/>
      <c r="C1728" s="81"/>
      <c r="D1728" s="122"/>
      <c r="E1728" s="114"/>
    </row>
    <row r="1729" spans="1:5" x14ac:dyDescent="0.25">
      <c r="A1729" s="82"/>
      <c r="B1729" s="81"/>
      <c r="C1729" s="81"/>
      <c r="D1729" s="122"/>
      <c r="E1729" s="114"/>
    </row>
    <row r="1730" spans="1:5" x14ac:dyDescent="0.25">
      <c r="A1730" s="82"/>
      <c r="B1730" s="81"/>
      <c r="C1730" s="81"/>
      <c r="D1730" s="122"/>
      <c r="E1730" s="114"/>
    </row>
    <row r="1731" spans="1:5" x14ac:dyDescent="0.25">
      <c r="A1731" s="82"/>
      <c r="B1731" s="81"/>
      <c r="C1731" s="81"/>
      <c r="D1731" s="122"/>
      <c r="E1731" s="114"/>
    </row>
    <row r="1732" spans="1:5" x14ac:dyDescent="0.25">
      <c r="A1732" s="82"/>
      <c r="B1732" s="81"/>
      <c r="C1732" s="81"/>
      <c r="D1732" s="122"/>
      <c r="E1732" s="114"/>
    </row>
    <row r="1733" spans="1:5" x14ac:dyDescent="0.25">
      <c r="A1733" s="82"/>
      <c r="B1733" s="81"/>
      <c r="C1733" s="81"/>
      <c r="D1733" s="122"/>
      <c r="E1733" s="114"/>
    </row>
    <row r="1734" spans="1:5" x14ac:dyDescent="0.25">
      <c r="A1734" s="82"/>
      <c r="B1734" s="81"/>
      <c r="C1734" s="81"/>
      <c r="D1734" s="122"/>
      <c r="E1734" s="114"/>
    </row>
    <row r="1735" spans="1:5" x14ac:dyDescent="0.25">
      <c r="A1735" s="82"/>
      <c r="B1735" s="81"/>
      <c r="C1735" s="81"/>
      <c r="D1735" s="122"/>
      <c r="E1735" s="114"/>
    </row>
    <row r="1736" spans="1:5" x14ac:dyDescent="0.25">
      <c r="A1736" s="82"/>
      <c r="B1736" s="81"/>
      <c r="C1736" s="81"/>
      <c r="D1736" s="122"/>
      <c r="E1736" s="114"/>
    </row>
    <row r="1737" spans="1:5" x14ac:dyDescent="0.25">
      <c r="A1737" s="82"/>
      <c r="B1737" s="81"/>
      <c r="C1737" s="81"/>
      <c r="D1737" s="122"/>
      <c r="E1737" s="114"/>
    </row>
    <row r="1738" spans="1:5" x14ac:dyDescent="0.25">
      <c r="A1738" s="82"/>
      <c r="B1738" s="81"/>
      <c r="C1738" s="81"/>
      <c r="D1738" s="122"/>
      <c r="E1738" s="114"/>
    </row>
    <row r="1739" spans="1:5" x14ac:dyDescent="0.25">
      <c r="A1739" s="82"/>
      <c r="B1739" s="81"/>
      <c r="C1739" s="81"/>
      <c r="D1739" s="122"/>
      <c r="E1739" s="114"/>
    </row>
    <row r="1740" spans="1:5" x14ac:dyDescent="0.25">
      <c r="A1740" s="82"/>
      <c r="B1740" s="81"/>
      <c r="C1740" s="81"/>
      <c r="D1740" s="122"/>
      <c r="E1740" s="114"/>
    </row>
    <row r="1741" spans="1:5" x14ac:dyDescent="0.25">
      <c r="A1741" s="82"/>
      <c r="B1741" s="81"/>
      <c r="C1741" s="81"/>
      <c r="D1741" s="122"/>
      <c r="E1741" s="114"/>
    </row>
    <row r="1742" spans="1:5" x14ac:dyDescent="0.25">
      <c r="A1742" s="82"/>
      <c r="B1742" s="81"/>
      <c r="C1742" s="81"/>
      <c r="D1742" s="122"/>
      <c r="E1742" s="114"/>
    </row>
    <row r="1743" spans="1:5" x14ac:dyDescent="0.25">
      <c r="A1743" s="82"/>
      <c r="B1743" s="81"/>
      <c r="C1743" s="81"/>
      <c r="D1743" s="122"/>
      <c r="E1743" s="114"/>
    </row>
    <row r="1744" spans="1:5" x14ac:dyDescent="0.25">
      <c r="A1744" s="82"/>
      <c r="B1744" s="81"/>
      <c r="C1744" s="81"/>
      <c r="D1744" s="122"/>
      <c r="E1744" s="114"/>
    </row>
    <row r="1745" spans="1:5" x14ac:dyDescent="0.25">
      <c r="A1745" s="82"/>
      <c r="B1745" s="81"/>
      <c r="C1745" s="81"/>
      <c r="D1745" s="122"/>
      <c r="E1745" s="114"/>
    </row>
    <row r="1746" spans="1:5" x14ac:dyDescent="0.25">
      <c r="A1746" s="82"/>
      <c r="B1746" s="81"/>
      <c r="C1746" s="81"/>
      <c r="D1746" s="122"/>
      <c r="E1746" s="114"/>
    </row>
    <row r="1747" spans="1:5" x14ac:dyDescent="0.25">
      <c r="A1747" s="82"/>
      <c r="B1747" s="81"/>
      <c r="C1747" s="81"/>
      <c r="D1747" s="122"/>
      <c r="E1747" s="114"/>
    </row>
    <row r="1748" spans="1:5" x14ac:dyDescent="0.25">
      <c r="A1748" s="82"/>
      <c r="B1748" s="81"/>
      <c r="C1748" s="81"/>
      <c r="D1748" s="122"/>
      <c r="E1748" s="114"/>
    </row>
    <row r="1749" spans="1:5" x14ac:dyDescent="0.25">
      <c r="A1749" s="82"/>
      <c r="B1749" s="81"/>
      <c r="C1749" s="81"/>
      <c r="D1749" s="122"/>
      <c r="E1749" s="114"/>
    </row>
    <row r="1750" spans="1:5" x14ac:dyDescent="0.25">
      <c r="A1750" s="82"/>
      <c r="B1750" s="81"/>
      <c r="C1750" s="81"/>
      <c r="D1750" s="122"/>
      <c r="E1750" s="114"/>
    </row>
    <row r="1751" spans="1:5" x14ac:dyDescent="0.25">
      <c r="A1751" s="82"/>
      <c r="B1751" s="81"/>
      <c r="C1751" s="81"/>
      <c r="D1751" s="122"/>
      <c r="E1751" s="114"/>
    </row>
    <row r="1752" spans="1:5" x14ac:dyDescent="0.25">
      <c r="A1752" s="82"/>
      <c r="B1752" s="81"/>
      <c r="C1752" s="81"/>
      <c r="D1752" s="122"/>
      <c r="E1752" s="114"/>
    </row>
    <row r="1753" spans="1:5" x14ac:dyDescent="0.25">
      <c r="A1753" s="82"/>
      <c r="B1753" s="81"/>
      <c r="C1753" s="81"/>
      <c r="D1753" s="122"/>
      <c r="E1753" s="114"/>
    </row>
    <row r="1754" spans="1:5" x14ac:dyDescent="0.25">
      <c r="A1754" s="82"/>
      <c r="B1754" s="81"/>
      <c r="C1754" s="81"/>
      <c r="D1754" s="122"/>
      <c r="E1754" s="114"/>
    </row>
    <row r="1755" spans="1:5" x14ac:dyDescent="0.25">
      <c r="A1755" s="82"/>
      <c r="B1755" s="81"/>
      <c r="C1755" s="81"/>
      <c r="D1755" s="122"/>
      <c r="E1755" s="114"/>
    </row>
    <row r="1756" spans="1:5" x14ac:dyDescent="0.25">
      <c r="A1756" s="82"/>
      <c r="B1756" s="81"/>
      <c r="C1756" s="81"/>
      <c r="D1756" s="122"/>
      <c r="E1756" s="114"/>
    </row>
    <row r="1757" spans="1:5" x14ac:dyDescent="0.25">
      <c r="A1757" s="82"/>
      <c r="B1757" s="81"/>
      <c r="C1757" s="81"/>
      <c r="D1757" s="122"/>
      <c r="E1757" s="114"/>
    </row>
    <row r="1758" spans="1:5" x14ac:dyDescent="0.25">
      <c r="A1758" s="82"/>
      <c r="B1758" s="81"/>
      <c r="C1758" s="81"/>
      <c r="D1758" s="122"/>
      <c r="E1758" s="114"/>
    </row>
    <row r="1759" spans="1:5" x14ac:dyDescent="0.25">
      <c r="A1759" s="82"/>
      <c r="B1759" s="81"/>
      <c r="C1759" s="81"/>
      <c r="D1759" s="122"/>
      <c r="E1759" s="114"/>
    </row>
    <row r="1760" spans="1:5" x14ac:dyDescent="0.25">
      <c r="A1760" s="82"/>
      <c r="B1760" s="81"/>
      <c r="C1760" s="81"/>
      <c r="D1760" s="122"/>
      <c r="E1760" s="114"/>
    </row>
    <row r="1761" spans="1:5" x14ac:dyDescent="0.25">
      <c r="A1761" s="82"/>
      <c r="B1761" s="81"/>
      <c r="C1761" s="81"/>
      <c r="D1761" s="122"/>
      <c r="E1761" s="114"/>
    </row>
    <row r="1762" spans="1:5" x14ac:dyDescent="0.25">
      <c r="A1762" s="82"/>
      <c r="B1762" s="81"/>
      <c r="C1762" s="81"/>
      <c r="D1762" s="122"/>
      <c r="E1762" s="114"/>
    </row>
    <row r="1763" spans="1:5" x14ac:dyDescent="0.25">
      <c r="A1763" s="82"/>
      <c r="B1763" s="81"/>
      <c r="C1763" s="81"/>
      <c r="D1763" s="122"/>
      <c r="E1763" s="114"/>
    </row>
    <row r="1764" spans="1:5" x14ac:dyDescent="0.25">
      <c r="A1764" s="82"/>
      <c r="B1764" s="81"/>
      <c r="C1764" s="81"/>
      <c r="D1764" s="122"/>
      <c r="E1764" s="114"/>
    </row>
    <row r="1765" spans="1:5" x14ac:dyDescent="0.25">
      <c r="A1765" s="82"/>
      <c r="B1765" s="81"/>
      <c r="C1765" s="81"/>
      <c r="D1765" s="122"/>
      <c r="E1765" s="114"/>
    </row>
    <row r="1766" spans="1:5" x14ac:dyDescent="0.25">
      <c r="A1766" s="82"/>
      <c r="B1766" s="81"/>
      <c r="C1766" s="81"/>
      <c r="D1766" s="122"/>
      <c r="E1766" s="114"/>
    </row>
    <row r="1767" spans="1:5" x14ac:dyDescent="0.25">
      <c r="A1767" s="82"/>
      <c r="B1767" s="81"/>
      <c r="C1767" s="81"/>
      <c r="D1767" s="122"/>
      <c r="E1767" s="114"/>
    </row>
    <row r="1768" spans="1:5" x14ac:dyDescent="0.25">
      <c r="A1768" s="82"/>
      <c r="B1768" s="81"/>
      <c r="C1768" s="81"/>
      <c r="D1768" s="122"/>
      <c r="E1768" s="114"/>
    </row>
    <row r="1769" spans="1:5" x14ac:dyDescent="0.25">
      <c r="A1769" s="82"/>
      <c r="B1769" s="81"/>
      <c r="C1769" s="81"/>
      <c r="D1769" s="122"/>
      <c r="E1769" s="114"/>
    </row>
    <row r="1770" spans="1:5" x14ac:dyDescent="0.25">
      <c r="A1770" s="82"/>
      <c r="B1770" s="81"/>
      <c r="C1770" s="81"/>
      <c r="D1770" s="122"/>
      <c r="E1770" s="114"/>
    </row>
    <row r="1771" spans="1:5" x14ac:dyDescent="0.25">
      <c r="A1771" s="82"/>
      <c r="B1771" s="81"/>
      <c r="C1771" s="81"/>
      <c r="D1771" s="122"/>
      <c r="E1771" s="114"/>
    </row>
    <row r="1772" spans="1:5" x14ac:dyDescent="0.25">
      <c r="A1772" s="82"/>
      <c r="B1772" s="81"/>
      <c r="C1772" s="81"/>
      <c r="D1772" s="122"/>
      <c r="E1772" s="114"/>
    </row>
    <row r="1773" spans="1:5" x14ac:dyDescent="0.25">
      <c r="A1773" s="82"/>
      <c r="B1773" s="81"/>
      <c r="C1773" s="81"/>
      <c r="D1773" s="122"/>
      <c r="E1773" s="114"/>
    </row>
    <row r="1774" spans="1:5" x14ac:dyDescent="0.25">
      <c r="A1774" s="82"/>
      <c r="B1774" s="81"/>
      <c r="C1774" s="81"/>
      <c r="D1774" s="122"/>
      <c r="E1774" s="114"/>
    </row>
    <row r="1775" spans="1:5" x14ac:dyDescent="0.25">
      <c r="A1775" s="82"/>
      <c r="B1775" s="81"/>
      <c r="C1775" s="81"/>
      <c r="D1775" s="122"/>
      <c r="E1775" s="114"/>
    </row>
    <row r="1776" spans="1:5" x14ac:dyDescent="0.25">
      <c r="A1776" s="82"/>
      <c r="B1776" s="81"/>
      <c r="C1776" s="81"/>
      <c r="D1776" s="122"/>
      <c r="E1776" s="114"/>
    </row>
    <row r="1777" spans="1:5" x14ac:dyDescent="0.25">
      <c r="A1777" s="82"/>
      <c r="B1777" s="81"/>
      <c r="C1777" s="81"/>
      <c r="D1777" s="122"/>
      <c r="E1777" s="114"/>
    </row>
    <row r="1778" spans="1:5" x14ac:dyDescent="0.25">
      <c r="A1778" s="82"/>
      <c r="B1778" s="81"/>
      <c r="C1778" s="81"/>
      <c r="D1778" s="122"/>
      <c r="E1778" s="114"/>
    </row>
    <row r="1779" spans="1:5" x14ac:dyDescent="0.25">
      <c r="A1779" s="82"/>
      <c r="B1779" s="81"/>
      <c r="C1779" s="81"/>
      <c r="D1779" s="122"/>
      <c r="E1779" s="114"/>
    </row>
    <row r="1780" spans="1:5" x14ac:dyDescent="0.25">
      <c r="A1780" s="82"/>
      <c r="B1780" s="81"/>
      <c r="C1780" s="81"/>
      <c r="D1780" s="122"/>
      <c r="E1780" s="114"/>
    </row>
    <row r="1781" spans="1:5" x14ac:dyDescent="0.25">
      <c r="A1781" s="82"/>
      <c r="B1781" s="81"/>
      <c r="C1781" s="81"/>
      <c r="D1781" s="122"/>
      <c r="E1781" s="114"/>
    </row>
    <row r="1782" spans="1:5" x14ac:dyDescent="0.25">
      <c r="A1782" s="82"/>
      <c r="B1782" s="81"/>
      <c r="C1782" s="81"/>
      <c r="D1782" s="122"/>
      <c r="E1782" s="114"/>
    </row>
    <row r="1783" spans="1:5" x14ac:dyDescent="0.25">
      <c r="A1783" s="82"/>
      <c r="B1783" s="81"/>
      <c r="C1783" s="81"/>
      <c r="D1783" s="122"/>
      <c r="E1783" s="114"/>
    </row>
    <row r="1784" spans="1:5" x14ac:dyDescent="0.25">
      <c r="A1784" s="82"/>
      <c r="B1784" s="81"/>
      <c r="C1784" s="81"/>
      <c r="D1784" s="122"/>
      <c r="E1784" s="114"/>
    </row>
    <row r="1785" spans="1:5" x14ac:dyDescent="0.25">
      <c r="A1785" s="82"/>
      <c r="B1785" s="81"/>
      <c r="C1785" s="81"/>
      <c r="D1785" s="122"/>
      <c r="E1785" s="114"/>
    </row>
    <row r="1786" spans="1:5" x14ac:dyDescent="0.25">
      <c r="A1786" s="82"/>
      <c r="B1786" s="81"/>
      <c r="C1786" s="81"/>
      <c r="D1786" s="122"/>
      <c r="E1786" s="114"/>
    </row>
    <row r="1787" spans="1:5" x14ac:dyDescent="0.25">
      <c r="A1787" s="82"/>
      <c r="B1787" s="81"/>
      <c r="C1787" s="81"/>
      <c r="D1787" s="122"/>
      <c r="E1787" s="114"/>
    </row>
    <row r="1788" spans="1:5" x14ac:dyDescent="0.25">
      <c r="A1788" s="82"/>
      <c r="B1788" s="81"/>
      <c r="C1788" s="81"/>
      <c r="D1788" s="122"/>
      <c r="E1788" s="114"/>
    </row>
    <row r="1789" spans="1:5" x14ac:dyDescent="0.25">
      <c r="A1789" s="82"/>
      <c r="B1789" s="81"/>
      <c r="C1789" s="81"/>
      <c r="D1789" s="122"/>
      <c r="E1789" s="114"/>
    </row>
    <row r="1790" spans="1:5" x14ac:dyDescent="0.25">
      <c r="A1790" s="82"/>
      <c r="B1790" s="81"/>
      <c r="C1790" s="81"/>
      <c r="D1790" s="122"/>
      <c r="E1790" s="114"/>
    </row>
    <row r="1791" spans="1:5" x14ac:dyDescent="0.25">
      <c r="A1791" s="82"/>
      <c r="B1791" s="81"/>
      <c r="C1791" s="81"/>
      <c r="D1791" s="122"/>
      <c r="E1791" s="114"/>
    </row>
    <row r="1792" spans="1:5" x14ac:dyDescent="0.25">
      <c r="A1792" s="82"/>
      <c r="B1792" s="81"/>
      <c r="C1792" s="81"/>
      <c r="D1792" s="122"/>
      <c r="E1792" s="114"/>
    </row>
    <row r="1793" spans="1:5" x14ac:dyDescent="0.25">
      <c r="A1793" s="82"/>
      <c r="B1793" s="81"/>
      <c r="C1793" s="81"/>
      <c r="D1793" s="122"/>
      <c r="E1793" s="114"/>
    </row>
    <row r="1794" spans="1:5" x14ac:dyDescent="0.25">
      <c r="A1794" s="82"/>
      <c r="B1794" s="81"/>
      <c r="C1794" s="81"/>
      <c r="D1794" s="122"/>
      <c r="E1794" s="114"/>
    </row>
    <row r="1795" spans="1:5" x14ac:dyDescent="0.25">
      <c r="A1795" s="82"/>
      <c r="B1795" s="81"/>
      <c r="C1795" s="81"/>
      <c r="D1795" s="122"/>
      <c r="E1795" s="114"/>
    </row>
    <row r="1796" spans="1:5" x14ac:dyDescent="0.25">
      <c r="A1796" s="82"/>
      <c r="B1796" s="81"/>
      <c r="C1796" s="81"/>
      <c r="D1796" s="122"/>
      <c r="E1796" s="114"/>
    </row>
    <row r="1797" spans="1:5" x14ac:dyDescent="0.25">
      <c r="A1797" s="82"/>
      <c r="B1797" s="81"/>
      <c r="C1797" s="81"/>
      <c r="D1797" s="122"/>
      <c r="E1797" s="114"/>
    </row>
    <row r="1798" spans="1:5" x14ac:dyDescent="0.25">
      <c r="A1798" s="82"/>
      <c r="B1798" s="81"/>
      <c r="C1798" s="81"/>
      <c r="D1798" s="122"/>
      <c r="E1798" s="114"/>
    </row>
    <row r="1799" spans="1:5" x14ac:dyDescent="0.25">
      <c r="A1799" s="82"/>
      <c r="B1799" s="81"/>
      <c r="C1799" s="81"/>
      <c r="D1799" s="122"/>
      <c r="E1799" s="114"/>
    </row>
    <row r="1800" spans="1:5" x14ac:dyDescent="0.25">
      <c r="A1800" s="82"/>
      <c r="B1800" s="81"/>
      <c r="C1800" s="81"/>
      <c r="D1800" s="122"/>
      <c r="E1800" s="114"/>
    </row>
    <row r="1801" spans="1:5" x14ac:dyDescent="0.25">
      <c r="A1801" s="82"/>
      <c r="B1801" s="81"/>
      <c r="C1801" s="81"/>
      <c r="D1801" s="122"/>
      <c r="E1801" s="114"/>
    </row>
    <row r="1802" spans="1:5" x14ac:dyDescent="0.25">
      <c r="A1802" s="82"/>
      <c r="B1802" s="81"/>
      <c r="C1802" s="81"/>
      <c r="D1802" s="122"/>
      <c r="E1802" s="114"/>
    </row>
    <row r="1803" spans="1:5" x14ac:dyDescent="0.25">
      <c r="A1803" s="82"/>
      <c r="B1803" s="81"/>
      <c r="C1803" s="81"/>
      <c r="D1803" s="122"/>
      <c r="E1803" s="114"/>
    </row>
    <row r="1804" spans="1:5" x14ac:dyDescent="0.25">
      <c r="A1804" s="82"/>
      <c r="B1804" s="81"/>
      <c r="C1804" s="81"/>
      <c r="D1804" s="122"/>
      <c r="E1804" s="114"/>
    </row>
    <row r="1805" spans="1:5" x14ac:dyDescent="0.25">
      <c r="A1805" s="82"/>
      <c r="B1805" s="81"/>
      <c r="C1805" s="81"/>
      <c r="D1805" s="122"/>
      <c r="E1805" s="114"/>
    </row>
    <row r="1806" spans="1:5" x14ac:dyDescent="0.25">
      <c r="A1806" s="82"/>
      <c r="B1806" s="81"/>
      <c r="C1806" s="81"/>
      <c r="D1806" s="122"/>
      <c r="E1806" s="114"/>
    </row>
    <row r="1807" spans="1:5" x14ac:dyDescent="0.25">
      <c r="A1807" s="82"/>
      <c r="B1807" s="81"/>
      <c r="C1807" s="81"/>
      <c r="D1807" s="122"/>
      <c r="E1807" s="114"/>
    </row>
    <row r="1808" spans="1:5" x14ac:dyDescent="0.25">
      <c r="A1808" s="82"/>
      <c r="B1808" s="81"/>
      <c r="C1808" s="81"/>
      <c r="D1808" s="122"/>
      <c r="E1808" s="114"/>
    </row>
    <row r="1809" spans="1:5" x14ac:dyDescent="0.25">
      <c r="A1809" s="82"/>
      <c r="B1809" s="81"/>
      <c r="C1809" s="81"/>
      <c r="D1809" s="122"/>
      <c r="E1809" s="114"/>
    </row>
    <row r="1810" spans="1:5" x14ac:dyDescent="0.25">
      <c r="A1810" s="82"/>
      <c r="B1810" s="81"/>
      <c r="C1810" s="81"/>
      <c r="D1810" s="122"/>
      <c r="E1810" s="114"/>
    </row>
    <row r="1811" spans="1:5" x14ac:dyDescent="0.25">
      <c r="A1811" s="82"/>
      <c r="B1811" s="81"/>
      <c r="C1811" s="81"/>
      <c r="D1811" s="122"/>
      <c r="E1811" s="114"/>
    </row>
    <row r="1812" spans="1:5" x14ac:dyDescent="0.25">
      <c r="A1812" s="82"/>
      <c r="B1812" s="81"/>
      <c r="C1812" s="81"/>
      <c r="D1812" s="122"/>
      <c r="E1812" s="114"/>
    </row>
    <row r="1813" spans="1:5" x14ac:dyDescent="0.25">
      <c r="A1813" s="82"/>
      <c r="B1813" s="81"/>
      <c r="C1813" s="81"/>
      <c r="D1813" s="122"/>
      <c r="E1813" s="114"/>
    </row>
    <row r="1814" spans="1:5" x14ac:dyDescent="0.25">
      <c r="A1814" s="82"/>
      <c r="B1814" s="81"/>
      <c r="C1814" s="81"/>
      <c r="D1814" s="122"/>
      <c r="E1814" s="114"/>
    </row>
    <row r="1815" spans="1:5" x14ac:dyDescent="0.25">
      <c r="A1815" s="82"/>
      <c r="B1815" s="81"/>
      <c r="C1815" s="81"/>
      <c r="D1815" s="122"/>
      <c r="E1815" s="114"/>
    </row>
    <row r="1816" spans="1:5" x14ac:dyDescent="0.25">
      <c r="A1816" s="82"/>
      <c r="B1816" s="81"/>
      <c r="C1816" s="81"/>
      <c r="D1816" s="122"/>
      <c r="E1816" s="114"/>
    </row>
    <row r="1817" spans="1:5" x14ac:dyDescent="0.25">
      <c r="A1817" s="82"/>
      <c r="B1817" s="81"/>
      <c r="C1817" s="81"/>
      <c r="D1817" s="122"/>
      <c r="E1817" s="114"/>
    </row>
    <row r="1818" spans="1:5" x14ac:dyDescent="0.25">
      <c r="A1818" s="82"/>
      <c r="B1818" s="81"/>
      <c r="C1818" s="81"/>
      <c r="D1818" s="122"/>
      <c r="E1818" s="114"/>
    </row>
    <row r="1819" spans="1:5" x14ac:dyDescent="0.25">
      <c r="A1819" s="82"/>
      <c r="B1819" s="81"/>
      <c r="C1819" s="81"/>
      <c r="D1819" s="122"/>
      <c r="E1819" s="114"/>
    </row>
    <row r="1820" spans="1:5" x14ac:dyDescent="0.25">
      <c r="A1820" s="82"/>
      <c r="B1820" s="81"/>
      <c r="C1820" s="81"/>
      <c r="D1820" s="122"/>
      <c r="E1820" s="114"/>
    </row>
    <row r="1821" spans="1:5" x14ac:dyDescent="0.25">
      <c r="A1821" s="82"/>
      <c r="B1821" s="81"/>
      <c r="C1821" s="81"/>
      <c r="D1821" s="122"/>
      <c r="E1821" s="114"/>
    </row>
    <row r="1822" spans="1:5" x14ac:dyDescent="0.25">
      <c r="A1822" s="82"/>
      <c r="B1822" s="81"/>
      <c r="C1822" s="81"/>
      <c r="D1822" s="122"/>
      <c r="E1822" s="114"/>
    </row>
    <row r="1823" spans="1:5" x14ac:dyDescent="0.25">
      <c r="A1823" s="82"/>
      <c r="B1823" s="81"/>
      <c r="C1823" s="81"/>
      <c r="D1823" s="122"/>
      <c r="E1823" s="114"/>
    </row>
    <row r="1824" spans="1:5" x14ac:dyDescent="0.25">
      <c r="A1824" s="82"/>
      <c r="B1824" s="81"/>
      <c r="C1824" s="81"/>
      <c r="D1824" s="122"/>
      <c r="E1824" s="114"/>
    </row>
    <row r="1825" spans="1:5" x14ac:dyDescent="0.25">
      <c r="A1825" s="82"/>
      <c r="B1825" s="81"/>
      <c r="C1825" s="81"/>
      <c r="D1825" s="122"/>
      <c r="E1825" s="114"/>
    </row>
    <row r="1826" spans="1:5" x14ac:dyDescent="0.25">
      <c r="A1826" s="82"/>
      <c r="B1826" s="81"/>
      <c r="C1826" s="81"/>
      <c r="D1826" s="122"/>
      <c r="E1826" s="114"/>
    </row>
    <row r="1827" spans="1:5" x14ac:dyDescent="0.25">
      <c r="A1827" s="82"/>
      <c r="B1827" s="81"/>
      <c r="C1827" s="81"/>
      <c r="D1827" s="122"/>
      <c r="E1827" s="114"/>
    </row>
    <row r="1828" spans="1:5" x14ac:dyDescent="0.25">
      <c r="A1828" s="82"/>
      <c r="B1828" s="81"/>
      <c r="C1828" s="81"/>
      <c r="D1828" s="122"/>
      <c r="E1828" s="114"/>
    </row>
    <row r="1829" spans="1:5" x14ac:dyDescent="0.25">
      <c r="A1829" s="82"/>
      <c r="B1829" s="81"/>
      <c r="C1829" s="81"/>
      <c r="D1829" s="122"/>
      <c r="E1829" s="114"/>
    </row>
    <row r="1830" spans="1:5" x14ac:dyDescent="0.25">
      <c r="A1830" s="82"/>
      <c r="B1830" s="81"/>
      <c r="C1830" s="81"/>
      <c r="D1830" s="122"/>
      <c r="E1830" s="114"/>
    </row>
    <row r="1831" spans="1:5" x14ac:dyDescent="0.25">
      <c r="A1831" s="82"/>
      <c r="B1831" s="81"/>
      <c r="C1831" s="81"/>
      <c r="D1831" s="122"/>
      <c r="E1831" s="114"/>
    </row>
    <row r="1832" spans="1:5" x14ac:dyDescent="0.25">
      <c r="A1832" s="82"/>
      <c r="B1832" s="81"/>
      <c r="C1832" s="81"/>
      <c r="D1832" s="122"/>
      <c r="E1832" s="114"/>
    </row>
    <row r="1833" spans="1:5" x14ac:dyDescent="0.25">
      <c r="A1833" s="82"/>
      <c r="B1833" s="81"/>
      <c r="C1833" s="81"/>
      <c r="D1833" s="122"/>
      <c r="E1833" s="114"/>
    </row>
    <row r="1834" spans="1:5" x14ac:dyDescent="0.25">
      <c r="A1834" s="82"/>
      <c r="B1834" s="81"/>
      <c r="C1834" s="81"/>
      <c r="D1834" s="122"/>
      <c r="E1834" s="114"/>
    </row>
    <row r="1835" spans="1:5" x14ac:dyDescent="0.25">
      <c r="A1835" s="82"/>
      <c r="B1835" s="81"/>
      <c r="C1835" s="81"/>
      <c r="D1835" s="122"/>
      <c r="E1835" s="114"/>
    </row>
    <row r="1836" spans="1:5" x14ac:dyDescent="0.25">
      <c r="A1836" s="82"/>
      <c r="B1836" s="81"/>
      <c r="C1836" s="81"/>
      <c r="D1836" s="122"/>
      <c r="E1836" s="114"/>
    </row>
    <row r="1837" spans="1:5" x14ac:dyDescent="0.25">
      <c r="A1837" s="82"/>
      <c r="B1837" s="81"/>
      <c r="C1837" s="81"/>
      <c r="D1837" s="122"/>
      <c r="E1837" s="114"/>
    </row>
    <row r="1838" spans="1:5" x14ac:dyDescent="0.25">
      <c r="A1838" s="82"/>
      <c r="B1838" s="81"/>
      <c r="C1838" s="81"/>
      <c r="D1838" s="122"/>
      <c r="E1838" s="114"/>
    </row>
    <row r="1839" spans="1:5" x14ac:dyDescent="0.25">
      <c r="A1839" s="82"/>
      <c r="B1839" s="81"/>
      <c r="C1839" s="81"/>
      <c r="D1839" s="122"/>
      <c r="E1839" s="114"/>
    </row>
    <row r="1840" spans="1:5" x14ac:dyDescent="0.25">
      <c r="A1840" s="82"/>
      <c r="B1840" s="81"/>
      <c r="C1840" s="81"/>
      <c r="D1840" s="122"/>
      <c r="E1840" s="114"/>
    </row>
    <row r="1841" spans="1:5" x14ac:dyDescent="0.25">
      <c r="A1841" s="82"/>
      <c r="B1841" s="81"/>
      <c r="C1841" s="81"/>
      <c r="D1841" s="122"/>
      <c r="E1841" s="114"/>
    </row>
    <row r="1842" spans="1:5" x14ac:dyDescent="0.25">
      <c r="A1842" s="82"/>
      <c r="B1842" s="81"/>
      <c r="C1842" s="81"/>
      <c r="D1842" s="122"/>
      <c r="E1842" s="114"/>
    </row>
    <row r="1843" spans="1:5" x14ac:dyDescent="0.25">
      <c r="A1843" s="82"/>
      <c r="B1843" s="81"/>
      <c r="C1843" s="81"/>
      <c r="D1843" s="122"/>
      <c r="E1843" s="114"/>
    </row>
    <row r="1844" spans="1:5" x14ac:dyDescent="0.25">
      <c r="A1844" s="82"/>
      <c r="B1844" s="81"/>
      <c r="C1844" s="81"/>
      <c r="D1844" s="122"/>
      <c r="E1844" s="114"/>
    </row>
    <row r="1845" spans="1:5" x14ac:dyDescent="0.25">
      <c r="A1845" s="82"/>
      <c r="B1845" s="81"/>
      <c r="C1845" s="81"/>
      <c r="D1845" s="122"/>
      <c r="E1845" s="114"/>
    </row>
    <row r="1846" spans="1:5" x14ac:dyDescent="0.25">
      <c r="A1846" s="82"/>
      <c r="B1846" s="81"/>
      <c r="C1846" s="81"/>
      <c r="D1846" s="122"/>
      <c r="E1846" s="114"/>
    </row>
    <row r="1847" spans="1:5" x14ac:dyDescent="0.25">
      <c r="A1847" s="82"/>
      <c r="B1847" s="81"/>
      <c r="C1847" s="81"/>
      <c r="D1847" s="122"/>
      <c r="E1847" s="114"/>
    </row>
    <row r="1848" spans="1:5" x14ac:dyDescent="0.25">
      <c r="A1848" s="82"/>
      <c r="B1848" s="81"/>
      <c r="C1848" s="81"/>
      <c r="D1848" s="122"/>
      <c r="E1848" s="114"/>
    </row>
    <row r="1849" spans="1:5" x14ac:dyDescent="0.25">
      <c r="A1849" s="82"/>
      <c r="B1849" s="81"/>
      <c r="C1849" s="81"/>
      <c r="D1849" s="122"/>
      <c r="E1849" s="114"/>
    </row>
    <row r="1850" spans="1:5" x14ac:dyDescent="0.25">
      <c r="A1850" s="82"/>
      <c r="B1850" s="81"/>
      <c r="C1850" s="81"/>
      <c r="D1850" s="122"/>
      <c r="E1850" s="114"/>
    </row>
    <row r="1851" spans="1:5" x14ac:dyDescent="0.25">
      <c r="A1851" s="82"/>
      <c r="B1851" s="81"/>
      <c r="C1851" s="81"/>
      <c r="D1851" s="122"/>
      <c r="E1851" s="114"/>
    </row>
    <row r="1852" spans="1:5" x14ac:dyDescent="0.25">
      <c r="A1852" s="82"/>
      <c r="B1852" s="81"/>
      <c r="C1852" s="81"/>
      <c r="D1852" s="122"/>
      <c r="E1852" s="114"/>
    </row>
    <row r="1853" spans="1:5" x14ac:dyDescent="0.25">
      <c r="A1853" s="82"/>
      <c r="B1853" s="81"/>
      <c r="C1853" s="81"/>
      <c r="D1853" s="122"/>
      <c r="E1853" s="114"/>
    </row>
    <row r="1854" spans="1:5" x14ac:dyDescent="0.25">
      <c r="A1854" s="82"/>
      <c r="B1854" s="81"/>
      <c r="C1854" s="81"/>
      <c r="D1854" s="122"/>
      <c r="E1854" s="114"/>
    </row>
    <row r="1855" spans="1:5" x14ac:dyDescent="0.25">
      <c r="A1855" s="82"/>
      <c r="B1855" s="81"/>
      <c r="C1855" s="81"/>
      <c r="D1855" s="122"/>
      <c r="E1855" s="114"/>
    </row>
    <row r="1856" spans="1:5" x14ac:dyDescent="0.25">
      <c r="A1856" s="82"/>
      <c r="B1856" s="81"/>
      <c r="C1856" s="81"/>
      <c r="D1856" s="122"/>
      <c r="E1856" s="114"/>
    </row>
    <row r="1857" spans="1:5" x14ac:dyDescent="0.25">
      <c r="A1857" s="82"/>
      <c r="B1857" s="81"/>
      <c r="C1857" s="81"/>
      <c r="D1857" s="122"/>
      <c r="E1857" s="114"/>
    </row>
    <row r="1858" spans="1:5" x14ac:dyDescent="0.25">
      <c r="A1858" s="82"/>
      <c r="B1858" s="81"/>
      <c r="C1858" s="81"/>
      <c r="D1858" s="122"/>
      <c r="E1858" s="114"/>
    </row>
    <row r="1859" spans="1:5" x14ac:dyDescent="0.25">
      <c r="A1859" s="82"/>
      <c r="B1859" s="81"/>
      <c r="C1859" s="81"/>
      <c r="D1859" s="122"/>
      <c r="E1859" s="114"/>
    </row>
    <row r="1860" spans="1:5" x14ac:dyDescent="0.25">
      <c r="A1860" s="82"/>
      <c r="B1860" s="81"/>
      <c r="C1860" s="81"/>
      <c r="D1860" s="122"/>
      <c r="E1860" s="114"/>
    </row>
    <row r="1861" spans="1:5" x14ac:dyDescent="0.25">
      <c r="A1861" s="82"/>
      <c r="B1861" s="81"/>
      <c r="C1861" s="81"/>
      <c r="D1861" s="122"/>
      <c r="E1861" s="114"/>
    </row>
    <row r="1862" spans="1:5" x14ac:dyDescent="0.25">
      <c r="A1862" s="82"/>
      <c r="B1862" s="81"/>
      <c r="C1862" s="81"/>
      <c r="D1862" s="122"/>
      <c r="E1862" s="114"/>
    </row>
    <row r="1863" spans="1:5" x14ac:dyDescent="0.25">
      <c r="A1863" s="82"/>
      <c r="B1863" s="81"/>
      <c r="C1863" s="81"/>
      <c r="D1863" s="122"/>
      <c r="E1863" s="114"/>
    </row>
    <row r="1864" spans="1:5" x14ac:dyDescent="0.25">
      <c r="A1864" s="82"/>
      <c r="B1864" s="81"/>
      <c r="C1864" s="81"/>
      <c r="D1864" s="122"/>
      <c r="E1864" s="114"/>
    </row>
    <row r="1865" spans="1:5" x14ac:dyDescent="0.25">
      <c r="A1865" s="82"/>
      <c r="B1865" s="81"/>
      <c r="C1865" s="81"/>
      <c r="D1865" s="122"/>
      <c r="E1865" s="114"/>
    </row>
    <row r="1866" spans="1:5" x14ac:dyDescent="0.25">
      <c r="A1866" s="82"/>
      <c r="B1866" s="81"/>
      <c r="C1866" s="81"/>
      <c r="D1866" s="122"/>
      <c r="E1866" s="114"/>
    </row>
    <row r="1867" spans="1:5" x14ac:dyDescent="0.25">
      <c r="A1867" s="82"/>
      <c r="B1867" s="81"/>
      <c r="C1867" s="81"/>
      <c r="D1867" s="122"/>
      <c r="E1867" s="114"/>
    </row>
    <row r="1868" spans="1:5" x14ac:dyDescent="0.25">
      <c r="A1868" s="82"/>
      <c r="B1868" s="81"/>
      <c r="C1868" s="81"/>
      <c r="D1868" s="122"/>
      <c r="E1868" s="114"/>
    </row>
    <row r="1869" spans="1:5" x14ac:dyDescent="0.25">
      <c r="A1869" s="82"/>
      <c r="B1869" s="81"/>
      <c r="C1869" s="81"/>
      <c r="D1869" s="122"/>
      <c r="E1869" s="114"/>
    </row>
    <row r="1870" spans="1:5" x14ac:dyDescent="0.25">
      <c r="A1870" s="82"/>
      <c r="B1870" s="81"/>
      <c r="C1870" s="81"/>
      <c r="D1870" s="122"/>
      <c r="E1870" s="114"/>
    </row>
    <row r="1871" spans="1:5" x14ac:dyDescent="0.25">
      <c r="A1871" s="82"/>
      <c r="B1871" s="81"/>
      <c r="C1871" s="81"/>
      <c r="D1871" s="122"/>
      <c r="E1871" s="114"/>
    </row>
    <row r="1872" spans="1:5" x14ac:dyDescent="0.25">
      <c r="A1872" s="82"/>
      <c r="B1872" s="81"/>
      <c r="C1872" s="81"/>
      <c r="D1872" s="122"/>
      <c r="E1872" s="114"/>
    </row>
    <row r="1873" spans="1:5" x14ac:dyDescent="0.25">
      <c r="A1873" s="82"/>
      <c r="B1873" s="81"/>
      <c r="C1873" s="81"/>
      <c r="D1873" s="122"/>
      <c r="E1873" s="114"/>
    </row>
    <row r="1874" spans="1:5" x14ac:dyDescent="0.25">
      <c r="A1874" s="82"/>
      <c r="B1874" s="81"/>
      <c r="C1874" s="81"/>
      <c r="D1874" s="122"/>
      <c r="E1874" s="114"/>
    </row>
    <row r="1875" spans="1:5" x14ac:dyDescent="0.25">
      <c r="A1875" s="82"/>
      <c r="B1875" s="81"/>
      <c r="C1875" s="81"/>
      <c r="D1875" s="122"/>
      <c r="E1875" s="114"/>
    </row>
    <row r="1876" spans="1:5" x14ac:dyDescent="0.25">
      <c r="A1876" s="82"/>
      <c r="B1876" s="81"/>
      <c r="C1876" s="81"/>
      <c r="D1876" s="122"/>
      <c r="E1876" s="114"/>
    </row>
    <row r="1877" spans="1:5" x14ac:dyDescent="0.25">
      <c r="A1877" s="82"/>
      <c r="B1877" s="81"/>
      <c r="C1877" s="81"/>
      <c r="D1877" s="122"/>
      <c r="E1877" s="114"/>
    </row>
    <row r="1878" spans="1:5" x14ac:dyDescent="0.25">
      <c r="A1878" s="82"/>
      <c r="B1878" s="81"/>
      <c r="C1878" s="81"/>
      <c r="D1878" s="122"/>
      <c r="E1878" s="114"/>
    </row>
    <row r="1879" spans="1:5" x14ac:dyDescent="0.25">
      <c r="A1879" s="82"/>
      <c r="B1879" s="81"/>
      <c r="C1879" s="81"/>
      <c r="D1879" s="122"/>
      <c r="E1879" s="114"/>
    </row>
    <row r="1880" spans="1:5" x14ac:dyDescent="0.25">
      <c r="A1880" s="82"/>
      <c r="B1880" s="81"/>
      <c r="C1880" s="81"/>
      <c r="D1880" s="122"/>
      <c r="E1880" s="114"/>
    </row>
    <row r="1881" spans="1:5" x14ac:dyDescent="0.25">
      <c r="A1881" s="82"/>
      <c r="B1881" s="81"/>
      <c r="C1881" s="81"/>
      <c r="D1881" s="122"/>
      <c r="E1881" s="114"/>
    </row>
    <row r="1882" spans="1:5" x14ac:dyDescent="0.25">
      <c r="A1882" s="82"/>
      <c r="B1882" s="81"/>
      <c r="C1882" s="81"/>
      <c r="D1882" s="122"/>
      <c r="E1882" s="114"/>
    </row>
    <row r="1883" spans="1:5" x14ac:dyDescent="0.25">
      <c r="A1883" s="82"/>
      <c r="B1883" s="81"/>
      <c r="C1883" s="81"/>
      <c r="D1883" s="122"/>
      <c r="E1883" s="114"/>
    </row>
    <row r="1884" spans="1:5" x14ac:dyDescent="0.25">
      <c r="A1884" s="82"/>
      <c r="B1884" s="81"/>
      <c r="C1884" s="81"/>
      <c r="D1884" s="122"/>
      <c r="E1884" s="114"/>
    </row>
    <row r="1885" spans="1:5" x14ac:dyDescent="0.25">
      <c r="A1885" s="82"/>
      <c r="B1885" s="81"/>
      <c r="C1885" s="81"/>
      <c r="D1885" s="122"/>
      <c r="E1885" s="114"/>
    </row>
    <row r="1886" spans="1:5" x14ac:dyDescent="0.25">
      <c r="A1886" s="82"/>
      <c r="B1886" s="81"/>
      <c r="C1886" s="81"/>
      <c r="D1886" s="122"/>
      <c r="E1886" s="114"/>
    </row>
    <row r="1887" spans="1:5" x14ac:dyDescent="0.25">
      <c r="A1887" s="82"/>
      <c r="B1887" s="81"/>
      <c r="C1887" s="81"/>
      <c r="D1887" s="122"/>
      <c r="E1887" s="114"/>
    </row>
    <row r="1888" spans="1:5" x14ac:dyDescent="0.25">
      <c r="A1888" s="82"/>
      <c r="B1888" s="81"/>
      <c r="C1888" s="81"/>
      <c r="D1888" s="122"/>
      <c r="E1888" s="114"/>
    </row>
    <row r="1889" spans="1:5" x14ac:dyDescent="0.25">
      <c r="A1889" s="82"/>
      <c r="B1889" s="81"/>
      <c r="C1889" s="81"/>
      <c r="D1889" s="122"/>
      <c r="E1889" s="114"/>
    </row>
    <row r="1890" spans="1:5" x14ac:dyDescent="0.25">
      <c r="A1890" s="82"/>
      <c r="B1890" s="81"/>
      <c r="C1890" s="81"/>
      <c r="D1890" s="122"/>
      <c r="E1890" s="114"/>
    </row>
    <row r="1891" spans="1:5" x14ac:dyDescent="0.25">
      <c r="A1891" s="82"/>
      <c r="B1891" s="81"/>
      <c r="C1891" s="81"/>
      <c r="D1891" s="122"/>
      <c r="E1891" s="114"/>
    </row>
    <row r="1892" spans="1:5" x14ac:dyDescent="0.25">
      <c r="A1892" s="82"/>
      <c r="B1892" s="81"/>
      <c r="C1892" s="81"/>
      <c r="D1892" s="122"/>
      <c r="E1892" s="114"/>
    </row>
    <row r="1893" spans="1:5" x14ac:dyDescent="0.25">
      <c r="A1893" s="82"/>
      <c r="B1893" s="81"/>
      <c r="C1893" s="81"/>
      <c r="D1893" s="122"/>
      <c r="E1893" s="114"/>
    </row>
    <row r="1894" spans="1:5" x14ac:dyDescent="0.25">
      <c r="A1894" s="82"/>
      <c r="B1894" s="81"/>
      <c r="C1894" s="81"/>
      <c r="D1894" s="122"/>
      <c r="E1894" s="114"/>
    </row>
    <row r="1895" spans="1:5" x14ac:dyDescent="0.25">
      <c r="A1895" s="82"/>
      <c r="B1895" s="81"/>
      <c r="C1895" s="81"/>
      <c r="D1895" s="122"/>
      <c r="E1895" s="114"/>
    </row>
    <row r="1896" spans="1:5" x14ac:dyDescent="0.25">
      <c r="A1896" s="82"/>
      <c r="B1896" s="81"/>
      <c r="C1896" s="81"/>
      <c r="D1896" s="122"/>
      <c r="E1896" s="114"/>
    </row>
    <row r="1897" spans="1:5" x14ac:dyDescent="0.25">
      <c r="A1897" s="82"/>
      <c r="B1897" s="81"/>
      <c r="C1897" s="81"/>
      <c r="D1897" s="122"/>
      <c r="E1897" s="114"/>
    </row>
    <row r="1898" spans="1:5" x14ac:dyDescent="0.25">
      <c r="A1898" s="82"/>
      <c r="B1898" s="81"/>
      <c r="C1898" s="81"/>
      <c r="D1898" s="122"/>
      <c r="E1898" s="114"/>
    </row>
    <row r="1899" spans="1:5" x14ac:dyDescent="0.25">
      <c r="A1899" s="82"/>
      <c r="B1899" s="81"/>
      <c r="C1899" s="81"/>
      <c r="D1899" s="122"/>
      <c r="E1899" s="114"/>
    </row>
    <row r="1900" spans="1:5" x14ac:dyDescent="0.25">
      <c r="A1900" s="82"/>
      <c r="B1900" s="81"/>
      <c r="C1900" s="81"/>
      <c r="D1900" s="122"/>
      <c r="E1900" s="114"/>
    </row>
    <row r="1901" spans="1:5" x14ac:dyDescent="0.25">
      <c r="A1901" s="82"/>
      <c r="B1901" s="81"/>
      <c r="C1901" s="81"/>
      <c r="D1901" s="122"/>
      <c r="E1901" s="114"/>
    </row>
    <row r="1902" spans="1:5" x14ac:dyDescent="0.25">
      <c r="A1902" s="82"/>
      <c r="B1902" s="81"/>
      <c r="C1902" s="81"/>
      <c r="D1902" s="122"/>
      <c r="E1902" s="114"/>
    </row>
    <row r="1903" spans="1:5" x14ac:dyDescent="0.25">
      <c r="A1903" s="82"/>
      <c r="B1903" s="81"/>
      <c r="C1903" s="81"/>
      <c r="D1903" s="122"/>
      <c r="E1903" s="114"/>
    </row>
    <row r="1904" spans="1:5" x14ac:dyDescent="0.25">
      <c r="A1904" s="82"/>
      <c r="B1904" s="81"/>
      <c r="C1904" s="81"/>
      <c r="D1904" s="122"/>
      <c r="E1904" s="114"/>
    </row>
    <row r="1905" spans="1:5" x14ac:dyDescent="0.25">
      <c r="A1905" s="82"/>
      <c r="B1905" s="81"/>
      <c r="C1905" s="81"/>
      <c r="D1905" s="122"/>
      <c r="E1905" s="114"/>
    </row>
    <row r="1906" spans="1:5" x14ac:dyDescent="0.25">
      <c r="A1906" s="82"/>
      <c r="B1906" s="81"/>
      <c r="C1906" s="81"/>
      <c r="D1906" s="122"/>
      <c r="E1906" s="114"/>
    </row>
    <row r="1907" spans="1:5" x14ac:dyDescent="0.25">
      <c r="A1907" s="82"/>
      <c r="B1907" s="81"/>
      <c r="C1907" s="81"/>
      <c r="D1907" s="122"/>
      <c r="E1907" s="114"/>
    </row>
    <row r="1908" spans="1:5" x14ac:dyDescent="0.25">
      <c r="A1908" s="82"/>
      <c r="B1908" s="81"/>
      <c r="C1908" s="81"/>
      <c r="D1908" s="122"/>
      <c r="E1908" s="114"/>
    </row>
    <row r="1909" spans="1:5" x14ac:dyDescent="0.25">
      <c r="A1909" s="82"/>
      <c r="B1909" s="81"/>
      <c r="C1909" s="81"/>
      <c r="D1909" s="122"/>
      <c r="E1909" s="114"/>
    </row>
    <row r="1910" spans="1:5" x14ac:dyDescent="0.25">
      <c r="A1910" s="82"/>
      <c r="B1910" s="81"/>
      <c r="C1910" s="81"/>
      <c r="D1910" s="122"/>
      <c r="E1910" s="114"/>
    </row>
    <row r="1911" spans="1:5" x14ac:dyDescent="0.25">
      <c r="A1911" s="82"/>
      <c r="B1911" s="81"/>
      <c r="C1911" s="81"/>
      <c r="D1911" s="122"/>
      <c r="E1911" s="114"/>
    </row>
    <row r="1912" spans="1:5" x14ac:dyDescent="0.25">
      <c r="A1912" s="82"/>
      <c r="B1912" s="81"/>
      <c r="C1912" s="81"/>
      <c r="D1912" s="122"/>
      <c r="E1912" s="114"/>
    </row>
    <row r="1913" spans="1:5" x14ac:dyDescent="0.25">
      <c r="A1913" s="82"/>
      <c r="B1913" s="81"/>
      <c r="C1913" s="81"/>
      <c r="D1913" s="122"/>
      <c r="E1913" s="114"/>
    </row>
    <row r="1914" spans="1:5" x14ac:dyDescent="0.25">
      <c r="A1914" s="82"/>
      <c r="B1914" s="81"/>
      <c r="C1914" s="81"/>
      <c r="D1914" s="122"/>
      <c r="E1914" s="114"/>
    </row>
    <row r="1915" spans="1:5" x14ac:dyDescent="0.25">
      <c r="A1915" s="82"/>
      <c r="B1915" s="81"/>
      <c r="C1915" s="81"/>
      <c r="D1915" s="122"/>
      <c r="E1915" s="114"/>
    </row>
    <row r="1916" spans="1:5" x14ac:dyDescent="0.25">
      <c r="A1916" s="82"/>
      <c r="B1916" s="81"/>
      <c r="C1916" s="81"/>
      <c r="D1916" s="122"/>
      <c r="E1916" s="114"/>
    </row>
    <row r="1917" spans="1:5" x14ac:dyDescent="0.25">
      <c r="A1917" s="82"/>
      <c r="B1917" s="81"/>
      <c r="C1917" s="81"/>
      <c r="D1917" s="122"/>
      <c r="E1917" s="114"/>
    </row>
    <row r="1918" spans="1:5" x14ac:dyDescent="0.25">
      <c r="A1918" s="82"/>
      <c r="B1918" s="81"/>
      <c r="C1918" s="81"/>
      <c r="D1918" s="122"/>
      <c r="E1918" s="114"/>
    </row>
    <row r="1919" spans="1:5" x14ac:dyDescent="0.25">
      <c r="A1919" s="82"/>
      <c r="B1919" s="81"/>
      <c r="C1919" s="81"/>
      <c r="D1919" s="122"/>
      <c r="E1919" s="114"/>
    </row>
    <row r="1920" spans="1:5" x14ac:dyDescent="0.25">
      <c r="A1920" s="82"/>
      <c r="B1920" s="81"/>
      <c r="C1920" s="81"/>
      <c r="D1920" s="122"/>
      <c r="E1920" s="114"/>
    </row>
    <row r="1921" spans="1:5" x14ac:dyDescent="0.25">
      <c r="A1921" s="82"/>
      <c r="B1921" s="81"/>
      <c r="C1921" s="81"/>
      <c r="D1921" s="122"/>
      <c r="E1921" s="114"/>
    </row>
    <row r="1922" spans="1:5" x14ac:dyDescent="0.25">
      <c r="A1922" s="82"/>
      <c r="B1922" s="81"/>
      <c r="C1922" s="81"/>
      <c r="D1922" s="122"/>
      <c r="E1922" s="114"/>
    </row>
    <row r="1923" spans="1:5" x14ac:dyDescent="0.25">
      <c r="A1923" s="82"/>
      <c r="B1923" s="81"/>
      <c r="C1923" s="81"/>
      <c r="D1923" s="122"/>
      <c r="E1923" s="114"/>
    </row>
    <row r="1924" spans="1:5" x14ac:dyDescent="0.25">
      <c r="A1924" s="82"/>
      <c r="B1924" s="81"/>
      <c r="C1924" s="81"/>
      <c r="D1924" s="122"/>
      <c r="E1924" s="114"/>
    </row>
    <row r="1925" spans="1:5" x14ac:dyDescent="0.25">
      <c r="A1925" s="82"/>
      <c r="B1925" s="81"/>
      <c r="C1925" s="81"/>
      <c r="D1925" s="122"/>
      <c r="E1925" s="114"/>
    </row>
    <row r="1926" spans="1:5" x14ac:dyDescent="0.25">
      <c r="A1926" s="82"/>
      <c r="B1926" s="81"/>
      <c r="C1926" s="81"/>
      <c r="D1926" s="122"/>
      <c r="E1926" s="114"/>
    </row>
    <row r="1927" spans="1:5" x14ac:dyDescent="0.25">
      <c r="A1927" s="82"/>
      <c r="B1927" s="81"/>
      <c r="C1927" s="81"/>
      <c r="D1927" s="122"/>
      <c r="E1927" s="114"/>
    </row>
    <row r="1928" spans="1:5" x14ac:dyDescent="0.25">
      <c r="A1928" s="82"/>
      <c r="B1928" s="81"/>
      <c r="C1928" s="81"/>
      <c r="D1928" s="122"/>
      <c r="E1928" s="114"/>
    </row>
    <row r="1929" spans="1:5" x14ac:dyDescent="0.25">
      <c r="A1929" s="82"/>
      <c r="B1929" s="81"/>
      <c r="C1929" s="81"/>
      <c r="D1929" s="122"/>
      <c r="E1929" s="114"/>
    </row>
    <row r="1930" spans="1:5" x14ac:dyDescent="0.25">
      <c r="A1930" s="82"/>
      <c r="B1930" s="81"/>
      <c r="C1930" s="81"/>
      <c r="D1930" s="122"/>
      <c r="E1930" s="114"/>
    </row>
    <row r="1931" spans="1:5" x14ac:dyDescent="0.25">
      <c r="A1931" s="82"/>
      <c r="B1931" s="81"/>
      <c r="C1931" s="81"/>
      <c r="D1931" s="122"/>
      <c r="E1931" s="114"/>
    </row>
    <row r="1932" spans="1:5" x14ac:dyDescent="0.25">
      <c r="A1932" s="82"/>
      <c r="B1932" s="81"/>
      <c r="C1932" s="81"/>
      <c r="D1932" s="122"/>
      <c r="E1932" s="114"/>
    </row>
    <row r="1933" spans="1:5" x14ac:dyDescent="0.25">
      <c r="A1933" s="82"/>
      <c r="B1933" s="81"/>
      <c r="C1933" s="81"/>
      <c r="D1933" s="122"/>
      <c r="E1933" s="114"/>
    </row>
    <row r="1934" spans="1:5" x14ac:dyDescent="0.25">
      <c r="A1934" s="82"/>
      <c r="B1934" s="81"/>
      <c r="C1934" s="81"/>
      <c r="D1934" s="122"/>
      <c r="E1934" s="114"/>
    </row>
    <row r="1935" spans="1:5" x14ac:dyDescent="0.25">
      <c r="A1935" s="82"/>
      <c r="B1935" s="81"/>
      <c r="C1935" s="81"/>
      <c r="D1935" s="122"/>
      <c r="E1935" s="114"/>
    </row>
    <row r="1936" spans="1:5" x14ac:dyDescent="0.25">
      <c r="A1936" s="82"/>
      <c r="B1936" s="81"/>
      <c r="C1936" s="81"/>
      <c r="D1936" s="122"/>
      <c r="E1936" s="114"/>
    </row>
    <row r="1937" spans="1:5" x14ac:dyDescent="0.25">
      <c r="A1937" s="82"/>
      <c r="B1937" s="81"/>
      <c r="C1937" s="81"/>
      <c r="D1937" s="122"/>
      <c r="E1937" s="114"/>
    </row>
    <row r="1938" spans="1:5" x14ac:dyDescent="0.25">
      <c r="A1938" s="82"/>
      <c r="B1938" s="81"/>
      <c r="C1938" s="81"/>
      <c r="D1938" s="122"/>
      <c r="E1938" s="114"/>
    </row>
    <row r="1939" spans="1:5" x14ac:dyDescent="0.25">
      <c r="A1939" s="82"/>
      <c r="B1939" s="81"/>
      <c r="C1939" s="81"/>
      <c r="D1939" s="122"/>
      <c r="E1939" s="114"/>
    </row>
    <row r="1940" spans="1:5" x14ac:dyDescent="0.25">
      <c r="A1940" s="82"/>
      <c r="B1940" s="81"/>
      <c r="C1940" s="81"/>
      <c r="D1940" s="122"/>
      <c r="E1940" s="114"/>
    </row>
    <row r="1941" spans="1:5" x14ac:dyDescent="0.25">
      <c r="A1941" s="82"/>
      <c r="B1941" s="81"/>
      <c r="C1941" s="81"/>
      <c r="D1941" s="122"/>
      <c r="E1941" s="114"/>
    </row>
    <row r="1942" spans="1:5" x14ac:dyDescent="0.25">
      <c r="A1942" s="82"/>
      <c r="B1942" s="81"/>
      <c r="C1942" s="81"/>
      <c r="D1942" s="122"/>
      <c r="E1942" s="114"/>
    </row>
    <row r="1943" spans="1:5" x14ac:dyDescent="0.25">
      <c r="A1943" s="82"/>
      <c r="B1943" s="81"/>
      <c r="C1943" s="81"/>
      <c r="D1943" s="122"/>
      <c r="E1943" s="114"/>
    </row>
    <row r="1944" spans="1:5" x14ac:dyDescent="0.25">
      <c r="A1944" s="82"/>
      <c r="B1944" s="81"/>
      <c r="C1944" s="81"/>
      <c r="D1944" s="122"/>
      <c r="E1944" s="114"/>
    </row>
    <row r="1945" spans="1:5" x14ac:dyDescent="0.25">
      <c r="A1945" s="82"/>
      <c r="B1945" s="81"/>
      <c r="C1945" s="81"/>
      <c r="D1945" s="122"/>
      <c r="E1945" s="114"/>
    </row>
    <row r="1946" spans="1:5" x14ac:dyDescent="0.25">
      <c r="A1946" s="82"/>
      <c r="B1946" s="81"/>
      <c r="C1946" s="81"/>
      <c r="D1946" s="122"/>
      <c r="E1946" s="114"/>
    </row>
    <row r="1947" spans="1:5" x14ac:dyDescent="0.25">
      <c r="A1947" s="82"/>
      <c r="B1947" s="81"/>
      <c r="C1947" s="81"/>
      <c r="D1947" s="122"/>
      <c r="E1947" s="114"/>
    </row>
    <row r="1948" spans="1:5" x14ac:dyDescent="0.25">
      <c r="A1948" s="82"/>
      <c r="B1948" s="81"/>
      <c r="C1948" s="81"/>
      <c r="D1948" s="122"/>
      <c r="E1948" s="114"/>
    </row>
    <row r="1949" spans="1:5" x14ac:dyDescent="0.25">
      <c r="A1949" s="82"/>
      <c r="B1949" s="81"/>
      <c r="C1949" s="81"/>
      <c r="D1949" s="122"/>
      <c r="E1949" s="114"/>
    </row>
    <row r="1950" spans="1:5" x14ac:dyDescent="0.25">
      <c r="A1950" s="82"/>
      <c r="B1950" s="81"/>
      <c r="C1950" s="81"/>
      <c r="D1950" s="122"/>
      <c r="E1950" s="114"/>
    </row>
    <row r="1951" spans="1:5" x14ac:dyDescent="0.25">
      <c r="A1951" s="82"/>
      <c r="B1951" s="81"/>
      <c r="C1951" s="81"/>
      <c r="D1951" s="122"/>
      <c r="E1951" s="114"/>
    </row>
    <row r="1952" spans="1:5" x14ac:dyDescent="0.25">
      <c r="A1952" s="82"/>
      <c r="B1952" s="81"/>
      <c r="C1952" s="81"/>
      <c r="D1952" s="122"/>
      <c r="E1952" s="114"/>
    </row>
    <row r="1953" spans="1:5" x14ac:dyDescent="0.25">
      <c r="A1953" s="82"/>
      <c r="B1953" s="81"/>
      <c r="C1953" s="81"/>
      <c r="D1953" s="122"/>
      <c r="E1953" s="114"/>
    </row>
    <row r="1954" spans="1:5" x14ac:dyDescent="0.25">
      <c r="A1954" s="82"/>
      <c r="B1954" s="81"/>
      <c r="C1954" s="81"/>
      <c r="D1954" s="122"/>
      <c r="E1954" s="114"/>
    </row>
    <row r="1955" spans="1:5" x14ac:dyDescent="0.25">
      <c r="A1955" s="82"/>
      <c r="B1955" s="81"/>
      <c r="C1955" s="81"/>
      <c r="D1955" s="122"/>
      <c r="E1955" s="114"/>
    </row>
    <row r="1956" spans="1:5" x14ac:dyDescent="0.25">
      <c r="A1956" s="82"/>
      <c r="B1956" s="81"/>
      <c r="C1956" s="81"/>
      <c r="D1956" s="122"/>
      <c r="E1956" s="114"/>
    </row>
    <row r="1957" spans="1:5" x14ac:dyDescent="0.25">
      <c r="A1957" s="82"/>
      <c r="B1957" s="81"/>
      <c r="C1957" s="81"/>
      <c r="D1957" s="122"/>
      <c r="E1957" s="114"/>
    </row>
    <row r="1958" spans="1:5" x14ac:dyDescent="0.25">
      <c r="A1958" s="82"/>
      <c r="B1958" s="81"/>
      <c r="C1958" s="81"/>
      <c r="D1958" s="122"/>
      <c r="E1958" s="114"/>
    </row>
    <row r="1959" spans="1:5" x14ac:dyDescent="0.25">
      <c r="A1959" s="82"/>
      <c r="B1959" s="81"/>
      <c r="C1959" s="81"/>
      <c r="D1959" s="122"/>
      <c r="E1959" s="114"/>
    </row>
    <row r="1960" spans="1:5" x14ac:dyDescent="0.25">
      <c r="A1960" s="82"/>
      <c r="B1960" s="81"/>
      <c r="C1960" s="81"/>
      <c r="D1960" s="122"/>
      <c r="E1960" s="114"/>
    </row>
    <row r="1961" spans="1:5" x14ac:dyDescent="0.25">
      <c r="A1961" s="82"/>
      <c r="B1961" s="81"/>
      <c r="C1961" s="81"/>
      <c r="D1961" s="122"/>
      <c r="E1961" s="114"/>
    </row>
    <row r="1962" spans="1:5" x14ac:dyDescent="0.25">
      <c r="A1962" s="82"/>
      <c r="B1962" s="81"/>
      <c r="C1962" s="81"/>
      <c r="D1962" s="122"/>
      <c r="E1962" s="114"/>
    </row>
    <row r="1963" spans="1:5" x14ac:dyDescent="0.25">
      <c r="A1963" s="82"/>
      <c r="B1963" s="81"/>
      <c r="C1963" s="81"/>
      <c r="D1963" s="122"/>
      <c r="E1963" s="114"/>
    </row>
    <row r="1964" spans="1:5" x14ac:dyDescent="0.25">
      <c r="A1964" s="82"/>
      <c r="B1964" s="81"/>
      <c r="C1964" s="81"/>
      <c r="D1964" s="122"/>
      <c r="E1964" s="114"/>
    </row>
    <row r="1965" spans="1:5" x14ac:dyDescent="0.25">
      <c r="A1965" s="82"/>
      <c r="B1965" s="81"/>
      <c r="C1965" s="81"/>
      <c r="D1965" s="122"/>
      <c r="E1965" s="114"/>
    </row>
    <row r="1966" spans="1:5" x14ac:dyDescent="0.25">
      <c r="A1966" s="82"/>
      <c r="B1966" s="81"/>
      <c r="C1966" s="81"/>
      <c r="D1966" s="122"/>
      <c r="E1966" s="114"/>
    </row>
    <row r="1967" spans="1:5" x14ac:dyDescent="0.25">
      <c r="A1967" s="82"/>
      <c r="B1967" s="81"/>
      <c r="C1967" s="81"/>
      <c r="D1967" s="122"/>
      <c r="E1967" s="114"/>
    </row>
    <row r="1968" spans="1:5" x14ac:dyDescent="0.25">
      <c r="A1968" s="82"/>
      <c r="B1968" s="81"/>
      <c r="C1968" s="81"/>
      <c r="D1968" s="122"/>
      <c r="E1968" s="114"/>
    </row>
    <row r="1969" spans="1:5" x14ac:dyDescent="0.25">
      <c r="A1969" s="82"/>
      <c r="B1969" s="81"/>
      <c r="C1969" s="81"/>
      <c r="D1969" s="122"/>
      <c r="E1969" s="114"/>
    </row>
    <row r="1970" spans="1:5" x14ac:dyDescent="0.25">
      <c r="A1970" s="82"/>
      <c r="B1970" s="81"/>
      <c r="C1970" s="81"/>
      <c r="D1970" s="122"/>
      <c r="E1970" s="114"/>
    </row>
    <row r="1971" spans="1:5" x14ac:dyDescent="0.25">
      <c r="A1971" s="82"/>
      <c r="B1971" s="81"/>
      <c r="C1971" s="81"/>
      <c r="D1971" s="122"/>
      <c r="E1971" s="114"/>
    </row>
    <row r="1972" spans="1:5" x14ac:dyDescent="0.25">
      <c r="A1972" s="82"/>
      <c r="B1972" s="81"/>
      <c r="C1972" s="81"/>
      <c r="D1972" s="122"/>
      <c r="E1972" s="114"/>
    </row>
    <row r="1973" spans="1:5" ht="15.75" thickBot="1" x14ac:dyDescent="0.3">
      <c r="A1973" s="82"/>
      <c r="B1973" s="81"/>
      <c r="C1973" s="81"/>
      <c r="D1973" s="122"/>
      <c r="E1973" s="115"/>
    </row>
    <row r="1974" spans="1:5" x14ac:dyDescent="0.25">
      <c r="A1974" s="83"/>
      <c r="B1974" s="84"/>
      <c r="C1974" s="84"/>
      <c r="D1974" s="116"/>
      <c r="E1974" s="116"/>
    </row>
    <row r="1975" spans="1:5" x14ac:dyDescent="0.25">
      <c r="A1975" s="83"/>
      <c r="B1975" s="84"/>
      <c r="C1975" s="84"/>
      <c r="D1975" s="116"/>
      <c r="E1975" s="116"/>
    </row>
    <row r="1976" spans="1:5" x14ac:dyDescent="0.25">
      <c r="A1976" s="83"/>
      <c r="B1976" s="84"/>
      <c r="C1976" s="84"/>
      <c r="D1976" s="116"/>
      <c r="E1976" s="116"/>
    </row>
    <row r="1977" spans="1:5" x14ac:dyDescent="0.25">
      <c r="A1977" s="83"/>
      <c r="B1977" s="84"/>
      <c r="C1977" s="84"/>
      <c r="D1977" s="116"/>
      <c r="E1977" s="116"/>
    </row>
    <row r="1978" spans="1:5" x14ac:dyDescent="0.25">
      <c r="A1978" s="83"/>
      <c r="B1978" s="84"/>
      <c r="C1978" s="84"/>
      <c r="D1978" s="116"/>
      <c r="E1978" s="116"/>
    </row>
    <row r="1979" spans="1:5" x14ac:dyDescent="0.25">
      <c r="A1979" s="83"/>
      <c r="B1979" s="84"/>
      <c r="C1979" s="84"/>
      <c r="D1979" s="116"/>
      <c r="E1979" s="116"/>
    </row>
    <row r="1980" spans="1:5" x14ac:dyDescent="0.25">
      <c r="A1980" s="83"/>
      <c r="B1980" s="84"/>
      <c r="C1980" s="84"/>
      <c r="D1980" s="116"/>
      <c r="E1980" s="116"/>
    </row>
    <row r="1981" spans="1:5" x14ac:dyDescent="0.25">
      <c r="A1981" s="83"/>
      <c r="B1981" s="84"/>
      <c r="C1981" s="84"/>
      <c r="D1981" s="116"/>
      <c r="E1981" s="116"/>
    </row>
    <row r="1982" spans="1:5" x14ac:dyDescent="0.25">
      <c r="A1982" s="83"/>
      <c r="B1982" s="84"/>
      <c r="C1982" s="84"/>
      <c r="D1982" s="116"/>
      <c r="E1982" s="116"/>
    </row>
    <row r="1983" spans="1:5" x14ac:dyDescent="0.25">
      <c r="A1983" s="83"/>
      <c r="B1983" s="84"/>
      <c r="C1983" s="84"/>
      <c r="D1983" s="116"/>
      <c r="E1983" s="116"/>
    </row>
    <row r="1984" spans="1:5" x14ac:dyDescent="0.25">
      <c r="A1984" s="83"/>
      <c r="B1984" s="84"/>
      <c r="C1984" s="84"/>
      <c r="D1984" s="116"/>
      <c r="E1984" s="116"/>
    </row>
    <row r="1985" spans="1:5" x14ac:dyDescent="0.25">
      <c r="A1985" s="83"/>
      <c r="B1985" s="84"/>
      <c r="C1985" s="84"/>
      <c r="D1985" s="116"/>
      <c r="E1985" s="116"/>
    </row>
    <row r="1986" spans="1:5" x14ac:dyDescent="0.25">
      <c r="A1986" s="83"/>
      <c r="B1986" s="84"/>
      <c r="C1986" s="84"/>
      <c r="D1986" s="116"/>
      <c r="E1986" s="116"/>
    </row>
    <row r="1987" spans="1:5" x14ac:dyDescent="0.25">
      <c r="A1987" s="83"/>
      <c r="B1987" s="84"/>
      <c r="C1987" s="84"/>
      <c r="D1987" s="116"/>
      <c r="E1987" s="116"/>
    </row>
    <row r="1988" spans="1:5" x14ac:dyDescent="0.25">
      <c r="A1988" s="83"/>
      <c r="B1988" s="84"/>
      <c r="C1988" s="84"/>
      <c r="D1988" s="116"/>
      <c r="E1988" s="116"/>
    </row>
    <row r="1989" spans="1:5" x14ac:dyDescent="0.25">
      <c r="A1989" s="83"/>
      <c r="B1989" s="84"/>
      <c r="C1989" s="84"/>
      <c r="D1989" s="116"/>
      <c r="E1989" s="116"/>
    </row>
    <row r="1990" spans="1:5" x14ac:dyDescent="0.25">
      <c r="A1990" s="83"/>
      <c r="B1990" s="84"/>
      <c r="C1990" s="84"/>
      <c r="D1990" s="116"/>
      <c r="E1990" s="116"/>
    </row>
    <row r="1991" spans="1:5" x14ac:dyDescent="0.25">
      <c r="A1991" s="83"/>
      <c r="B1991" s="84"/>
      <c r="C1991" s="84"/>
      <c r="D1991" s="116"/>
      <c r="E1991" s="116"/>
    </row>
    <row r="1992" spans="1:5" x14ac:dyDescent="0.25">
      <c r="A1992" s="83"/>
      <c r="B1992" s="84"/>
      <c r="C1992" s="84"/>
      <c r="D1992" s="116"/>
      <c r="E1992" s="116"/>
    </row>
    <row r="1993" spans="1:5" x14ac:dyDescent="0.25">
      <c r="A1993" s="83"/>
      <c r="B1993" s="84"/>
      <c r="C1993" s="84"/>
      <c r="D1993" s="116"/>
      <c r="E1993" s="116"/>
    </row>
    <row r="1994" spans="1:5" x14ac:dyDescent="0.25">
      <c r="A1994" s="83"/>
      <c r="B1994" s="84"/>
      <c r="C1994" s="84"/>
      <c r="D1994" s="116"/>
      <c r="E1994" s="116"/>
    </row>
    <row r="1995" spans="1:5" x14ac:dyDescent="0.25">
      <c r="A1995" s="83"/>
      <c r="B1995" s="84"/>
      <c r="C1995" s="84"/>
      <c r="D1995" s="116"/>
      <c r="E1995" s="116"/>
    </row>
    <row r="1996" spans="1:5" x14ac:dyDescent="0.25">
      <c r="A1996" s="83"/>
      <c r="B1996" s="84"/>
      <c r="C1996" s="84"/>
      <c r="D1996" s="116"/>
      <c r="E1996" s="116"/>
    </row>
    <row r="1997" spans="1:5" x14ac:dyDescent="0.25">
      <c r="A1997" s="83"/>
      <c r="B1997" s="84"/>
      <c r="C1997" s="84"/>
      <c r="D1997" s="116"/>
      <c r="E1997" s="116"/>
    </row>
    <row r="1998" spans="1:5" x14ac:dyDescent="0.25">
      <c r="A1998" s="83"/>
      <c r="B1998" s="84"/>
      <c r="C1998" s="84"/>
      <c r="D1998" s="116"/>
      <c r="E1998" s="116"/>
    </row>
    <row r="1999" spans="1:5" x14ac:dyDescent="0.25">
      <c r="A1999" s="83"/>
      <c r="B1999" s="84"/>
      <c r="C1999" s="84"/>
      <c r="D1999" s="116"/>
      <c r="E1999" s="116"/>
    </row>
    <row r="2000" spans="1:5" x14ac:dyDescent="0.25">
      <c r="A2000" s="83"/>
      <c r="B2000" s="84"/>
      <c r="C2000" s="84"/>
      <c r="D2000" s="116"/>
      <c r="E2000" s="116"/>
    </row>
    <row r="2001" spans="1:5" x14ac:dyDescent="0.25">
      <c r="A2001" s="83"/>
      <c r="B2001" s="84"/>
      <c r="C2001" s="84"/>
      <c r="D2001" s="116"/>
      <c r="E2001" s="116"/>
    </row>
    <row r="2002" spans="1:5" x14ac:dyDescent="0.25">
      <c r="A2002" s="83"/>
      <c r="B2002" s="84"/>
      <c r="C2002" s="84"/>
      <c r="D2002" s="116"/>
      <c r="E2002" s="116"/>
    </row>
    <row r="2003" spans="1:5" x14ac:dyDescent="0.25">
      <c r="A2003" s="83"/>
      <c r="B2003" s="84"/>
      <c r="C2003" s="84"/>
      <c r="D2003" s="116"/>
      <c r="E2003" s="116"/>
    </row>
    <row r="2004" spans="1:5" x14ac:dyDescent="0.25">
      <c r="A2004" s="83"/>
      <c r="B2004" s="84"/>
      <c r="C2004" s="84"/>
      <c r="D2004" s="116"/>
      <c r="E2004" s="116"/>
    </row>
    <row r="2005" spans="1:5" x14ac:dyDescent="0.25">
      <c r="A2005" s="83"/>
      <c r="B2005" s="84"/>
      <c r="C2005" s="84"/>
      <c r="D2005" s="116"/>
      <c r="E2005" s="116"/>
    </row>
    <row r="2006" spans="1:5" x14ac:dyDescent="0.25">
      <c r="A2006" s="83"/>
      <c r="B2006" s="84"/>
      <c r="C2006" s="84"/>
      <c r="D2006" s="116"/>
      <c r="E2006" s="116"/>
    </row>
    <row r="2007" spans="1:5" x14ac:dyDescent="0.25">
      <c r="A2007" s="83"/>
      <c r="B2007" s="84"/>
      <c r="C2007" s="84"/>
      <c r="D2007" s="116"/>
      <c r="E2007" s="116"/>
    </row>
    <row r="2008" spans="1:5" x14ac:dyDescent="0.25">
      <c r="A2008" s="83"/>
      <c r="B2008" s="84"/>
      <c r="C2008" s="84"/>
      <c r="D2008" s="116"/>
      <c r="E2008" s="116"/>
    </row>
    <row r="2009" spans="1:5" x14ac:dyDescent="0.25">
      <c r="A2009" s="83"/>
      <c r="B2009" s="84"/>
      <c r="C2009" s="84"/>
      <c r="D2009" s="116"/>
      <c r="E2009" s="116"/>
    </row>
    <row r="2010" spans="1:5" x14ac:dyDescent="0.25">
      <c r="A2010" s="83"/>
      <c r="B2010" s="84"/>
      <c r="C2010" s="84"/>
      <c r="D2010" s="116"/>
      <c r="E2010" s="116"/>
    </row>
    <row r="2011" spans="1:5" x14ac:dyDescent="0.25">
      <c r="A2011" s="83"/>
      <c r="B2011" s="84"/>
      <c r="C2011" s="84"/>
      <c r="D2011" s="116"/>
      <c r="E2011" s="116"/>
    </row>
    <row r="2012" spans="1:5" x14ac:dyDescent="0.25">
      <c r="A2012" s="83"/>
      <c r="B2012" s="84"/>
      <c r="C2012" s="84"/>
      <c r="D2012" s="116"/>
      <c r="E2012" s="116"/>
    </row>
    <row r="2013" spans="1:5" x14ac:dyDescent="0.25">
      <c r="A2013" s="83"/>
      <c r="B2013" s="84"/>
      <c r="C2013" s="84"/>
      <c r="D2013" s="116"/>
      <c r="E2013" s="116"/>
    </row>
    <row r="2014" spans="1:5" x14ac:dyDescent="0.25">
      <c r="A2014" s="83"/>
      <c r="B2014" s="84"/>
      <c r="C2014" s="84"/>
      <c r="D2014" s="116"/>
      <c r="E2014" s="116"/>
    </row>
    <row r="2015" spans="1:5" x14ac:dyDescent="0.25">
      <c r="A2015" s="83"/>
      <c r="B2015" s="84"/>
      <c r="C2015" s="84"/>
      <c r="D2015" s="116"/>
      <c r="E2015" s="116"/>
    </row>
    <row r="2016" spans="1:5" x14ac:dyDescent="0.25">
      <c r="A2016" s="83"/>
      <c r="B2016" s="84"/>
      <c r="C2016" s="84"/>
      <c r="D2016" s="116"/>
      <c r="E2016" s="116"/>
    </row>
    <row r="2017" spans="1:5" x14ac:dyDescent="0.25">
      <c r="A2017" s="83"/>
      <c r="B2017" s="84"/>
      <c r="C2017" s="84"/>
      <c r="D2017" s="116"/>
      <c r="E2017" s="116"/>
    </row>
    <row r="2018" spans="1:5" x14ac:dyDescent="0.25">
      <c r="A2018" s="83"/>
      <c r="B2018" s="84"/>
      <c r="C2018" s="84"/>
      <c r="D2018" s="116"/>
      <c r="E2018" s="116"/>
    </row>
    <row r="2019" spans="1:5" x14ac:dyDescent="0.25">
      <c r="A2019" s="83"/>
      <c r="B2019" s="84"/>
      <c r="C2019" s="84"/>
      <c r="D2019" s="116"/>
      <c r="E2019" s="116"/>
    </row>
    <row r="2020" spans="1:5" x14ac:dyDescent="0.25">
      <c r="A2020" s="83"/>
      <c r="B2020" s="84"/>
      <c r="C2020" s="84"/>
      <c r="D2020" s="116"/>
      <c r="E2020" s="116"/>
    </row>
    <row r="2021" spans="1:5" x14ac:dyDescent="0.25">
      <c r="A2021" s="83"/>
      <c r="B2021" s="84"/>
      <c r="C2021" s="84"/>
      <c r="D2021" s="116"/>
      <c r="E2021" s="116"/>
    </row>
    <row r="2022" spans="1:5" x14ac:dyDescent="0.25">
      <c r="A2022" s="83"/>
      <c r="B2022" s="84"/>
      <c r="C2022" s="84"/>
      <c r="D2022" s="116"/>
      <c r="E2022" s="116"/>
    </row>
    <row r="2023" spans="1:5" x14ac:dyDescent="0.25">
      <c r="A2023" s="83"/>
      <c r="B2023" s="84"/>
      <c r="C2023" s="84"/>
      <c r="D2023" s="116"/>
      <c r="E2023" s="116"/>
    </row>
    <row r="2024" spans="1:5" x14ac:dyDescent="0.25">
      <c r="A2024" s="83"/>
      <c r="B2024" s="84"/>
      <c r="C2024" s="84"/>
      <c r="D2024" s="116"/>
      <c r="E2024" s="116"/>
    </row>
    <row r="2025" spans="1:5" x14ac:dyDescent="0.25">
      <c r="A2025" s="83"/>
      <c r="B2025" s="84"/>
      <c r="C2025" s="84"/>
      <c r="D2025" s="116"/>
      <c r="E2025" s="116"/>
    </row>
    <row r="2026" spans="1:5" x14ac:dyDescent="0.25">
      <c r="A2026" s="83"/>
      <c r="B2026" s="84"/>
      <c r="C2026" s="84"/>
      <c r="D2026" s="116"/>
      <c r="E2026" s="116"/>
    </row>
    <row r="2027" spans="1:5" x14ac:dyDescent="0.25">
      <c r="A2027" s="83"/>
      <c r="B2027" s="84"/>
      <c r="C2027" s="84"/>
      <c r="D2027" s="116"/>
      <c r="E2027" s="116"/>
    </row>
    <row r="2028" spans="1:5" x14ac:dyDescent="0.25">
      <c r="A2028" s="83"/>
      <c r="B2028" s="84"/>
      <c r="C2028" s="84"/>
      <c r="D2028" s="116"/>
      <c r="E2028" s="116"/>
    </row>
    <row r="2029" spans="1:5" x14ac:dyDescent="0.25">
      <c r="A2029" s="83"/>
      <c r="B2029" s="84"/>
      <c r="C2029" s="84"/>
      <c r="D2029" s="116"/>
      <c r="E2029" s="116"/>
    </row>
    <row r="2030" spans="1:5" x14ac:dyDescent="0.25">
      <c r="A2030" s="83"/>
      <c r="B2030" s="84"/>
      <c r="C2030" s="84"/>
      <c r="D2030" s="116"/>
      <c r="E2030" s="116"/>
    </row>
    <row r="2031" spans="1:5" x14ac:dyDescent="0.25">
      <c r="A2031" s="83"/>
      <c r="B2031" s="84"/>
      <c r="C2031" s="84"/>
      <c r="D2031" s="116"/>
      <c r="E2031" s="116"/>
    </row>
    <row r="2032" spans="1:5" x14ac:dyDescent="0.25">
      <c r="A2032" s="83"/>
      <c r="B2032" s="84"/>
      <c r="C2032" s="84"/>
      <c r="D2032" s="116"/>
      <c r="E2032" s="116"/>
    </row>
    <row r="2033" spans="1:5" x14ac:dyDescent="0.25">
      <c r="A2033" s="83"/>
      <c r="B2033" s="84"/>
      <c r="C2033" s="84"/>
      <c r="D2033" s="116"/>
      <c r="E2033" s="116"/>
    </row>
    <row r="2034" spans="1:5" x14ac:dyDescent="0.25">
      <c r="A2034" s="83"/>
      <c r="B2034" s="84"/>
      <c r="C2034" s="84"/>
      <c r="D2034" s="116"/>
      <c r="E2034" s="116"/>
    </row>
    <row r="2035" spans="1:5" x14ac:dyDescent="0.25">
      <c r="A2035" s="83"/>
      <c r="B2035" s="84"/>
      <c r="C2035" s="84"/>
      <c r="D2035" s="116"/>
      <c r="E2035" s="116"/>
    </row>
    <row r="2036" spans="1:5" x14ac:dyDescent="0.25">
      <c r="A2036" s="83"/>
      <c r="B2036" s="84"/>
      <c r="C2036" s="84"/>
      <c r="D2036" s="116"/>
      <c r="E2036" s="116"/>
    </row>
    <row r="2037" spans="1:5" x14ac:dyDescent="0.25">
      <c r="A2037" s="83"/>
      <c r="B2037" s="84"/>
      <c r="C2037" s="84"/>
      <c r="D2037" s="116"/>
      <c r="E2037" s="116"/>
    </row>
    <row r="2038" spans="1:5" x14ac:dyDescent="0.25">
      <c r="A2038" s="83"/>
      <c r="B2038" s="84"/>
      <c r="C2038" s="84"/>
      <c r="D2038" s="116"/>
      <c r="E2038" s="116"/>
    </row>
    <row r="2039" spans="1:5" x14ac:dyDescent="0.25">
      <c r="A2039" s="83"/>
      <c r="B2039" s="84"/>
      <c r="C2039" s="84"/>
      <c r="D2039" s="116"/>
      <c r="E2039" s="116"/>
    </row>
    <row r="2040" spans="1:5" x14ac:dyDescent="0.25">
      <c r="A2040" s="83"/>
      <c r="B2040" s="84"/>
      <c r="C2040" s="84"/>
      <c r="D2040" s="116"/>
      <c r="E2040" s="116"/>
    </row>
    <row r="2041" spans="1:5" x14ac:dyDescent="0.25">
      <c r="A2041" s="83"/>
      <c r="B2041" s="84"/>
      <c r="C2041" s="84"/>
      <c r="D2041" s="116"/>
      <c r="E2041" s="116"/>
    </row>
    <row r="2042" spans="1:5" x14ac:dyDescent="0.25">
      <c r="A2042" s="83"/>
      <c r="B2042" s="84"/>
      <c r="C2042" s="84"/>
      <c r="D2042" s="116"/>
      <c r="E2042" s="116"/>
    </row>
    <row r="2043" spans="1:5" x14ac:dyDescent="0.25">
      <c r="A2043" s="83"/>
      <c r="B2043" s="84"/>
      <c r="C2043" s="84"/>
      <c r="D2043" s="116"/>
      <c r="E2043" s="116"/>
    </row>
    <row r="2044" spans="1:5" x14ac:dyDescent="0.25">
      <c r="A2044" s="83"/>
      <c r="B2044" s="84"/>
      <c r="C2044" s="84"/>
      <c r="D2044" s="116"/>
      <c r="E2044" s="116"/>
    </row>
    <row r="2045" spans="1:5" x14ac:dyDescent="0.25">
      <c r="A2045" s="83"/>
      <c r="B2045" s="84"/>
      <c r="C2045" s="84"/>
      <c r="D2045" s="116"/>
      <c r="E2045" s="116"/>
    </row>
    <row r="2046" spans="1:5" x14ac:dyDescent="0.25">
      <c r="A2046" s="83"/>
      <c r="B2046" s="84"/>
      <c r="C2046" s="84"/>
      <c r="D2046" s="116"/>
      <c r="E2046" s="116"/>
    </row>
    <row r="2047" spans="1:5" x14ac:dyDescent="0.25">
      <c r="A2047" s="83"/>
      <c r="B2047" s="84"/>
      <c r="C2047" s="84"/>
      <c r="D2047" s="116"/>
      <c r="E2047" s="116"/>
    </row>
    <row r="2048" spans="1:5" x14ac:dyDescent="0.25">
      <c r="A2048" s="83"/>
      <c r="B2048" s="84"/>
      <c r="C2048" s="84"/>
      <c r="D2048" s="116"/>
      <c r="E2048" s="116"/>
    </row>
    <row r="2049" spans="1:5" x14ac:dyDescent="0.25">
      <c r="A2049" s="83"/>
      <c r="B2049" s="84"/>
      <c r="C2049" s="84"/>
      <c r="D2049" s="116"/>
      <c r="E2049" s="116"/>
    </row>
    <row r="2050" spans="1:5" x14ac:dyDescent="0.25">
      <c r="A2050" s="83"/>
      <c r="B2050" s="84"/>
      <c r="C2050" s="84"/>
      <c r="D2050" s="116"/>
      <c r="E2050" s="116"/>
    </row>
    <row r="2051" spans="1:5" x14ac:dyDescent="0.25">
      <c r="A2051" s="83"/>
      <c r="B2051" s="84"/>
      <c r="C2051" s="84"/>
      <c r="D2051" s="116"/>
      <c r="E2051" s="116"/>
    </row>
    <row r="2052" spans="1:5" x14ac:dyDescent="0.25">
      <c r="A2052" s="83"/>
      <c r="B2052" s="84"/>
      <c r="C2052" s="84"/>
      <c r="D2052" s="116"/>
      <c r="E2052" s="116"/>
    </row>
    <row r="2053" spans="1:5" x14ac:dyDescent="0.25">
      <c r="A2053" s="83"/>
      <c r="B2053" s="84"/>
      <c r="C2053" s="84"/>
      <c r="D2053" s="116"/>
      <c r="E2053" s="116"/>
    </row>
    <row r="2054" spans="1:5" x14ac:dyDescent="0.25">
      <c r="A2054" s="83"/>
      <c r="B2054" s="84"/>
      <c r="C2054" s="84"/>
      <c r="D2054" s="116"/>
      <c r="E2054" s="116"/>
    </row>
    <row r="2055" spans="1:5" x14ac:dyDescent="0.25">
      <c r="A2055" s="83"/>
      <c r="B2055" s="84"/>
      <c r="C2055" s="84"/>
      <c r="D2055" s="116"/>
      <c r="E2055" s="116"/>
    </row>
    <row r="2056" spans="1:5" x14ac:dyDescent="0.25">
      <c r="A2056" s="83"/>
      <c r="B2056" s="84"/>
      <c r="C2056" s="84"/>
      <c r="D2056" s="116"/>
      <c r="E2056" s="116"/>
    </row>
    <row r="2057" spans="1:5" x14ac:dyDescent="0.25">
      <c r="A2057" s="83"/>
      <c r="B2057" s="84"/>
      <c r="C2057" s="84"/>
      <c r="D2057" s="116"/>
      <c r="E2057" s="116"/>
    </row>
    <row r="2058" spans="1:5" x14ac:dyDescent="0.25">
      <c r="A2058" s="83"/>
      <c r="B2058" s="84"/>
      <c r="C2058" s="84"/>
      <c r="D2058" s="116"/>
      <c r="E2058" s="116"/>
    </row>
    <row r="2059" spans="1:5" x14ac:dyDescent="0.25">
      <c r="A2059" s="83"/>
      <c r="B2059" s="84"/>
      <c r="C2059" s="84"/>
      <c r="D2059" s="116"/>
      <c r="E2059" s="116"/>
    </row>
    <row r="2060" spans="1:5" x14ac:dyDescent="0.25">
      <c r="A2060" s="83"/>
      <c r="B2060" s="84"/>
      <c r="C2060" s="84"/>
      <c r="D2060" s="116"/>
      <c r="E2060" s="116"/>
    </row>
    <row r="2061" spans="1:5" x14ac:dyDescent="0.25">
      <c r="A2061" s="83"/>
      <c r="B2061" s="84"/>
      <c r="C2061" s="84"/>
      <c r="D2061" s="116"/>
      <c r="E2061" s="116"/>
    </row>
    <row r="2062" spans="1:5" x14ac:dyDescent="0.25">
      <c r="A2062" s="83"/>
      <c r="B2062" s="84"/>
      <c r="C2062" s="84"/>
      <c r="D2062" s="116"/>
      <c r="E2062" s="116"/>
    </row>
    <row r="2063" spans="1:5" x14ac:dyDescent="0.25">
      <c r="A2063" s="83"/>
      <c r="B2063" s="84"/>
      <c r="C2063" s="84"/>
      <c r="D2063" s="116"/>
      <c r="E2063" s="116"/>
    </row>
    <row r="2064" spans="1:5" x14ac:dyDescent="0.25">
      <c r="A2064" s="83"/>
      <c r="B2064" s="84"/>
      <c r="C2064" s="84"/>
      <c r="D2064" s="116"/>
      <c r="E2064" s="116"/>
    </row>
    <row r="2065" spans="1:5" x14ac:dyDescent="0.25">
      <c r="A2065" s="83"/>
      <c r="B2065" s="84"/>
      <c r="C2065" s="84"/>
      <c r="D2065" s="116"/>
      <c r="E2065" s="116"/>
    </row>
    <row r="2066" spans="1:5" x14ac:dyDescent="0.25">
      <c r="A2066" s="83"/>
      <c r="B2066" s="84"/>
      <c r="C2066" s="84"/>
      <c r="D2066" s="116"/>
      <c r="E2066" s="116"/>
    </row>
    <row r="2067" spans="1:5" x14ac:dyDescent="0.25">
      <c r="A2067" s="83"/>
      <c r="B2067" s="84"/>
      <c r="C2067" s="84"/>
      <c r="D2067" s="116"/>
      <c r="E2067" s="116"/>
    </row>
    <row r="2068" spans="1:5" x14ac:dyDescent="0.25">
      <c r="A2068" s="83"/>
      <c r="B2068" s="84"/>
      <c r="C2068" s="84"/>
      <c r="D2068" s="116"/>
      <c r="E2068" s="116"/>
    </row>
    <row r="2069" spans="1:5" x14ac:dyDescent="0.25">
      <c r="A2069" s="83"/>
      <c r="B2069" s="84"/>
      <c r="C2069" s="84"/>
      <c r="D2069" s="116"/>
      <c r="E2069" s="116"/>
    </row>
    <row r="2070" spans="1:5" x14ac:dyDescent="0.25">
      <c r="A2070" s="83"/>
      <c r="B2070" s="84"/>
      <c r="C2070" s="84"/>
      <c r="D2070" s="116"/>
      <c r="E2070" s="116"/>
    </row>
    <row r="2071" spans="1:5" x14ac:dyDescent="0.25">
      <c r="A2071" s="83"/>
      <c r="B2071" s="84"/>
      <c r="C2071" s="84"/>
      <c r="D2071" s="116"/>
      <c r="E2071" s="116"/>
    </row>
    <row r="2072" spans="1:5" x14ac:dyDescent="0.25">
      <c r="A2072" s="83"/>
      <c r="B2072" s="84"/>
      <c r="C2072" s="84"/>
      <c r="D2072" s="116"/>
      <c r="E2072" s="116"/>
    </row>
    <row r="2073" spans="1:5" x14ac:dyDescent="0.25">
      <c r="A2073" s="83"/>
      <c r="B2073" s="84"/>
      <c r="C2073" s="84"/>
      <c r="D2073" s="116"/>
      <c r="E2073" s="116"/>
    </row>
    <row r="2074" spans="1:5" x14ac:dyDescent="0.25">
      <c r="A2074" s="83"/>
      <c r="B2074" s="84"/>
      <c r="C2074" s="84"/>
      <c r="D2074" s="116"/>
      <c r="E2074" s="116"/>
    </row>
    <row r="2075" spans="1:5" x14ac:dyDescent="0.25">
      <c r="A2075" s="83"/>
      <c r="B2075" s="84"/>
      <c r="C2075" s="84"/>
      <c r="D2075" s="116"/>
      <c r="E2075" s="116"/>
    </row>
    <row r="2076" spans="1:5" x14ac:dyDescent="0.25">
      <c r="A2076" s="83"/>
      <c r="B2076" s="84"/>
      <c r="C2076" s="84"/>
      <c r="D2076" s="116"/>
      <c r="E2076" s="116"/>
    </row>
    <row r="2077" spans="1:5" x14ac:dyDescent="0.25">
      <c r="A2077" s="83"/>
      <c r="B2077" s="84"/>
      <c r="C2077" s="84"/>
      <c r="D2077" s="116"/>
      <c r="E2077" s="116"/>
    </row>
    <row r="2078" spans="1:5" x14ac:dyDescent="0.25">
      <c r="A2078" s="83"/>
      <c r="B2078" s="84"/>
      <c r="C2078" s="84"/>
      <c r="D2078" s="116"/>
      <c r="E2078" s="116"/>
    </row>
    <row r="2079" spans="1:5" x14ac:dyDescent="0.25">
      <c r="A2079" s="83"/>
      <c r="B2079" s="84"/>
      <c r="C2079" s="84"/>
      <c r="D2079" s="116"/>
      <c r="E2079" s="116"/>
    </row>
    <row r="2080" spans="1:5" x14ac:dyDescent="0.25">
      <c r="A2080" s="83"/>
      <c r="B2080" s="84"/>
      <c r="C2080" s="84"/>
      <c r="D2080" s="116"/>
      <c r="E2080" s="116"/>
    </row>
    <row r="2081" spans="1:5" x14ac:dyDescent="0.25">
      <c r="A2081" s="83"/>
      <c r="B2081" s="84"/>
      <c r="C2081" s="84"/>
      <c r="D2081" s="116"/>
      <c r="E2081" s="116"/>
    </row>
    <row r="2082" spans="1:5" x14ac:dyDescent="0.25">
      <c r="A2082" s="83"/>
      <c r="B2082" s="84"/>
      <c r="C2082" s="84"/>
      <c r="D2082" s="116"/>
      <c r="E2082" s="116"/>
    </row>
    <row r="2083" spans="1:5" x14ac:dyDescent="0.25">
      <c r="A2083" s="83"/>
      <c r="B2083" s="84"/>
      <c r="C2083" s="84"/>
      <c r="D2083" s="116"/>
      <c r="E2083" s="116"/>
    </row>
    <row r="2084" spans="1:5" x14ac:dyDescent="0.25">
      <c r="A2084" s="83"/>
      <c r="B2084" s="84"/>
      <c r="C2084" s="84"/>
      <c r="D2084" s="116"/>
      <c r="E2084" s="116"/>
    </row>
    <row r="2085" spans="1:5" x14ac:dyDescent="0.25">
      <c r="A2085" s="83"/>
      <c r="B2085" s="84"/>
      <c r="C2085" s="84"/>
      <c r="D2085" s="116"/>
      <c r="E2085" s="116"/>
    </row>
    <row r="2086" spans="1:5" x14ac:dyDescent="0.25">
      <c r="A2086" s="83"/>
      <c r="B2086" s="84"/>
      <c r="C2086" s="84"/>
      <c r="D2086" s="116"/>
      <c r="E2086" s="116"/>
    </row>
    <row r="2087" spans="1:5" x14ac:dyDescent="0.25">
      <c r="A2087" s="83"/>
      <c r="B2087" s="84"/>
      <c r="C2087" s="84"/>
      <c r="D2087" s="116"/>
      <c r="E2087" s="116"/>
    </row>
    <row r="2088" spans="1:5" x14ac:dyDescent="0.25">
      <c r="A2088" s="83"/>
      <c r="B2088" s="84"/>
      <c r="C2088" s="84"/>
      <c r="D2088" s="116"/>
      <c r="E2088" s="116"/>
    </row>
    <row r="2089" spans="1:5" x14ac:dyDescent="0.25">
      <c r="A2089" s="83"/>
      <c r="B2089" s="84"/>
      <c r="C2089" s="84"/>
      <c r="D2089" s="116"/>
      <c r="E2089" s="116"/>
    </row>
    <row r="2090" spans="1:5" x14ac:dyDescent="0.25">
      <c r="A2090" s="83"/>
      <c r="B2090" s="84"/>
      <c r="C2090" s="84"/>
      <c r="D2090" s="116"/>
      <c r="E2090" s="116"/>
    </row>
    <row r="2091" spans="1:5" x14ac:dyDescent="0.25">
      <c r="A2091" s="83"/>
      <c r="B2091" s="84"/>
      <c r="C2091" s="84"/>
      <c r="D2091" s="116"/>
      <c r="E2091" s="116"/>
    </row>
    <row r="2092" spans="1:5" x14ac:dyDescent="0.25">
      <c r="A2092" s="83"/>
      <c r="B2092" s="84"/>
      <c r="C2092" s="84"/>
      <c r="D2092" s="116"/>
      <c r="E2092" s="116"/>
    </row>
    <row r="2093" spans="1:5" x14ac:dyDescent="0.25">
      <c r="A2093" s="83"/>
      <c r="B2093" s="84"/>
      <c r="C2093" s="84"/>
      <c r="D2093" s="116"/>
      <c r="E2093" s="116"/>
    </row>
    <row r="2094" spans="1:5" x14ac:dyDescent="0.25">
      <c r="A2094" s="83"/>
      <c r="B2094" s="84"/>
      <c r="C2094" s="84"/>
      <c r="D2094" s="116"/>
      <c r="E2094" s="116"/>
    </row>
    <row r="2095" spans="1:5" x14ac:dyDescent="0.25">
      <c r="A2095" s="83"/>
      <c r="B2095" s="84"/>
      <c r="C2095" s="84"/>
      <c r="D2095" s="116"/>
      <c r="E2095" s="116"/>
    </row>
    <row r="2096" spans="1:5" x14ac:dyDescent="0.25">
      <c r="A2096" s="83"/>
      <c r="B2096" s="84"/>
      <c r="C2096" s="84"/>
      <c r="D2096" s="116"/>
      <c r="E2096" s="116"/>
    </row>
    <row r="2097" spans="1:5" x14ac:dyDescent="0.25">
      <c r="A2097" s="83"/>
      <c r="B2097" s="84"/>
      <c r="C2097" s="84"/>
      <c r="D2097" s="116"/>
      <c r="E2097" s="116"/>
    </row>
    <row r="2098" spans="1:5" x14ac:dyDescent="0.25">
      <c r="A2098" s="83"/>
      <c r="B2098" s="84"/>
      <c r="C2098" s="84"/>
      <c r="D2098" s="116"/>
      <c r="E2098" s="116"/>
    </row>
    <row r="2099" spans="1:5" x14ac:dyDescent="0.25">
      <c r="A2099" s="83"/>
      <c r="B2099" s="84"/>
      <c r="C2099" s="84"/>
      <c r="D2099" s="116"/>
      <c r="E2099" s="116"/>
    </row>
    <row r="2100" spans="1:5" x14ac:dyDescent="0.25">
      <c r="A2100" s="83"/>
      <c r="B2100" s="84"/>
      <c r="C2100" s="84"/>
      <c r="D2100" s="116"/>
      <c r="E2100" s="116"/>
    </row>
    <row r="2101" spans="1:5" x14ac:dyDescent="0.25">
      <c r="A2101" s="83"/>
      <c r="B2101" s="84"/>
      <c r="C2101" s="84"/>
      <c r="D2101" s="116"/>
      <c r="E2101" s="116"/>
    </row>
    <row r="2102" spans="1:5" x14ac:dyDescent="0.25">
      <c r="A2102" s="83"/>
      <c r="B2102" s="84"/>
      <c r="C2102" s="84"/>
      <c r="D2102" s="116"/>
      <c r="E2102" s="116"/>
    </row>
    <row r="2103" spans="1:5" x14ac:dyDescent="0.25">
      <c r="A2103" s="83"/>
      <c r="B2103" s="84"/>
      <c r="C2103" s="84"/>
      <c r="D2103" s="116"/>
      <c r="E2103" s="116"/>
    </row>
    <row r="2104" spans="1:5" x14ac:dyDescent="0.25">
      <c r="A2104" s="83"/>
      <c r="B2104" s="84"/>
      <c r="C2104" s="84"/>
      <c r="D2104" s="116"/>
      <c r="E2104" s="116"/>
    </row>
    <row r="2105" spans="1:5" x14ac:dyDescent="0.25">
      <c r="A2105" s="83"/>
      <c r="B2105" s="84"/>
      <c r="C2105" s="84"/>
      <c r="D2105" s="116"/>
      <c r="E2105" s="116"/>
    </row>
    <row r="2106" spans="1:5" x14ac:dyDescent="0.25">
      <c r="A2106" s="83"/>
      <c r="B2106" s="84"/>
      <c r="C2106" s="84"/>
      <c r="D2106" s="116"/>
      <c r="E2106" s="116"/>
    </row>
    <row r="2107" spans="1:5" x14ac:dyDescent="0.25">
      <c r="A2107" s="83"/>
      <c r="B2107" s="84"/>
      <c r="C2107" s="84"/>
      <c r="D2107" s="116"/>
      <c r="E2107" s="116"/>
    </row>
    <row r="2108" spans="1:5" x14ac:dyDescent="0.25">
      <c r="A2108" s="83"/>
      <c r="B2108" s="84"/>
      <c r="C2108" s="84"/>
      <c r="D2108" s="116"/>
      <c r="E2108" s="116"/>
    </row>
    <row r="2109" spans="1:5" x14ac:dyDescent="0.25">
      <c r="A2109" s="83"/>
      <c r="B2109" s="84"/>
      <c r="C2109" s="84"/>
      <c r="D2109" s="116"/>
      <c r="E2109" s="116"/>
    </row>
    <row r="2110" spans="1:5" x14ac:dyDescent="0.25">
      <c r="A2110" s="83"/>
      <c r="B2110" s="84"/>
      <c r="C2110" s="84"/>
      <c r="D2110" s="116"/>
      <c r="E2110" s="116"/>
    </row>
    <row r="2111" spans="1:5" x14ac:dyDescent="0.25">
      <c r="A2111" s="83"/>
      <c r="B2111" s="84"/>
      <c r="C2111" s="84"/>
      <c r="D2111" s="116"/>
      <c r="E2111" s="116"/>
    </row>
    <row r="2112" spans="1:5" x14ac:dyDescent="0.25">
      <c r="A2112" s="83"/>
      <c r="B2112" s="84"/>
      <c r="C2112" s="84"/>
      <c r="D2112" s="116"/>
      <c r="E2112" s="116"/>
    </row>
    <row r="2113" spans="1:5" x14ac:dyDescent="0.25">
      <c r="A2113" s="83"/>
      <c r="B2113" s="84"/>
      <c r="C2113" s="84"/>
      <c r="D2113" s="116"/>
      <c r="E2113" s="116"/>
    </row>
    <row r="2114" spans="1:5" x14ac:dyDescent="0.25">
      <c r="A2114" s="83"/>
      <c r="B2114" s="84"/>
      <c r="C2114" s="84"/>
      <c r="D2114" s="116"/>
      <c r="E2114" s="116"/>
    </row>
    <row r="2115" spans="1:5" x14ac:dyDescent="0.25">
      <c r="A2115" s="83"/>
      <c r="B2115" s="84"/>
      <c r="C2115" s="84"/>
      <c r="D2115" s="116"/>
      <c r="E2115" s="116"/>
    </row>
    <row r="2116" spans="1:5" x14ac:dyDescent="0.25">
      <c r="A2116" s="83"/>
      <c r="B2116" s="84"/>
      <c r="C2116" s="84"/>
      <c r="D2116" s="116"/>
      <c r="E2116" s="116"/>
    </row>
    <row r="2117" spans="1:5" x14ac:dyDescent="0.25">
      <c r="A2117" s="83"/>
      <c r="B2117" s="84"/>
      <c r="C2117" s="84"/>
      <c r="D2117" s="116"/>
      <c r="E2117" s="116"/>
    </row>
    <row r="2118" spans="1:5" x14ac:dyDescent="0.25">
      <c r="A2118" s="83"/>
      <c r="B2118" s="84"/>
      <c r="C2118" s="84"/>
      <c r="D2118" s="116"/>
      <c r="E2118" s="116"/>
    </row>
    <row r="2119" spans="1:5" x14ac:dyDescent="0.25">
      <c r="A2119" s="83"/>
      <c r="B2119" s="84"/>
      <c r="C2119" s="84"/>
      <c r="D2119" s="116"/>
      <c r="E2119" s="116"/>
    </row>
    <row r="2120" spans="1:5" x14ac:dyDescent="0.25">
      <c r="A2120" s="83"/>
      <c r="B2120" s="84"/>
      <c r="C2120" s="84"/>
      <c r="D2120" s="116"/>
      <c r="E2120" s="116"/>
    </row>
    <row r="2121" spans="1:5" x14ac:dyDescent="0.25">
      <c r="A2121" s="83"/>
      <c r="B2121" s="84"/>
      <c r="C2121" s="84"/>
      <c r="D2121" s="116"/>
      <c r="E2121" s="116"/>
    </row>
    <row r="2122" spans="1:5" x14ac:dyDescent="0.25">
      <c r="A2122" s="83"/>
      <c r="B2122" s="84"/>
      <c r="C2122" s="84"/>
      <c r="D2122" s="116"/>
      <c r="E2122" s="116"/>
    </row>
    <row r="2123" spans="1:5" x14ac:dyDescent="0.25">
      <c r="A2123" s="83"/>
      <c r="B2123" s="84"/>
      <c r="C2123" s="84"/>
      <c r="D2123" s="116"/>
      <c r="E2123" s="116"/>
    </row>
    <row r="2124" spans="1:5" x14ac:dyDescent="0.25">
      <c r="A2124" s="83"/>
      <c r="B2124" s="84"/>
      <c r="C2124" s="84"/>
      <c r="D2124" s="116"/>
      <c r="E2124" s="116"/>
    </row>
    <row r="2125" spans="1:5" x14ac:dyDescent="0.25">
      <c r="A2125" s="83"/>
      <c r="B2125" s="84"/>
      <c r="C2125" s="84"/>
      <c r="D2125" s="116"/>
      <c r="E2125" s="116"/>
    </row>
    <row r="2126" spans="1:5" x14ac:dyDescent="0.25">
      <c r="A2126" s="83"/>
      <c r="B2126" s="84"/>
      <c r="C2126" s="84"/>
      <c r="D2126" s="116"/>
      <c r="E2126" s="116"/>
    </row>
    <row r="2127" spans="1:5" x14ac:dyDescent="0.25">
      <c r="A2127" s="83"/>
      <c r="B2127" s="84"/>
      <c r="C2127" s="84"/>
      <c r="D2127" s="116"/>
      <c r="E2127" s="116"/>
    </row>
    <row r="2128" spans="1:5" x14ac:dyDescent="0.25">
      <c r="A2128" s="83"/>
      <c r="B2128" s="84"/>
      <c r="C2128" s="84"/>
      <c r="D2128" s="116"/>
      <c r="E2128" s="116"/>
    </row>
    <row r="2129" spans="1:5" x14ac:dyDescent="0.25">
      <c r="A2129" s="83"/>
      <c r="B2129" s="84"/>
      <c r="C2129" s="84"/>
      <c r="D2129" s="116"/>
      <c r="E2129" s="116"/>
    </row>
    <row r="2130" spans="1:5" x14ac:dyDescent="0.25">
      <c r="A2130" s="83"/>
      <c r="B2130" s="84"/>
      <c r="C2130" s="84"/>
      <c r="D2130" s="116"/>
      <c r="E2130" s="116"/>
    </row>
    <row r="2131" spans="1:5" x14ac:dyDescent="0.25">
      <c r="A2131" s="83"/>
      <c r="B2131" s="84"/>
      <c r="C2131" s="84"/>
      <c r="D2131" s="116"/>
      <c r="E2131" s="116"/>
    </row>
    <row r="2132" spans="1:5" x14ac:dyDescent="0.25">
      <c r="A2132" s="83"/>
      <c r="B2132" s="84"/>
      <c r="C2132" s="84"/>
      <c r="D2132" s="116"/>
      <c r="E2132" s="116"/>
    </row>
    <row r="2133" spans="1:5" x14ac:dyDescent="0.25">
      <c r="A2133" s="83"/>
      <c r="B2133" s="84"/>
      <c r="C2133" s="84"/>
      <c r="D2133" s="116"/>
      <c r="E2133" s="116"/>
    </row>
    <row r="2134" spans="1:5" x14ac:dyDescent="0.25">
      <c r="A2134" s="83"/>
      <c r="B2134" s="84"/>
      <c r="C2134" s="84"/>
      <c r="D2134" s="116"/>
      <c r="E2134" s="116"/>
    </row>
    <row r="2135" spans="1:5" x14ac:dyDescent="0.25">
      <c r="A2135" s="83"/>
      <c r="B2135" s="84"/>
      <c r="C2135" s="84"/>
      <c r="D2135" s="116"/>
      <c r="E2135" s="116"/>
    </row>
    <row r="2136" spans="1:5" x14ac:dyDescent="0.25">
      <c r="A2136" s="83"/>
      <c r="B2136" s="84"/>
      <c r="C2136" s="84"/>
      <c r="D2136" s="116"/>
      <c r="E2136" s="116"/>
    </row>
    <row r="2137" spans="1:5" x14ac:dyDescent="0.25">
      <c r="A2137" s="83"/>
      <c r="B2137" s="84"/>
      <c r="C2137" s="84"/>
      <c r="D2137" s="116"/>
      <c r="E2137" s="116"/>
    </row>
    <row r="2138" spans="1:5" x14ac:dyDescent="0.25">
      <c r="A2138" s="83"/>
      <c r="B2138" s="84"/>
      <c r="C2138" s="84"/>
      <c r="D2138" s="116"/>
      <c r="E2138" s="116"/>
    </row>
    <row r="2139" spans="1:5" x14ac:dyDescent="0.25">
      <c r="A2139" s="83"/>
      <c r="B2139" s="84"/>
      <c r="C2139" s="84"/>
      <c r="D2139" s="116"/>
      <c r="E2139" s="116"/>
    </row>
    <row r="2140" spans="1:5" x14ac:dyDescent="0.25">
      <c r="A2140" s="83"/>
      <c r="B2140" s="84"/>
      <c r="C2140" s="84"/>
      <c r="D2140" s="116"/>
      <c r="E2140" s="116"/>
    </row>
    <row r="2141" spans="1:5" x14ac:dyDescent="0.25">
      <c r="A2141" s="83"/>
      <c r="B2141" s="84"/>
      <c r="C2141" s="84"/>
      <c r="D2141" s="116"/>
      <c r="E2141" s="116"/>
    </row>
    <row r="2142" spans="1:5" x14ac:dyDescent="0.25">
      <c r="A2142" s="83"/>
      <c r="B2142" s="84"/>
      <c r="C2142" s="84"/>
      <c r="D2142" s="116"/>
      <c r="E2142" s="116"/>
    </row>
    <row r="2143" spans="1:5" x14ac:dyDescent="0.25">
      <c r="A2143" s="83"/>
      <c r="B2143" s="84"/>
      <c r="C2143" s="84"/>
      <c r="D2143" s="116"/>
      <c r="E2143" s="116"/>
    </row>
    <row r="2144" spans="1:5" x14ac:dyDescent="0.25">
      <c r="A2144" s="83"/>
      <c r="B2144" s="84"/>
      <c r="C2144" s="84"/>
      <c r="D2144" s="116"/>
      <c r="E2144" s="116"/>
    </row>
    <row r="2145" spans="1:5" x14ac:dyDescent="0.25">
      <c r="A2145" s="83"/>
      <c r="B2145" s="84"/>
      <c r="C2145" s="84"/>
      <c r="D2145" s="116"/>
      <c r="E2145" s="116"/>
    </row>
    <row r="2146" spans="1:5" x14ac:dyDescent="0.25">
      <c r="A2146" s="83"/>
      <c r="B2146" s="84"/>
      <c r="C2146" s="84"/>
      <c r="D2146" s="116"/>
      <c r="E2146" s="116"/>
    </row>
    <row r="2147" spans="1:5" x14ac:dyDescent="0.25">
      <c r="A2147" s="83"/>
      <c r="B2147" s="84"/>
      <c r="C2147" s="84"/>
      <c r="D2147" s="116"/>
      <c r="E2147" s="116"/>
    </row>
    <row r="2148" spans="1:5" x14ac:dyDescent="0.25">
      <c r="A2148" s="83"/>
      <c r="B2148" s="84"/>
      <c r="C2148" s="84"/>
      <c r="D2148" s="116"/>
      <c r="E2148" s="116"/>
    </row>
    <row r="2149" spans="1:5" x14ac:dyDescent="0.25">
      <c r="A2149" s="83"/>
      <c r="B2149" s="84"/>
      <c r="C2149" s="84"/>
      <c r="D2149" s="116"/>
      <c r="E2149" s="116"/>
    </row>
    <row r="2150" spans="1:5" x14ac:dyDescent="0.25">
      <c r="A2150" s="83"/>
      <c r="B2150" s="84"/>
      <c r="C2150" s="84"/>
      <c r="D2150" s="116"/>
      <c r="E2150" s="116"/>
    </row>
    <row r="2151" spans="1:5" x14ac:dyDescent="0.25">
      <c r="A2151" s="83"/>
      <c r="B2151" s="84"/>
      <c r="C2151" s="84"/>
      <c r="D2151" s="116"/>
      <c r="E2151" s="116"/>
    </row>
    <row r="2152" spans="1:5" x14ac:dyDescent="0.25">
      <c r="A2152" s="83"/>
      <c r="B2152" s="84"/>
      <c r="C2152" s="84"/>
      <c r="D2152" s="116"/>
      <c r="E2152" s="116"/>
    </row>
    <row r="2153" spans="1:5" x14ac:dyDescent="0.25">
      <c r="A2153" s="83"/>
      <c r="B2153" s="84"/>
      <c r="C2153" s="84"/>
      <c r="D2153" s="116"/>
      <c r="E2153" s="116"/>
    </row>
    <row r="2154" spans="1:5" x14ac:dyDescent="0.25">
      <c r="A2154" s="83"/>
      <c r="B2154" s="84"/>
      <c r="C2154" s="84"/>
      <c r="D2154" s="116"/>
      <c r="E2154" s="116"/>
    </row>
    <row r="2155" spans="1:5" x14ac:dyDescent="0.25">
      <c r="A2155" s="83"/>
      <c r="B2155" s="84"/>
      <c r="C2155" s="84"/>
      <c r="D2155" s="116"/>
      <c r="E2155" s="116"/>
    </row>
    <row r="2156" spans="1:5" x14ac:dyDescent="0.25">
      <c r="A2156" s="83"/>
      <c r="B2156" s="84"/>
      <c r="C2156" s="84"/>
      <c r="D2156" s="116"/>
      <c r="E2156" s="116"/>
    </row>
    <row r="2157" spans="1:5" x14ac:dyDescent="0.25">
      <c r="A2157" s="83"/>
      <c r="B2157" s="84"/>
      <c r="C2157" s="84"/>
      <c r="D2157" s="116"/>
      <c r="E2157" s="116"/>
    </row>
    <row r="2158" spans="1:5" x14ac:dyDescent="0.25">
      <c r="A2158" s="83"/>
      <c r="B2158" s="84"/>
      <c r="C2158" s="84"/>
      <c r="D2158" s="116"/>
      <c r="E2158" s="116"/>
    </row>
    <row r="2159" spans="1:5" x14ac:dyDescent="0.25">
      <c r="A2159" s="83"/>
      <c r="B2159" s="84"/>
      <c r="C2159" s="84"/>
      <c r="D2159" s="116"/>
      <c r="E2159" s="116"/>
    </row>
    <row r="2160" spans="1:5" x14ac:dyDescent="0.25">
      <c r="A2160" s="83"/>
      <c r="B2160" s="84"/>
      <c r="C2160" s="84"/>
      <c r="D2160" s="116"/>
      <c r="E2160" s="116"/>
    </row>
    <row r="2161" spans="1:5" x14ac:dyDescent="0.25">
      <c r="A2161" s="83"/>
      <c r="B2161" s="84"/>
      <c r="C2161" s="84"/>
      <c r="D2161" s="116"/>
      <c r="E2161" s="116"/>
    </row>
    <row r="2162" spans="1:5" x14ac:dyDescent="0.25">
      <c r="A2162" s="83"/>
      <c r="B2162" s="84"/>
      <c r="C2162" s="84"/>
      <c r="D2162" s="116"/>
      <c r="E2162" s="116"/>
    </row>
    <row r="2163" spans="1:5" x14ac:dyDescent="0.25">
      <c r="A2163" s="83"/>
      <c r="B2163" s="84"/>
      <c r="C2163" s="84"/>
      <c r="D2163" s="116"/>
      <c r="E2163" s="116"/>
    </row>
    <row r="2164" spans="1:5" x14ac:dyDescent="0.25">
      <c r="A2164" s="83"/>
      <c r="B2164" s="84"/>
      <c r="C2164" s="84"/>
      <c r="D2164" s="116"/>
      <c r="E2164" s="116"/>
    </row>
    <row r="2165" spans="1:5" x14ac:dyDescent="0.25">
      <c r="A2165" s="83"/>
      <c r="B2165" s="84"/>
      <c r="C2165" s="84"/>
      <c r="D2165" s="116"/>
      <c r="E2165" s="116"/>
    </row>
    <row r="2166" spans="1:5" x14ac:dyDescent="0.25">
      <c r="A2166" s="83"/>
      <c r="B2166" s="84"/>
      <c r="C2166" s="84"/>
      <c r="D2166" s="116"/>
      <c r="E2166" s="116"/>
    </row>
    <row r="2167" spans="1:5" x14ac:dyDescent="0.25">
      <c r="A2167" s="83"/>
      <c r="B2167" s="84"/>
      <c r="C2167" s="84"/>
      <c r="D2167" s="116"/>
      <c r="E2167" s="116"/>
    </row>
    <row r="2168" spans="1:5" x14ac:dyDescent="0.25">
      <c r="A2168" s="83"/>
      <c r="B2168" s="84"/>
      <c r="C2168" s="84"/>
      <c r="D2168" s="116"/>
      <c r="E2168" s="116"/>
    </row>
    <row r="2169" spans="1:5" x14ac:dyDescent="0.25">
      <c r="A2169" s="83"/>
      <c r="B2169" s="84"/>
      <c r="C2169" s="84"/>
      <c r="D2169" s="116"/>
      <c r="E2169" s="116"/>
    </row>
    <row r="2170" spans="1:5" x14ac:dyDescent="0.25">
      <c r="A2170" s="83"/>
      <c r="B2170" s="84"/>
      <c r="C2170" s="84"/>
      <c r="D2170" s="116"/>
      <c r="E2170" s="116"/>
    </row>
    <row r="2171" spans="1:5" x14ac:dyDescent="0.25">
      <c r="A2171" s="83"/>
      <c r="B2171" s="84"/>
      <c r="C2171" s="84"/>
      <c r="D2171" s="116"/>
      <c r="E2171" s="116"/>
    </row>
    <row r="2172" spans="1:5" x14ac:dyDescent="0.25">
      <c r="A2172" s="83"/>
      <c r="B2172" s="84"/>
      <c r="C2172" s="84"/>
      <c r="D2172" s="116"/>
      <c r="E2172" s="116"/>
    </row>
    <row r="2173" spans="1:5" x14ac:dyDescent="0.25">
      <c r="A2173" s="83"/>
      <c r="B2173" s="84"/>
      <c r="C2173" s="84"/>
      <c r="D2173" s="116"/>
      <c r="E2173" s="116"/>
    </row>
    <row r="2174" spans="1:5" x14ac:dyDescent="0.25">
      <c r="A2174" s="83"/>
      <c r="B2174" s="84"/>
      <c r="C2174" s="84"/>
      <c r="D2174" s="116"/>
      <c r="E2174" s="116"/>
    </row>
    <row r="2175" spans="1:5" x14ac:dyDescent="0.25">
      <c r="A2175" s="83"/>
      <c r="B2175" s="84"/>
      <c r="C2175" s="84"/>
      <c r="D2175" s="116"/>
      <c r="E2175" s="116"/>
    </row>
    <row r="2176" spans="1:5" x14ac:dyDescent="0.25">
      <c r="A2176" s="83"/>
      <c r="B2176" s="84"/>
      <c r="C2176" s="84"/>
      <c r="D2176" s="116"/>
      <c r="E2176" s="116"/>
    </row>
    <row r="2177" spans="1:5" x14ac:dyDescent="0.25">
      <c r="A2177" s="83"/>
      <c r="B2177" s="84"/>
      <c r="C2177" s="84"/>
      <c r="D2177" s="116"/>
      <c r="E2177" s="116"/>
    </row>
    <row r="2178" spans="1:5" x14ac:dyDescent="0.25">
      <c r="A2178" s="83"/>
      <c r="B2178" s="84"/>
      <c r="C2178" s="84"/>
      <c r="D2178" s="116"/>
      <c r="E2178" s="116"/>
    </row>
    <row r="2179" spans="1:5" x14ac:dyDescent="0.25">
      <c r="A2179" s="83"/>
      <c r="B2179" s="84"/>
      <c r="C2179" s="84"/>
      <c r="D2179" s="116"/>
      <c r="E2179" s="116"/>
    </row>
    <row r="2180" spans="1:5" x14ac:dyDescent="0.25">
      <c r="A2180" s="83"/>
      <c r="B2180" s="84"/>
      <c r="C2180" s="84"/>
      <c r="D2180" s="116"/>
      <c r="E2180" s="116"/>
    </row>
    <row r="2181" spans="1:5" x14ac:dyDescent="0.25">
      <c r="A2181" s="83"/>
      <c r="B2181" s="84"/>
      <c r="C2181" s="84"/>
      <c r="D2181" s="116"/>
      <c r="E2181" s="116"/>
    </row>
    <row r="2182" spans="1:5" x14ac:dyDescent="0.25">
      <c r="A2182" s="83"/>
      <c r="B2182" s="84"/>
      <c r="C2182" s="84"/>
      <c r="D2182" s="116"/>
      <c r="E2182" s="116"/>
    </row>
    <row r="2183" spans="1:5" x14ac:dyDescent="0.25">
      <c r="A2183" s="83"/>
      <c r="B2183" s="84"/>
      <c r="C2183" s="84"/>
      <c r="D2183" s="116"/>
      <c r="E2183" s="116"/>
    </row>
    <row r="2184" spans="1:5" x14ac:dyDescent="0.25">
      <c r="A2184" s="83"/>
      <c r="B2184" s="84"/>
      <c r="C2184" s="84"/>
      <c r="D2184" s="116"/>
      <c r="E2184" s="116"/>
    </row>
    <row r="2185" spans="1:5" x14ac:dyDescent="0.25">
      <c r="A2185" s="83"/>
      <c r="B2185" s="84"/>
      <c r="C2185" s="84"/>
      <c r="D2185" s="116"/>
      <c r="E2185" s="116"/>
    </row>
    <row r="2186" spans="1:5" x14ac:dyDescent="0.25">
      <c r="A2186" s="83"/>
      <c r="B2186" s="84"/>
      <c r="C2186" s="84"/>
      <c r="D2186" s="116"/>
      <c r="E2186" s="116"/>
    </row>
    <row r="2187" spans="1:5" x14ac:dyDescent="0.25">
      <c r="A2187" s="83"/>
      <c r="B2187" s="84"/>
      <c r="C2187" s="84"/>
      <c r="D2187" s="116"/>
      <c r="E2187" s="116"/>
    </row>
    <row r="2188" spans="1:5" x14ac:dyDescent="0.25">
      <c r="A2188" s="83"/>
      <c r="B2188" s="84"/>
      <c r="C2188" s="84"/>
      <c r="D2188" s="116"/>
      <c r="E2188" s="116"/>
    </row>
    <row r="2189" spans="1:5" x14ac:dyDescent="0.25">
      <c r="A2189" s="83"/>
      <c r="B2189" s="84"/>
      <c r="C2189" s="84"/>
      <c r="D2189" s="116"/>
      <c r="E2189" s="116"/>
    </row>
    <row r="2190" spans="1:5" x14ac:dyDescent="0.25">
      <c r="A2190" s="83"/>
      <c r="B2190" s="84"/>
      <c r="C2190" s="84"/>
      <c r="D2190" s="116"/>
      <c r="E2190" s="116"/>
    </row>
    <row r="2191" spans="1:5" x14ac:dyDescent="0.25">
      <c r="A2191" s="83"/>
      <c r="B2191" s="84"/>
      <c r="C2191" s="84"/>
      <c r="D2191" s="116"/>
      <c r="E2191" s="116"/>
    </row>
    <row r="2192" spans="1:5" x14ac:dyDescent="0.25">
      <c r="A2192" s="83"/>
      <c r="B2192" s="84"/>
      <c r="C2192" s="84"/>
      <c r="D2192" s="116"/>
      <c r="E2192" s="116"/>
    </row>
    <row r="2193" spans="1:5" x14ac:dyDescent="0.25">
      <c r="A2193" s="83"/>
      <c r="B2193" s="84"/>
      <c r="C2193" s="84"/>
      <c r="D2193" s="116"/>
      <c r="E2193" s="116"/>
    </row>
    <row r="2194" spans="1:5" x14ac:dyDescent="0.25">
      <c r="A2194" s="83"/>
      <c r="B2194" s="84"/>
      <c r="C2194" s="84"/>
      <c r="D2194" s="116"/>
      <c r="E2194" s="116"/>
    </row>
    <row r="2195" spans="1:5" x14ac:dyDescent="0.25">
      <c r="A2195" s="83"/>
      <c r="B2195" s="84"/>
      <c r="C2195" s="84"/>
      <c r="D2195" s="116"/>
      <c r="E2195" s="116"/>
    </row>
    <row r="2196" spans="1:5" x14ac:dyDescent="0.25">
      <c r="A2196" s="83"/>
      <c r="B2196" s="84"/>
      <c r="C2196" s="84"/>
      <c r="D2196" s="116"/>
      <c r="E2196" s="116"/>
    </row>
    <row r="2197" spans="1:5" x14ac:dyDescent="0.25">
      <c r="A2197" s="83"/>
      <c r="B2197" s="84"/>
      <c r="C2197" s="84"/>
      <c r="D2197" s="116"/>
      <c r="E2197" s="116"/>
    </row>
    <row r="2198" spans="1:5" x14ac:dyDescent="0.25">
      <c r="A2198" s="83"/>
      <c r="B2198" s="84"/>
      <c r="C2198" s="84"/>
      <c r="D2198" s="116"/>
      <c r="E2198" s="116"/>
    </row>
    <row r="2199" spans="1:5" x14ac:dyDescent="0.25">
      <c r="A2199" s="83"/>
      <c r="B2199" s="84"/>
      <c r="C2199" s="84"/>
      <c r="D2199" s="116"/>
      <c r="E2199" s="116"/>
    </row>
    <row r="2200" spans="1:5" x14ac:dyDescent="0.25">
      <c r="A2200" s="83"/>
      <c r="B2200" s="84"/>
      <c r="C2200" s="84"/>
      <c r="D2200" s="116"/>
      <c r="E2200" s="116"/>
    </row>
    <row r="2201" spans="1:5" x14ac:dyDescent="0.25">
      <c r="A2201" s="83"/>
      <c r="B2201" s="84"/>
      <c r="C2201" s="84"/>
      <c r="D2201" s="116"/>
      <c r="E2201" s="116"/>
    </row>
    <row r="2202" spans="1:5" x14ac:dyDescent="0.25">
      <c r="A2202" s="83"/>
      <c r="B2202" s="84"/>
      <c r="C2202" s="84"/>
      <c r="D2202" s="116"/>
      <c r="E2202" s="116"/>
    </row>
    <row r="2203" spans="1:5" x14ac:dyDescent="0.25">
      <c r="A2203" s="83"/>
      <c r="B2203" s="84"/>
      <c r="C2203" s="84"/>
      <c r="D2203" s="116"/>
      <c r="E2203" s="116"/>
    </row>
    <row r="2204" spans="1:5" x14ac:dyDescent="0.25">
      <c r="A2204" s="83"/>
      <c r="B2204" s="84"/>
      <c r="C2204" s="84"/>
      <c r="D2204" s="116"/>
      <c r="E2204" s="116"/>
    </row>
    <row r="2205" spans="1:5" x14ac:dyDescent="0.25">
      <c r="A2205" s="83"/>
      <c r="B2205" s="84"/>
      <c r="C2205" s="84"/>
      <c r="D2205" s="116"/>
      <c r="E2205" s="116"/>
    </row>
    <row r="2206" spans="1:5" x14ac:dyDescent="0.25">
      <c r="A2206" s="83"/>
      <c r="B2206" s="84"/>
      <c r="C2206" s="84"/>
      <c r="D2206" s="116"/>
      <c r="E2206" s="116"/>
    </row>
    <row r="2207" spans="1:5" x14ac:dyDescent="0.25">
      <c r="A2207" s="83"/>
      <c r="B2207" s="84"/>
      <c r="C2207" s="84"/>
      <c r="D2207" s="116"/>
      <c r="E2207" s="116"/>
    </row>
    <row r="2208" spans="1:5" x14ac:dyDescent="0.25">
      <c r="A2208" s="83"/>
      <c r="B2208" s="84"/>
      <c r="C2208" s="84"/>
      <c r="D2208" s="116"/>
      <c r="E2208" s="116"/>
    </row>
    <row r="2209" spans="1:5" x14ac:dyDescent="0.25">
      <c r="A2209" s="83"/>
      <c r="B2209" s="84"/>
      <c r="C2209" s="84"/>
      <c r="D2209" s="116"/>
      <c r="E2209" s="116"/>
    </row>
    <row r="2210" spans="1:5" x14ac:dyDescent="0.25">
      <c r="A2210" s="83"/>
      <c r="B2210" s="84"/>
      <c r="C2210" s="84"/>
      <c r="D2210" s="116"/>
      <c r="E2210" s="116"/>
    </row>
    <row r="2211" spans="1:5" x14ac:dyDescent="0.25">
      <c r="A2211" s="83"/>
      <c r="B2211" s="84"/>
      <c r="C2211" s="84"/>
      <c r="D2211" s="116"/>
      <c r="E2211" s="116"/>
    </row>
    <row r="2212" spans="1:5" x14ac:dyDescent="0.25">
      <c r="A2212" s="83"/>
      <c r="B2212" s="84"/>
      <c r="C2212" s="84"/>
      <c r="D2212" s="116"/>
      <c r="E2212" s="116"/>
    </row>
    <row r="2213" spans="1:5" x14ac:dyDescent="0.25">
      <c r="A2213" s="83"/>
      <c r="B2213" s="84"/>
      <c r="C2213" s="84"/>
      <c r="D2213" s="116"/>
      <c r="E2213" s="116"/>
    </row>
    <row r="2214" spans="1:5" x14ac:dyDescent="0.25">
      <c r="A2214" s="83"/>
      <c r="B2214" s="84"/>
      <c r="C2214" s="84"/>
      <c r="D2214" s="116"/>
      <c r="E2214" s="116"/>
    </row>
    <row r="2215" spans="1:5" x14ac:dyDescent="0.25">
      <c r="A2215" s="83"/>
      <c r="B2215" s="84"/>
      <c r="C2215" s="84"/>
      <c r="D2215" s="116"/>
      <c r="E2215" s="116"/>
    </row>
    <row r="2216" spans="1:5" x14ac:dyDescent="0.25">
      <c r="A2216" s="83"/>
      <c r="B2216" s="84"/>
      <c r="C2216" s="84"/>
      <c r="D2216" s="116"/>
      <c r="E2216" s="116"/>
    </row>
    <row r="2217" spans="1:5" x14ac:dyDescent="0.25">
      <c r="A2217" s="83"/>
      <c r="B2217" s="84"/>
      <c r="C2217" s="84"/>
      <c r="D2217" s="116"/>
      <c r="E2217" s="116"/>
    </row>
    <row r="2218" spans="1:5" x14ac:dyDescent="0.25">
      <c r="A2218" s="83"/>
      <c r="B2218" s="84"/>
      <c r="C2218" s="84"/>
      <c r="D2218" s="116"/>
      <c r="E2218" s="116"/>
    </row>
    <row r="2219" spans="1:5" x14ac:dyDescent="0.25">
      <c r="A2219" s="83"/>
      <c r="B2219" s="84"/>
      <c r="C2219" s="84"/>
      <c r="D2219" s="116"/>
      <c r="E2219" s="116"/>
    </row>
    <row r="2220" spans="1:5" x14ac:dyDescent="0.25">
      <c r="A2220" s="83"/>
      <c r="B2220" s="84"/>
      <c r="C2220" s="84"/>
      <c r="D2220" s="116"/>
      <c r="E2220" s="116"/>
    </row>
    <row r="2221" spans="1:5" x14ac:dyDescent="0.25">
      <c r="A2221" s="83"/>
      <c r="B2221" s="84"/>
      <c r="C2221" s="84"/>
      <c r="D2221" s="116"/>
      <c r="E2221" s="116"/>
    </row>
    <row r="2222" spans="1:5" x14ac:dyDescent="0.25">
      <c r="A2222" s="83"/>
      <c r="B2222" s="84"/>
      <c r="C2222" s="84"/>
      <c r="D2222" s="116"/>
      <c r="E2222" s="116"/>
    </row>
    <row r="2223" spans="1:5" x14ac:dyDescent="0.25">
      <c r="A2223" s="83"/>
      <c r="B2223" s="84"/>
      <c r="C2223" s="84"/>
      <c r="D2223" s="116"/>
      <c r="E2223" s="116"/>
    </row>
    <row r="2224" spans="1:5" x14ac:dyDescent="0.25">
      <c r="A2224" s="83"/>
      <c r="B2224" s="84"/>
      <c r="C2224" s="84"/>
      <c r="D2224" s="116"/>
      <c r="E2224" s="116"/>
    </row>
    <row r="2225" spans="1:5" x14ac:dyDescent="0.25">
      <c r="A2225" s="83"/>
      <c r="B2225" s="84"/>
      <c r="C2225" s="84"/>
      <c r="D2225" s="116"/>
      <c r="E2225" s="116"/>
    </row>
    <row r="2226" spans="1:5" x14ac:dyDescent="0.25">
      <c r="A2226" s="83"/>
      <c r="B2226" s="84"/>
      <c r="C2226" s="84"/>
      <c r="D2226" s="116"/>
      <c r="E2226" s="116"/>
    </row>
    <row r="2227" spans="1:5" x14ac:dyDescent="0.25">
      <c r="A2227" s="83"/>
      <c r="B2227" s="84"/>
      <c r="C2227" s="84"/>
      <c r="D2227" s="116"/>
      <c r="E2227" s="116"/>
    </row>
    <row r="2228" spans="1:5" x14ac:dyDescent="0.25">
      <c r="A2228" s="83"/>
      <c r="B2228" s="84"/>
      <c r="C2228" s="84"/>
      <c r="D2228" s="116"/>
      <c r="E2228" s="116"/>
    </row>
    <row r="2229" spans="1:5" x14ac:dyDescent="0.25">
      <c r="A2229" s="83"/>
      <c r="B2229" s="84"/>
      <c r="C2229" s="84"/>
      <c r="D2229" s="116"/>
      <c r="E2229" s="116"/>
    </row>
    <row r="2230" spans="1:5" x14ac:dyDescent="0.25">
      <c r="A2230" s="83"/>
      <c r="B2230" s="84"/>
      <c r="C2230" s="84"/>
      <c r="D2230" s="116"/>
      <c r="E2230" s="116"/>
    </row>
    <row r="2231" spans="1:5" x14ac:dyDescent="0.25">
      <c r="A2231" s="83"/>
      <c r="B2231" s="84"/>
      <c r="C2231" s="84"/>
      <c r="D2231" s="116"/>
      <c r="E2231" s="116"/>
    </row>
    <row r="2232" spans="1:5" x14ac:dyDescent="0.25">
      <c r="A2232" s="83"/>
      <c r="B2232" s="84"/>
      <c r="C2232" s="84"/>
      <c r="D2232" s="116"/>
      <c r="E2232" s="116"/>
    </row>
    <row r="2233" spans="1:5" x14ac:dyDescent="0.25">
      <c r="A2233" s="83"/>
      <c r="B2233" s="84"/>
      <c r="C2233" s="84"/>
      <c r="D2233" s="116"/>
      <c r="E2233" s="116"/>
    </row>
    <row r="2234" spans="1:5" x14ac:dyDescent="0.25">
      <c r="A2234" s="83"/>
      <c r="B2234" s="84"/>
      <c r="C2234" s="84"/>
      <c r="D2234" s="116"/>
      <c r="E2234" s="116"/>
    </row>
    <row r="2235" spans="1:5" x14ac:dyDescent="0.25">
      <c r="A2235" s="83"/>
      <c r="B2235" s="84"/>
      <c r="C2235" s="84"/>
      <c r="D2235" s="116"/>
      <c r="E2235" s="116"/>
    </row>
    <row r="2236" spans="1:5" x14ac:dyDescent="0.25">
      <c r="A2236" s="83"/>
      <c r="B2236" s="84"/>
      <c r="C2236" s="84"/>
      <c r="D2236" s="116"/>
      <c r="E2236" s="116"/>
    </row>
    <row r="2237" spans="1:5" x14ac:dyDescent="0.25">
      <c r="A2237" s="83"/>
      <c r="B2237" s="84"/>
      <c r="C2237" s="84"/>
      <c r="D2237" s="116"/>
      <c r="E2237" s="116"/>
    </row>
    <row r="2238" spans="1:5" x14ac:dyDescent="0.25">
      <c r="A2238" s="83"/>
      <c r="B2238" s="84"/>
      <c r="C2238" s="84"/>
      <c r="D2238" s="116"/>
      <c r="E2238" s="116"/>
    </row>
    <row r="2239" spans="1:5" x14ac:dyDescent="0.25">
      <c r="A2239" s="83"/>
      <c r="B2239" s="84"/>
      <c r="C2239" s="84"/>
      <c r="D2239" s="116"/>
      <c r="E2239" s="116"/>
    </row>
    <row r="2240" spans="1:5" x14ac:dyDescent="0.25">
      <c r="A2240" s="83"/>
      <c r="B2240" s="84"/>
      <c r="C2240" s="84"/>
      <c r="D2240" s="116"/>
      <c r="E2240" s="116"/>
    </row>
    <row r="2241" spans="1:5" x14ac:dyDescent="0.25">
      <c r="A2241" s="83"/>
      <c r="B2241" s="84"/>
      <c r="C2241" s="84"/>
      <c r="D2241" s="116"/>
      <c r="E2241" s="116"/>
    </row>
    <row r="2242" spans="1:5" x14ac:dyDescent="0.25">
      <c r="A2242" s="83"/>
      <c r="B2242" s="84"/>
      <c r="C2242" s="84"/>
      <c r="D2242" s="116"/>
      <c r="E2242" s="116"/>
    </row>
    <row r="2243" spans="1:5" x14ac:dyDescent="0.25">
      <c r="A2243" s="83"/>
      <c r="B2243" s="84"/>
      <c r="C2243" s="84"/>
      <c r="D2243" s="116"/>
      <c r="E2243" s="116"/>
    </row>
    <row r="2244" spans="1:5" x14ac:dyDescent="0.25">
      <c r="A2244" s="83"/>
      <c r="B2244" s="84"/>
      <c r="C2244" s="84"/>
      <c r="D2244" s="116"/>
      <c r="E2244" s="116"/>
    </row>
    <row r="2245" spans="1:5" x14ac:dyDescent="0.25">
      <c r="A2245" s="83"/>
      <c r="B2245" s="84"/>
      <c r="C2245" s="84"/>
      <c r="D2245" s="116"/>
      <c r="E2245" s="116"/>
    </row>
    <row r="2246" spans="1:5" x14ac:dyDescent="0.25">
      <c r="A2246" s="83"/>
      <c r="B2246" s="84"/>
      <c r="C2246" s="84"/>
      <c r="D2246" s="116"/>
      <c r="E2246" s="116"/>
    </row>
    <row r="2247" spans="1:5" x14ac:dyDescent="0.25">
      <c r="A2247" s="83"/>
      <c r="B2247" s="84"/>
      <c r="C2247" s="84"/>
      <c r="D2247" s="116"/>
      <c r="E2247" s="116"/>
    </row>
    <row r="2248" spans="1:5" x14ac:dyDescent="0.25">
      <c r="A2248" s="83"/>
      <c r="B2248" s="84"/>
      <c r="C2248" s="84"/>
      <c r="D2248" s="116"/>
      <c r="E2248" s="116"/>
    </row>
    <row r="2249" spans="1:5" x14ac:dyDescent="0.25">
      <c r="A2249" s="83"/>
      <c r="B2249" s="84"/>
      <c r="C2249" s="84"/>
      <c r="D2249" s="116"/>
      <c r="E2249" s="116"/>
    </row>
    <row r="2250" spans="1:5" x14ac:dyDescent="0.25">
      <c r="A2250" s="83"/>
      <c r="B2250" s="84"/>
      <c r="C2250" s="84"/>
      <c r="D2250" s="116"/>
      <c r="E2250" s="116"/>
    </row>
    <row r="2251" spans="1:5" x14ac:dyDescent="0.25">
      <c r="A2251" s="83"/>
      <c r="B2251" s="84"/>
      <c r="C2251" s="84"/>
      <c r="D2251" s="116"/>
      <c r="E2251" s="116"/>
    </row>
    <row r="2252" spans="1:5" x14ac:dyDescent="0.25">
      <c r="A2252" s="83"/>
      <c r="B2252" s="84"/>
      <c r="C2252" s="84"/>
      <c r="D2252" s="116"/>
      <c r="E2252" s="116"/>
    </row>
    <row r="2253" spans="1:5" x14ac:dyDescent="0.25">
      <c r="A2253" s="83"/>
      <c r="B2253" s="84"/>
      <c r="C2253" s="84"/>
      <c r="D2253" s="116"/>
      <c r="E2253" s="116"/>
    </row>
    <row r="2254" spans="1:5" x14ac:dyDescent="0.25">
      <c r="A2254" s="83"/>
      <c r="B2254" s="84"/>
      <c r="C2254" s="84"/>
      <c r="D2254" s="116"/>
      <c r="E2254" s="116"/>
    </row>
    <row r="2255" spans="1:5" x14ac:dyDescent="0.25">
      <c r="A2255" s="83"/>
      <c r="B2255" s="84"/>
      <c r="C2255" s="84"/>
      <c r="D2255" s="116"/>
      <c r="E2255" s="116"/>
    </row>
    <row r="2256" spans="1:5" x14ac:dyDescent="0.25">
      <c r="A2256" s="83"/>
      <c r="B2256" s="84"/>
      <c r="C2256" s="84"/>
      <c r="D2256" s="116"/>
      <c r="E2256" s="116"/>
    </row>
    <row r="2257" spans="1:5" x14ac:dyDescent="0.25">
      <c r="A2257" s="83"/>
      <c r="B2257" s="84"/>
      <c r="C2257" s="84"/>
      <c r="D2257" s="116"/>
      <c r="E2257" s="116"/>
    </row>
    <row r="2258" spans="1:5" x14ac:dyDescent="0.25">
      <c r="A2258" s="83"/>
      <c r="B2258" s="84"/>
      <c r="C2258" s="84"/>
      <c r="D2258" s="116"/>
      <c r="E2258" s="116"/>
    </row>
    <row r="2259" spans="1:5" x14ac:dyDescent="0.25">
      <c r="A2259" s="83"/>
      <c r="B2259" s="84"/>
      <c r="C2259" s="84"/>
      <c r="D2259" s="116"/>
      <c r="E2259" s="116"/>
    </row>
    <row r="2260" spans="1:5" x14ac:dyDescent="0.25">
      <c r="A2260" s="83"/>
      <c r="B2260" s="84"/>
      <c r="C2260" s="84"/>
      <c r="D2260" s="116"/>
      <c r="E2260" s="116"/>
    </row>
    <row r="2261" spans="1:5" x14ac:dyDescent="0.25">
      <c r="A2261" s="83"/>
      <c r="B2261" s="84"/>
      <c r="C2261" s="84"/>
      <c r="D2261" s="116"/>
      <c r="E2261" s="116"/>
    </row>
    <row r="2262" spans="1:5" x14ac:dyDescent="0.25">
      <c r="A2262" s="83"/>
      <c r="B2262" s="84"/>
      <c r="C2262" s="84"/>
      <c r="D2262" s="116"/>
      <c r="E2262" s="116"/>
    </row>
    <row r="2263" spans="1:5" x14ac:dyDescent="0.25">
      <c r="A2263" s="83"/>
      <c r="B2263" s="84"/>
      <c r="C2263" s="84"/>
      <c r="D2263" s="116"/>
      <c r="E2263" s="116"/>
    </row>
    <row r="2264" spans="1:5" x14ac:dyDescent="0.25">
      <c r="A2264" s="83"/>
      <c r="B2264" s="84"/>
      <c r="C2264" s="84"/>
      <c r="D2264" s="116"/>
      <c r="E2264" s="116"/>
    </row>
    <row r="2265" spans="1:5" x14ac:dyDescent="0.25">
      <c r="A2265" s="83"/>
      <c r="B2265" s="84"/>
      <c r="C2265" s="84"/>
      <c r="D2265" s="116"/>
      <c r="E2265" s="116"/>
    </row>
    <row r="2266" spans="1:5" x14ac:dyDescent="0.25">
      <c r="A2266" s="83"/>
      <c r="B2266" s="84"/>
      <c r="C2266" s="84"/>
      <c r="D2266" s="116"/>
      <c r="E2266" s="116"/>
    </row>
    <row r="2267" spans="1:5" x14ac:dyDescent="0.25">
      <c r="A2267" s="83"/>
      <c r="B2267" s="84"/>
      <c r="C2267" s="84"/>
      <c r="D2267" s="116"/>
      <c r="E2267" s="116"/>
    </row>
    <row r="2268" spans="1:5" x14ac:dyDescent="0.25">
      <c r="A2268" s="83"/>
      <c r="B2268" s="84"/>
      <c r="C2268" s="84"/>
      <c r="D2268" s="116"/>
      <c r="E2268" s="116"/>
    </row>
    <row r="2269" spans="1:5" x14ac:dyDescent="0.25">
      <c r="A2269" s="83"/>
      <c r="B2269" s="84"/>
      <c r="C2269" s="84"/>
      <c r="D2269" s="116"/>
      <c r="E2269" s="116"/>
    </row>
    <row r="2270" spans="1:5" x14ac:dyDescent="0.25">
      <c r="A2270" s="83"/>
      <c r="B2270" s="84"/>
      <c r="C2270" s="84"/>
      <c r="D2270" s="116"/>
      <c r="E2270" s="116"/>
    </row>
    <row r="2271" spans="1:5" x14ac:dyDescent="0.25">
      <c r="A2271" s="83"/>
      <c r="B2271" s="84"/>
      <c r="C2271" s="84"/>
      <c r="D2271" s="116"/>
      <c r="E2271" s="116"/>
    </row>
    <row r="2272" spans="1:5" x14ac:dyDescent="0.25">
      <c r="A2272" s="83"/>
      <c r="B2272" s="84"/>
      <c r="C2272" s="84"/>
      <c r="D2272" s="116"/>
      <c r="E2272" s="116"/>
    </row>
    <row r="2273" spans="1:5" x14ac:dyDescent="0.25">
      <c r="A2273" s="83"/>
      <c r="B2273" s="84"/>
      <c r="C2273" s="84"/>
      <c r="D2273" s="116"/>
      <c r="E2273" s="116"/>
    </row>
    <row r="2274" spans="1:5" x14ac:dyDescent="0.25">
      <c r="A2274" s="83"/>
      <c r="B2274" s="84"/>
      <c r="C2274" s="84"/>
      <c r="D2274" s="116"/>
      <c r="E2274" s="116"/>
    </row>
    <row r="2275" spans="1:5" x14ac:dyDescent="0.25">
      <c r="A2275" s="83"/>
      <c r="B2275" s="84"/>
      <c r="C2275" s="84"/>
      <c r="D2275" s="116"/>
      <c r="E2275" s="116"/>
    </row>
    <row r="2276" spans="1:5" x14ac:dyDescent="0.25">
      <c r="A2276" s="83"/>
      <c r="B2276" s="84"/>
      <c r="C2276" s="84"/>
      <c r="D2276" s="116"/>
      <c r="E2276" s="116"/>
    </row>
    <row r="2277" spans="1:5" x14ac:dyDescent="0.25">
      <c r="A2277" s="83"/>
      <c r="B2277" s="84"/>
      <c r="C2277" s="84"/>
      <c r="D2277" s="116"/>
      <c r="E2277" s="116"/>
    </row>
    <row r="2278" spans="1:5" x14ac:dyDescent="0.25">
      <c r="A2278" s="83"/>
      <c r="B2278" s="84"/>
      <c r="C2278" s="84"/>
      <c r="D2278" s="116"/>
      <c r="E2278" s="116"/>
    </row>
    <row r="2279" spans="1:5" x14ac:dyDescent="0.25">
      <c r="A2279" s="83"/>
      <c r="B2279" s="84"/>
      <c r="C2279" s="84"/>
      <c r="D2279" s="116"/>
      <c r="E2279" s="116"/>
    </row>
    <row r="2280" spans="1:5" x14ac:dyDescent="0.25">
      <c r="A2280" s="83"/>
      <c r="B2280" s="84"/>
      <c r="C2280" s="84"/>
      <c r="D2280" s="116"/>
      <c r="E2280" s="116"/>
    </row>
    <row r="2281" spans="1:5" x14ac:dyDescent="0.25">
      <c r="A2281" s="83"/>
      <c r="B2281" s="84"/>
      <c r="C2281" s="84"/>
      <c r="D2281" s="116"/>
      <c r="E2281" s="116"/>
    </row>
    <row r="2282" spans="1:5" x14ac:dyDescent="0.25">
      <c r="A2282" s="83"/>
      <c r="B2282" s="84"/>
      <c r="C2282" s="84"/>
      <c r="D2282" s="116"/>
      <c r="E2282" s="116"/>
    </row>
    <row r="2283" spans="1:5" x14ac:dyDescent="0.25">
      <c r="A2283" s="83"/>
      <c r="B2283" s="84"/>
      <c r="C2283" s="84"/>
      <c r="D2283" s="116"/>
      <c r="E2283" s="116"/>
    </row>
    <row r="2284" spans="1:5" x14ac:dyDescent="0.25">
      <c r="A2284" s="83"/>
      <c r="B2284" s="84"/>
      <c r="C2284" s="84"/>
      <c r="D2284" s="116"/>
      <c r="E2284" s="116"/>
    </row>
    <row r="2285" spans="1:5" x14ac:dyDescent="0.25">
      <c r="A2285" s="83"/>
      <c r="B2285" s="84"/>
      <c r="C2285" s="84"/>
      <c r="D2285" s="116"/>
      <c r="E2285" s="116"/>
    </row>
    <row r="2286" spans="1:5" x14ac:dyDescent="0.25">
      <c r="A2286" s="83"/>
      <c r="B2286" s="84"/>
      <c r="C2286" s="84"/>
      <c r="D2286" s="116"/>
      <c r="E2286" s="116"/>
    </row>
    <row r="2287" spans="1:5" x14ac:dyDescent="0.25">
      <c r="A2287" s="83"/>
      <c r="B2287" s="84"/>
      <c r="C2287" s="84"/>
      <c r="D2287" s="116"/>
      <c r="E2287" s="116"/>
    </row>
    <row r="2288" spans="1:5" x14ac:dyDescent="0.25">
      <c r="A2288" s="83"/>
      <c r="B2288" s="84"/>
      <c r="C2288" s="84"/>
      <c r="D2288" s="116"/>
      <c r="E2288" s="116"/>
    </row>
    <row r="2289" spans="1:5" x14ac:dyDescent="0.25">
      <c r="A2289" s="83"/>
      <c r="B2289" s="84"/>
      <c r="C2289" s="84"/>
      <c r="D2289" s="116"/>
      <c r="E2289" s="116"/>
    </row>
    <row r="2290" spans="1:5" x14ac:dyDescent="0.25">
      <c r="A2290" s="83"/>
      <c r="B2290" s="84"/>
      <c r="C2290" s="84"/>
      <c r="D2290" s="116"/>
      <c r="E2290" s="116"/>
    </row>
    <row r="2291" spans="1:5" x14ac:dyDescent="0.25">
      <c r="A2291" s="83"/>
      <c r="B2291" s="84"/>
      <c r="C2291" s="84"/>
      <c r="D2291" s="116"/>
      <c r="E2291" s="116"/>
    </row>
    <row r="2292" spans="1:5" x14ac:dyDescent="0.25">
      <c r="A2292" s="83"/>
      <c r="B2292" s="84"/>
      <c r="C2292" s="84"/>
      <c r="D2292" s="116"/>
      <c r="E2292" s="116"/>
    </row>
    <row r="2293" spans="1:5" x14ac:dyDescent="0.25">
      <c r="A2293" s="83"/>
      <c r="B2293" s="84"/>
      <c r="C2293" s="84"/>
      <c r="D2293" s="116"/>
      <c r="E2293" s="116"/>
    </row>
    <row r="2294" spans="1:5" x14ac:dyDescent="0.25">
      <c r="A2294" s="83"/>
      <c r="B2294" s="84"/>
      <c r="C2294" s="84"/>
      <c r="D2294" s="116"/>
      <c r="E2294" s="116"/>
    </row>
    <row r="2295" spans="1:5" x14ac:dyDescent="0.25">
      <c r="A2295" s="83"/>
      <c r="B2295" s="84"/>
      <c r="C2295" s="84"/>
      <c r="D2295" s="116"/>
      <c r="E2295" s="116"/>
    </row>
    <row r="2296" spans="1:5" x14ac:dyDescent="0.25">
      <c r="A2296" s="83"/>
      <c r="B2296" s="84"/>
      <c r="C2296" s="84"/>
      <c r="D2296" s="116"/>
      <c r="E2296" s="116"/>
    </row>
    <row r="2297" spans="1:5" x14ac:dyDescent="0.25">
      <c r="A2297" s="83"/>
      <c r="B2297" s="84"/>
      <c r="C2297" s="84"/>
      <c r="D2297" s="116"/>
      <c r="E2297" s="116"/>
    </row>
    <row r="2298" spans="1:5" x14ac:dyDescent="0.25">
      <c r="A2298" s="83"/>
      <c r="B2298" s="84"/>
      <c r="C2298" s="84"/>
      <c r="D2298" s="116"/>
      <c r="E2298" s="116"/>
    </row>
    <row r="2299" spans="1:5" x14ac:dyDescent="0.25">
      <c r="A2299" s="83"/>
      <c r="B2299" s="84"/>
      <c r="C2299" s="84"/>
      <c r="D2299" s="116"/>
      <c r="E2299" s="116"/>
    </row>
    <row r="2300" spans="1:5" x14ac:dyDescent="0.25">
      <c r="A2300" s="83"/>
      <c r="B2300" s="84"/>
      <c r="C2300" s="84"/>
      <c r="D2300" s="116"/>
      <c r="E2300" s="116"/>
    </row>
    <row r="2301" spans="1:5" x14ac:dyDescent="0.25">
      <c r="A2301" s="83"/>
      <c r="B2301" s="84"/>
      <c r="C2301" s="84"/>
      <c r="D2301" s="116"/>
      <c r="E2301" s="116"/>
    </row>
    <row r="2302" spans="1:5" x14ac:dyDescent="0.25">
      <c r="A2302" s="83"/>
      <c r="B2302" s="84"/>
      <c r="C2302" s="84"/>
      <c r="D2302" s="116"/>
      <c r="E2302" s="116"/>
    </row>
    <row r="2303" spans="1:5" x14ac:dyDescent="0.25">
      <c r="A2303" s="83"/>
      <c r="B2303" s="84"/>
      <c r="C2303" s="84"/>
      <c r="D2303" s="116"/>
      <c r="E2303" s="116"/>
    </row>
    <row r="2304" spans="1:5" x14ac:dyDescent="0.25">
      <c r="A2304" s="83"/>
      <c r="B2304" s="84"/>
      <c r="C2304" s="84"/>
      <c r="D2304" s="116"/>
      <c r="E2304" s="116"/>
    </row>
    <row r="2305" spans="1:5" x14ac:dyDescent="0.25">
      <c r="A2305" s="83"/>
      <c r="B2305" s="84"/>
      <c r="C2305" s="84"/>
      <c r="D2305" s="116"/>
      <c r="E2305" s="116"/>
    </row>
    <row r="2306" spans="1:5" x14ac:dyDescent="0.25">
      <c r="A2306" s="83"/>
      <c r="B2306" s="84"/>
      <c r="C2306" s="84"/>
      <c r="D2306" s="116"/>
      <c r="E2306" s="116"/>
    </row>
    <row r="2307" spans="1:5" x14ac:dyDescent="0.25">
      <c r="A2307" s="83"/>
      <c r="B2307" s="84"/>
      <c r="C2307" s="84"/>
      <c r="D2307" s="116"/>
      <c r="E2307" s="116"/>
    </row>
    <row r="2308" spans="1:5" x14ac:dyDescent="0.25">
      <c r="A2308" s="83"/>
      <c r="B2308" s="84"/>
      <c r="C2308" s="84"/>
      <c r="D2308" s="116"/>
      <c r="E2308" s="116"/>
    </row>
    <row r="2309" spans="1:5" x14ac:dyDescent="0.25">
      <c r="A2309" s="83"/>
      <c r="B2309" s="84"/>
      <c r="C2309" s="84"/>
      <c r="D2309" s="116"/>
      <c r="E2309" s="116"/>
    </row>
    <row r="2310" spans="1:5" x14ac:dyDescent="0.25">
      <c r="A2310" s="83"/>
      <c r="B2310" s="84"/>
      <c r="C2310" s="84"/>
      <c r="D2310" s="116"/>
      <c r="E2310" s="116"/>
    </row>
    <row r="2311" spans="1:5" x14ac:dyDescent="0.25">
      <c r="A2311" s="83"/>
      <c r="B2311" s="84"/>
      <c r="C2311" s="84"/>
      <c r="D2311" s="116"/>
      <c r="E2311" s="116"/>
    </row>
    <row r="2312" spans="1:5" x14ac:dyDescent="0.25">
      <c r="A2312" s="83"/>
      <c r="B2312" s="84"/>
      <c r="C2312" s="84"/>
      <c r="D2312" s="116"/>
      <c r="E2312" s="116"/>
    </row>
    <row r="2313" spans="1:5" x14ac:dyDescent="0.25">
      <c r="A2313" s="83"/>
      <c r="B2313" s="84"/>
      <c r="C2313" s="84"/>
      <c r="D2313" s="116"/>
      <c r="E2313" s="116"/>
    </row>
    <row r="2314" spans="1:5" x14ac:dyDescent="0.25">
      <c r="A2314" s="83"/>
      <c r="B2314" s="84"/>
      <c r="C2314" s="84"/>
      <c r="D2314" s="116"/>
      <c r="E2314" s="116"/>
    </row>
    <row r="2315" spans="1:5" x14ac:dyDescent="0.25">
      <c r="A2315" s="83"/>
      <c r="B2315" s="84"/>
      <c r="C2315" s="84"/>
      <c r="D2315" s="116"/>
      <c r="E2315" s="116"/>
    </row>
    <row r="2316" spans="1:5" x14ac:dyDescent="0.25">
      <c r="A2316" s="83"/>
      <c r="B2316" s="84"/>
      <c r="C2316" s="84"/>
      <c r="D2316" s="116"/>
      <c r="E2316" s="116"/>
    </row>
    <row r="2317" spans="1:5" x14ac:dyDescent="0.25">
      <c r="A2317" s="83"/>
      <c r="B2317" s="84"/>
      <c r="C2317" s="84"/>
      <c r="D2317" s="116"/>
      <c r="E2317" s="116"/>
    </row>
    <row r="2318" spans="1:5" x14ac:dyDescent="0.25">
      <c r="A2318" s="83"/>
      <c r="B2318" s="84"/>
      <c r="C2318" s="84"/>
      <c r="D2318" s="116"/>
      <c r="E2318" s="116"/>
    </row>
    <row r="2319" spans="1:5" x14ac:dyDescent="0.25">
      <c r="A2319" s="83"/>
      <c r="B2319" s="84"/>
      <c r="C2319" s="84"/>
      <c r="D2319" s="116"/>
      <c r="E2319" s="116"/>
    </row>
    <row r="2320" spans="1:5" x14ac:dyDescent="0.25">
      <c r="A2320" s="83"/>
      <c r="B2320" s="84"/>
      <c r="C2320" s="84"/>
      <c r="D2320" s="116"/>
      <c r="E2320" s="116"/>
    </row>
    <row r="2321" spans="1:5" x14ac:dyDescent="0.25">
      <c r="A2321" s="83"/>
      <c r="B2321" s="84"/>
      <c r="C2321" s="84"/>
      <c r="D2321" s="116"/>
      <c r="E2321" s="116"/>
    </row>
    <row r="2322" spans="1:5" x14ac:dyDescent="0.25">
      <c r="A2322" s="83"/>
      <c r="B2322" s="84"/>
      <c r="C2322" s="84"/>
      <c r="D2322" s="116"/>
      <c r="E2322" s="116"/>
    </row>
    <row r="2323" spans="1:5" x14ac:dyDescent="0.25">
      <c r="A2323" s="83"/>
      <c r="B2323" s="84"/>
      <c r="C2323" s="84"/>
      <c r="D2323" s="116"/>
      <c r="E2323" s="116"/>
    </row>
    <row r="2324" spans="1:5" x14ac:dyDescent="0.25">
      <c r="A2324" s="83"/>
      <c r="B2324" s="84"/>
      <c r="C2324" s="84"/>
      <c r="D2324" s="116"/>
      <c r="E2324" s="116"/>
    </row>
    <row r="2325" spans="1:5" x14ac:dyDescent="0.25">
      <c r="A2325" s="83"/>
      <c r="B2325" s="84"/>
      <c r="C2325" s="84"/>
      <c r="D2325" s="116"/>
      <c r="E2325" s="116"/>
    </row>
    <row r="2326" spans="1:5" x14ac:dyDescent="0.25">
      <c r="A2326" s="83"/>
      <c r="B2326" s="84"/>
      <c r="C2326" s="84"/>
      <c r="D2326" s="116"/>
      <c r="E2326" s="116"/>
    </row>
    <row r="2327" spans="1:5" x14ac:dyDescent="0.25">
      <c r="A2327" s="83"/>
      <c r="B2327" s="84"/>
      <c r="C2327" s="84"/>
      <c r="D2327" s="116"/>
      <c r="E2327" s="116"/>
    </row>
    <row r="2328" spans="1:5" x14ac:dyDescent="0.25">
      <c r="A2328" s="83"/>
      <c r="B2328" s="84"/>
      <c r="C2328" s="84"/>
      <c r="D2328" s="116"/>
      <c r="E2328" s="116"/>
    </row>
    <row r="2329" spans="1:5" x14ac:dyDescent="0.25">
      <c r="A2329" s="83"/>
      <c r="B2329" s="84"/>
      <c r="C2329" s="84"/>
      <c r="D2329" s="116"/>
      <c r="E2329" s="116"/>
    </row>
    <row r="2330" spans="1:5" x14ac:dyDescent="0.25">
      <c r="A2330" s="83"/>
      <c r="B2330" s="84"/>
      <c r="C2330" s="84"/>
      <c r="D2330" s="116"/>
      <c r="E2330" s="116"/>
    </row>
    <row r="2331" spans="1:5" x14ac:dyDescent="0.25">
      <c r="A2331" s="83"/>
      <c r="B2331" s="84"/>
      <c r="C2331" s="84"/>
      <c r="D2331" s="116"/>
      <c r="E2331" s="116"/>
    </row>
    <row r="2332" spans="1:5" x14ac:dyDescent="0.25">
      <c r="A2332" s="83"/>
      <c r="B2332" s="84"/>
      <c r="C2332" s="84"/>
      <c r="D2332" s="116"/>
      <c r="E2332" s="116"/>
    </row>
    <row r="2333" spans="1:5" x14ac:dyDescent="0.25">
      <c r="A2333" s="83"/>
      <c r="B2333" s="84"/>
      <c r="C2333" s="84"/>
      <c r="D2333" s="116"/>
      <c r="E2333" s="116"/>
    </row>
    <row r="2334" spans="1:5" x14ac:dyDescent="0.25">
      <c r="A2334" s="83"/>
      <c r="B2334" s="84"/>
      <c r="C2334" s="84"/>
      <c r="D2334" s="116"/>
      <c r="E2334" s="116"/>
    </row>
    <row r="2335" spans="1:5" x14ac:dyDescent="0.25">
      <c r="A2335" s="83"/>
      <c r="B2335" s="84"/>
      <c r="C2335" s="84"/>
      <c r="D2335" s="116"/>
      <c r="E2335" s="116"/>
    </row>
    <row r="2336" spans="1:5" x14ac:dyDescent="0.25">
      <c r="A2336" s="83"/>
      <c r="B2336" s="84"/>
      <c r="C2336" s="84"/>
      <c r="D2336" s="116"/>
      <c r="E2336" s="116"/>
    </row>
    <row r="2337" spans="1:5" x14ac:dyDescent="0.25">
      <c r="A2337" s="83"/>
      <c r="B2337" s="84"/>
      <c r="C2337" s="84"/>
      <c r="D2337" s="116"/>
      <c r="E2337" s="116"/>
    </row>
    <row r="2338" spans="1:5" x14ac:dyDescent="0.25">
      <c r="A2338" s="83"/>
      <c r="B2338" s="84"/>
      <c r="C2338" s="84"/>
      <c r="D2338" s="116"/>
      <c r="E2338" s="116"/>
    </row>
    <row r="2339" spans="1:5" x14ac:dyDescent="0.25">
      <c r="A2339" s="83"/>
      <c r="B2339" s="84"/>
      <c r="C2339" s="84"/>
      <c r="D2339" s="116"/>
      <c r="E2339" s="116"/>
    </row>
    <row r="2340" spans="1:5" x14ac:dyDescent="0.25">
      <c r="A2340" s="83"/>
      <c r="B2340" s="84"/>
      <c r="C2340" s="84"/>
      <c r="D2340" s="116"/>
      <c r="E2340" s="116"/>
    </row>
    <row r="2341" spans="1:5" x14ac:dyDescent="0.25">
      <c r="A2341" s="83"/>
      <c r="B2341" s="84"/>
      <c r="C2341" s="84"/>
      <c r="D2341" s="116"/>
      <c r="E2341" s="116"/>
    </row>
    <row r="2342" spans="1:5" x14ac:dyDescent="0.25">
      <c r="A2342" s="83"/>
      <c r="B2342" s="84"/>
      <c r="C2342" s="84"/>
      <c r="D2342" s="116"/>
      <c r="E2342" s="116"/>
    </row>
    <row r="2343" spans="1:5" x14ac:dyDescent="0.25">
      <c r="A2343" s="83"/>
      <c r="B2343" s="84"/>
      <c r="C2343" s="84"/>
      <c r="D2343" s="116"/>
      <c r="E2343" s="116"/>
    </row>
    <row r="2344" spans="1:5" x14ac:dyDescent="0.25">
      <c r="A2344" s="83"/>
      <c r="B2344" s="84"/>
      <c r="C2344" s="84"/>
      <c r="D2344" s="116"/>
      <c r="E2344" s="116"/>
    </row>
    <row r="2345" spans="1:5" x14ac:dyDescent="0.25">
      <c r="A2345" s="83"/>
      <c r="B2345" s="84"/>
      <c r="C2345" s="84"/>
      <c r="D2345" s="116"/>
      <c r="E2345" s="116"/>
    </row>
    <row r="2346" spans="1:5" x14ac:dyDescent="0.25">
      <c r="A2346" s="83"/>
      <c r="B2346" s="84"/>
      <c r="C2346" s="84"/>
      <c r="D2346" s="116"/>
      <c r="E2346" s="116"/>
    </row>
    <row r="2347" spans="1:5" x14ac:dyDescent="0.25">
      <c r="A2347" s="83"/>
      <c r="B2347" s="84"/>
      <c r="C2347" s="84"/>
      <c r="D2347" s="116"/>
      <c r="E2347" s="116"/>
    </row>
    <row r="2348" spans="1:5" x14ac:dyDescent="0.25">
      <c r="A2348" s="83"/>
      <c r="B2348" s="84"/>
      <c r="C2348" s="84"/>
      <c r="D2348" s="116"/>
      <c r="E2348" s="116"/>
    </row>
    <row r="2349" spans="1:5" x14ac:dyDescent="0.25">
      <c r="A2349" s="83"/>
      <c r="B2349" s="84"/>
      <c r="C2349" s="84"/>
      <c r="D2349" s="116"/>
      <c r="E2349" s="116"/>
    </row>
    <row r="2350" spans="1:5" x14ac:dyDescent="0.25">
      <c r="A2350" s="83"/>
      <c r="B2350" s="84"/>
      <c r="C2350" s="84"/>
      <c r="D2350" s="116"/>
      <c r="E2350" s="116"/>
    </row>
    <row r="2351" spans="1:5" x14ac:dyDescent="0.25">
      <c r="A2351" s="83"/>
      <c r="B2351" s="84"/>
      <c r="C2351" s="84"/>
      <c r="D2351" s="116"/>
      <c r="E2351" s="116"/>
    </row>
    <row r="2352" spans="1:5" x14ac:dyDescent="0.25">
      <c r="A2352" s="83"/>
      <c r="B2352" s="84"/>
      <c r="C2352" s="84"/>
      <c r="D2352" s="116"/>
      <c r="E2352" s="116"/>
    </row>
    <row r="2353" spans="1:5" x14ac:dyDescent="0.25">
      <c r="A2353" s="83"/>
      <c r="B2353" s="84"/>
      <c r="C2353" s="84"/>
      <c r="D2353" s="116"/>
      <c r="E2353" s="116"/>
    </row>
    <row r="2354" spans="1:5" x14ac:dyDescent="0.25">
      <c r="A2354" s="83"/>
      <c r="B2354" s="84"/>
      <c r="C2354" s="84"/>
      <c r="D2354" s="116"/>
      <c r="E2354" s="116"/>
    </row>
    <row r="2355" spans="1:5" x14ac:dyDescent="0.25">
      <c r="A2355" s="83"/>
      <c r="B2355" s="84"/>
      <c r="C2355" s="84"/>
      <c r="D2355" s="116"/>
      <c r="E2355" s="116"/>
    </row>
    <row r="2356" spans="1:5" x14ac:dyDescent="0.25">
      <c r="A2356" s="83"/>
      <c r="B2356" s="84"/>
      <c r="C2356" s="84"/>
      <c r="D2356" s="116"/>
      <c r="E2356" s="116"/>
    </row>
    <row r="2357" spans="1:5" x14ac:dyDescent="0.25">
      <c r="A2357" s="83"/>
      <c r="B2357" s="84"/>
      <c r="C2357" s="84"/>
      <c r="D2357" s="116"/>
      <c r="E2357" s="116"/>
    </row>
    <row r="2358" spans="1:5" x14ac:dyDescent="0.25">
      <c r="A2358" s="83"/>
      <c r="B2358" s="84"/>
      <c r="C2358" s="84"/>
      <c r="D2358" s="116"/>
      <c r="E2358" s="116"/>
    </row>
    <row r="2359" spans="1:5" x14ac:dyDescent="0.25">
      <c r="A2359" s="83"/>
      <c r="B2359" s="84"/>
      <c r="C2359" s="84"/>
      <c r="D2359" s="116"/>
      <c r="E2359" s="116"/>
    </row>
    <row r="2360" spans="1:5" x14ac:dyDescent="0.25">
      <c r="A2360" s="83"/>
      <c r="B2360" s="84"/>
      <c r="C2360" s="84"/>
      <c r="D2360" s="116"/>
      <c r="E2360" s="116"/>
    </row>
    <row r="2361" spans="1:5" x14ac:dyDescent="0.25">
      <c r="A2361" s="83"/>
      <c r="B2361" s="84"/>
      <c r="C2361" s="84"/>
      <c r="D2361" s="116"/>
      <c r="E2361" s="116"/>
    </row>
    <row r="2362" spans="1:5" x14ac:dyDescent="0.25">
      <c r="A2362" s="83"/>
      <c r="B2362" s="84"/>
      <c r="C2362" s="84"/>
      <c r="D2362" s="116"/>
      <c r="E2362" s="116"/>
    </row>
    <row r="2363" spans="1:5" x14ac:dyDescent="0.25">
      <c r="A2363" s="83"/>
      <c r="B2363" s="84"/>
      <c r="C2363" s="84"/>
      <c r="D2363" s="116"/>
      <c r="E2363" s="116"/>
    </row>
    <row r="2364" spans="1:5" x14ac:dyDescent="0.25">
      <c r="A2364" s="83"/>
      <c r="B2364" s="84"/>
      <c r="C2364" s="84"/>
      <c r="D2364" s="116"/>
      <c r="E2364" s="116"/>
    </row>
    <row r="2365" spans="1:5" x14ac:dyDescent="0.25">
      <c r="A2365" s="83"/>
      <c r="B2365" s="84"/>
      <c r="C2365" s="84"/>
      <c r="D2365" s="116"/>
      <c r="E2365" s="116"/>
    </row>
    <row r="2366" spans="1:5" x14ac:dyDescent="0.25">
      <c r="A2366" s="83"/>
      <c r="B2366" s="84"/>
      <c r="C2366" s="84"/>
      <c r="D2366" s="116"/>
      <c r="E2366" s="116"/>
    </row>
    <row r="2367" spans="1:5" x14ac:dyDescent="0.25">
      <c r="A2367" s="83"/>
      <c r="B2367" s="84"/>
      <c r="C2367" s="84"/>
      <c r="D2367" s="116"/>
      <c r="E2367" s="116"/>
    </row>
    <row r="2368" spans="1:5" x14ac:dyDescent="0.25">
      <c r="A2368" s="83"/>
      <c r="B2368" s="84"/>
      <c r="C2368" s="84"/>
      <c r="D2368" s="116"/>
      <c r="E2368" s="116"/>
    </row>
    <row r="2369" spans="1:5" x14ac:dyDescent="0.25">
      <c r="A2369" s="83"/>
      <c r="B2369" s="84"/>
      <c r="C2369" s="84"/>
      <c r="D2369" s="116"/>
      <c r="E2369" s="116"/>
    </row>
    <row r="2370" spans="1:5" x14ac:dyDescent="0.25">
      <c r="A2370" s="83"/>
      <c r="B2370" s="84"/>
      <c r="C2370" s="84"/>
      <c r="D2370" s="116"/>
      <c r="E2370" s="116"/>
    </row>
    <row r="2371" spans="1:5" x14ac:dyDescent="0.25">
      <c r="A2371" s="83"/>
      <c r="B2371" s="84"/>
      <c r="C2371" s="84"/>
      <c r="D2371" s="116"/>
      <c r="E2371" s="116"/>
    </row>
    <row r="2372" spans="1:5" x14ac:dyDescent="0.25">
      <c r="A2372" s="83"/>
      <c r="B2372" s="84"/>
      <c r="C2372" s="84"/>
      <c r="D2372" s="116"/>
      <c r="E2372" s="116"/>
    </row>
    <row r="2373" spans="1:5" x14ac:dyDescent="0.25">
      <c r="A2373" s="83"/>
      <c r="B2373" s="84"/>
      <c r="C2373" s="84"/>
      <c r="D2373" s="116"/>
      <c r="E2373" s="116"/>
    </row>
    <row r="2374" spans="1:5" x14ac:dyDescent="0.25">
      <c r="A2374" s="83"/>
      <c r="B2374" s="84"/>
      <c r="C2374" s="84"/>
      <c r="D2374" s="116"/>
      <c r="E2374" s="116"/>
    </row>
    <row r="2375" spans="1:5" x14ac:dyDescent="0.25">
      <c r="A2375" s="83"/>
      <c r="B2375" s="84"/>
      <c r="C2375" s="84"/>
      <c r="D2375" s="116"/>
      <c r="E2375" s="116"/>
    </row>
    <row r="2376" spans="1:5" x14ac:dyDescent="0.25">
      <c r="A2376" s="83"/>
      <c r="B2376" s="84"/>
      <c r="C2376" s="84"/>
      <c r="D2376" s="116"/>
      <c r="E2376" s="116"/>
    </row>
    <row r="2377" spans="1:5" x14ac:dyDescent="0.25">
      <c r="A2377" s="83"/>
      <c r="B2377" s="84"/>
      <c r="C2377" s="84"/>
      <c r="D2377" s="116"/>
      <c r="E2377" s="116"/>
    </row>
    <row r="2378" spans="1:5" x14ac:dyDescent="0.25">
      <c r="A2378" s="83"/>
      <c r="B2378" s="84"/>
      <c r="C2378" s="84"/>
      <c r="D2378" s="116"/>
      <c r="E2378" s="116"/>
    </row>
    <row r="2379" spans="1:5" x14ac:dyDescent="0.25">
      <c r="A2379" s="83"/>
      <c r="B2379" s="84"/>
      <c r="C2379" s="84"/>
      <c r="D2379" s="116"/>
      <c r="E2379" s="116"/>
    </row>
    <row r="2380" spans="1:5" x14ac:dyDescent="0.25">
      <c r="A2380" s="83"/>
      <c r="B2380" s="84"/>
      <c r="C2380" s="84"/>
      <c r="D2380" s="116"/>
      <c r="E2380" s="116"/>
    </row>
    <row r="2381" spans="1:5" x14ac:dyDescent="0.25">
      <c r="A2381" s="83"/>
      <c r="B2381" s="84"/>
      <c r="C2381" s="84"/>
      <c r="D2381" s="116"/>
      <c r="E2381" s="116"/>
    </row>
    <row r="2382" spans="1:5" x14ac:dyDescent="0.25">
      <c r="A2382" s="83"/>
      <c r="B2382" s="84"/>
      <c r="C2382" s="84"/>
      <c r="D2382" s="116"/>
      <c r="E2382" s="116"/>
    </row>
    <row r="2383" spans="1:5" x14ac:dyDescent="0.25">
      <c r="A2383" s="83"/>
      <c r="B2383" s="84"/>
      <c r="C2383" s="84"/>
      <c r="D2383" s="116"/>
      <c r="E2383" s="116"/>
    </row>
    <row r="2384" spans="1:5" x14ac:dyDescent="0.25">
      <c r="A2384" s="83"/>
      <c r="B2384" s="84"/>
      <c r="C2384" s="84"/>
      <c r="D2384" s="116"/>
      <c r="E2384" s="116"/>
    </row>
    <row r="2385" spans="1:5" x14ac:dyDescent="0.25">
      <c r="A2385" s="83"/>
      <c r="B2385" s="84"/>
      <c r="C2385" s="84"/>
      <c r="D2385" s="116"/>
      <c r="E2385" s="116"/>
    </row>
    <row r="2386" spans="1:5" x14ac:dyDescent="0.25">
      <c r="A2386" s="83"/>
      <c r="B2386" s="84"/>
      <c r="C2386" s="84"/>
      <c r="D2386" s="116"/>
      <c r="E2386" s="116"/>
    </row>
    <row r="2387" spans="1:5" x14ac:dyDescent="0.25">
      <c r="A2387" s="83"/>
      <c r="B2387" s="84"/>
      <c r="C2387" s="84"/>
      <c r="D2387" s="116"/>
      <c r="E2387" s="116"/>
    </row>
    <row r="2388" spans="1:5" x14ac:dyDescent="0.25">
      <c r="A2388" s="83"/>
      <c r="B2388" s="84"/>
      <c r="C2388" s="84"/>
      <c r="D2388" s="116"/>
      <c r="E2388" s="116"/>
    </row>
    <row r="2389" spans="1:5" x14ac:dyDescent="0.25">
      <c r="A2389" s="83"/>
      <c r="B2389" s="84"/>
      <c r="C2389" s="84"/>
      <c r="D2389" s="116"/>
      <c r="E2389" s="116"/>
    </row>
    <row r="2390" spans="1:5" x14ac:dyDescent="0.25">
      <c r="A2390" s="83"/>
      <c r="B2390" s="84"/>
      <c r="C2390" s="84"/>
      <c r="D2390" s="116"/>
      <c r="E2390" s="116"/>
    </row>
    <row r="2391" spans="1:5" x14ac:dyDescent="0.25">
      <c r="A2391" s="83"/>
      <c r="B2391" s="84"/>
      <c r="C2391" s="84"/>
      <c r="D2391" s="116"/>
      <c r="E2391" s="116"/>
    </row>
    <row r="2392" spans="1:5" x14ac:dyDescent="0.25">
      <c r="A2392" s="83"/>
      <c r="B2392" s="84"/>
      <c r="C2392" s="84"/>
      <c r="D2392" s="116"/>
      <c r="E2392" s="116"/>
    </row>
    <row r="2393" spans="1:5" x14ac:dyDescent="0.25">
      <c r="A2393" s="83"/>
      <c r="B2393" s="84"/>
      <c r="C2393" s="84"/>
      <c r="D2393" s="116"/>
      <c r="E2393" s="116"/>
    </row>
    <row r="2394" spans="1:5" x14ac:dyDescent="0.25">
      <c r="A2394" s="83"/>
      <c r="B2394" s="84"/>
      <c r="C2394" s="84"/>
      <c r="D2394" s="116"/>
      <c r="E2394" s="116"/>
    </row>
    <row r="2395" spans="1:5" x14ac:dyDescent="0.25">
      <c r="A2395" s="83"/>
      <c r="B2395" s="84"/>
      <c r="C2395" s="84"/>
      <c r="D2395" s="116"/>
      <c r="E2395" s="116"/>
    </row>
    <row r="2396" spans="1:5" x14ac:dyDescent="0.25">
      <c r="A2396" s="83"/>
      <c r="B2396" s="84"/>
      <c r="C2396" s="84"/>
      <c r="D2396" s="116"/>
      <c r="E2396" s="116"/>
    </row>
    <row r="2397" spans="1:5" x14ac:dyDescent="0.25">
      <c r="A2397" s="83"/>
      <c r="B2397" s="84"/>
      <c r="C2397" s="84"/>
      <c r="D2397" s="116"/>
      <c r="E2397" s="116"/>
    </row>
    <row r="2398" spans="1:5" x14ac:dyDescent="0.25">
      <c r="A2398" s="83"/>
      <c r="B2398" s="84"/>
      <c r="C2398" s="84"/>
      <c r="D2398" s="116"/>
      <c r="E2398" s="116"/>
    </row>
    <row r="2399" spans="1:5" x14ac:dyDescent="0.25">
      <c r="A2399" s="83"/>
      <c r="B2399" s="84"/>
      <c r="C2399" s="84"/>
      <c r="D2399" s="116"/>
      <c r="E2399" s="116"/>
    </row>
    <row r="2400" spans="1:5" x14ac:dyDescent="0.25">
      <c r="A2400" s="83"/>
      <c r="B2400" s="84"/>
      <c r="C2400" s="84"/>
      <c r="D2400" s="116"/>
      <c r="E2400" s="116"/>
    </row>
    <row r="2401" spans="1:5" x14ac:dyDescent="0.25">
      <c r="A2401" s="83"/>
      <c r="B2401" s="84"/>
      <c r="C2401" s="84"/>
      <c r="D2401" s="116"/>
      <c r="E2401" s="116"/>
    </row>
    <row r="2402" spans="1:5" x14ac:dyDescent="0.25">
      <c r="A2402" s="83"/>
      <c r="B2402" s="84"/>
      <c r="C2402" s="84"/>
      <c r="D2402" s="116"/>
      <c r="E2402" s="116"/>
    </row>
    <row r="2403" spans="1:5" x14ac:dyDescent="0.25">
      <c r="A2403" s="83"/>
      <c r="B2403" s="84"/>
      <c r="C2403" s="84"/>
      <c r="D2403" s="116"/>
      <c r="E2403" s="116"/>
    </row>
    <row r="2404" spans="1:5" x14ac:dyDescent="0.25">
      <c r="A2404" s="83"/>
      <c r="B2404" s="84"/>
      <c r="C2404" s="84"/>
      <c r="D2404" s="116"/>
      <c r="E2404" s="116"/>
    </row>
    <row r="2405" spans="1:5" x14ac:dyDescent="0.25">
      <c r="A2405" s="83"/>
      <c r="B2405" s="84"/>
      <c r="C2405" s="84"/>
      <c r="D2405" s="116"/>
      <c r="E2405" s="116"/>
    </row>
    <row r="2406" spans="1:5" x14ac:dyDescent="0.25">
      <c r="A2406" s="83"/>
      <c r="B2406" s="84"/>
      <c r="C2406" s="84"/>
      <c r="D2406" s="116"/>
      <c r="E2406" s="116"/>
    </row>
    <row r="2407" spans="1:5" x14ac:dyDescent="0.25">
      <c r="A2407" s="83"/>
      <c r="B2407" s="84"/>
      <c r="C2407" s="84"/>
      <c r="D2407" s="116"/>
      <c r="E2407" s="116"/>
    </row>
    <row r="2408" spans="1:5" x14ac:dyDescent="0.25">
      <c r="A2408" s="83"/>
      <c r="B2408" s="84"/>
      <c r="C2408" s="84"/>
      <c r="D2408" s="116"/>
      <c r="E2408" s="116"/>
    </row>
    <row r="2409" spans="1:5" x14ac:dyDescent="0.25">
      <c r="A2409" s="83"/>
      <c r="B2409" s="84"/>
      <c r="C2409" s="84"/>
      <c r="D2409" s="116"/>
      <c r="E2409" s="116"/>
    </row>
    <row r="2410" spans="1:5" x14ac:dyDescent="0.25">
      <c r="A2410" s="83"/>
      <c r="B2410" s="84"/>
      <c r="C2410" s="84"/>
      <c r="D2410" s="116"/>
      <c r="E2410" s="116"/>
    </row>
    <row r="2411" spans="1:5" x14ac:dyDescent="0.25">
      <c r="A2411" s="83"/>
      <c r="B2411" s="84"/>
      <c r="C2411" s="84"/>
      <c r="D2411" s="116"/>
      <c r="E2411" s="116"/>
    </row>
    <row r="2412" spans="1:5" x14ac:dyDescent="0.25">
      <c r="A2412" s="83"/>
      <c r="B2412" s="84"/>
      <c r="C2412" s="84"/>
      <c r="D2412" s="116"/>
      <c r="E2412" s="116"/>
    </row>
    <row r="2413" spans="1:5" x14ac:dyDescent="0.25">
      <c r="A2413" s="83"/>
      <c r="B2413" s="84"/>
      <c r="C2413" s="84"/>
      <c r="D2413" s="116"/>
      <c r="E2413" s="116"/>
    </row>
    <row r="2414" spans="1:5" x14ac:dyDescent="0.25">
      <c r="A2414" s="83"/>
      <c r="B2414" s="84"/>
      <c r="C2414" s="84"/>
      <c r="D2414" s="116"/>
      <c r="E2414" s="116"/>
    </row>
    <row r="2415" spans="1:5" x14ac:dyDescent="0.25">
      <c r="A2415" s="83"/>
      <c r="B2415" s="84"/>
      <c r="C2415" s="84"/>
      <c r="D2415" s="116"/>
      <c r="E2415" s="116"/>
    </row>
    <row r="2416" spans="1:5" x14ac:dyDescent="0.25">
      <c r="A2416" s="83"/>
      <c r="B2416" s="84"/>
      <c r="C2416" s="84"/>
      <c r="D2416" s="116"/>
      <c r="E2416" s="116"/>
    </row>
    <row r="2417" spans="1:5" x14ac:dyDescent="0.25">
      <c r="A2417" s="83"/>
      <c r="B2417" s="84"/>
      <c r="C2417" s="84"/>
      <c r="D2417" s="116"/>
      <c r="E2417" s="116"/>
    </row>
    <row r="2418" spans="1:5" x14ac:dyDescent="0.25">
      <c r="A2418" s="83"/>
      <c r="B2418" s="84"/>
      <c r="C2418" s="84"/>
      <c r="D2418" s="116"/>
      <c r="E2418" s="116"/>
    </row>
    <row r="2419" spans="1:5" x14ac:dyDescent="0.25">
      <c r="A2419" s="83"/>
      <c r="B2419" s="84"/>
      <c r="C2419" s="84"/>
      <c r="D2419" s="116"/>
      <c r="E2419" s="116"/>
    </row>
    <row r="2420" spans="1:5" x14ac:dyDescent="0.25">
      <c r="A2420" s="83"/>
      <c r="B2420" s="84"/>
      <c r="C2420" s="84"/>
      <c r="D2420" s="116"/>
      <c r="E2420" s="116"/>
    </row>
    <row r="2421" spans="1:5" x14ac:dyDescent="0.25">
      <c r="A2421" s="83"/>
      <c r="B2421" s="84"/>
      <c r="C2421" s="84"/>
      <c r="D2421" s="116"/>
      <c r="E2421" s="116"/>
    </row>
    <row r="2422" spans="1:5" x14ac:dyDescent="0.25">
      <c r="A2422" s="83"/>
      <c r="B2422" s="84"/>
      <c r="C2422" s="84"/>
      <c r="D2422" s="116"/>
      <c r="E2422" s="116"/>
    </row>
    <row r="2423" spans="1:5" x14ac:dyDescent="0.25">
      <c r="A2423" s="83"/>
      <c r="B2423" s="84"/>
      <c r="C2423" s="84"/>
      <c r="D2423" s="116"/>
      <c r="E2423" s="116"/>
    </row>
    <row r="2424" spans="1:5" x14ac:dyDescent="0.25">
      <c r="A2424" s="83"/>
      <c r="B2424" s="84"/>
      <c r="C2424" s="84"/>
      <c r="D2424" s="116"/>
      <c r="E2424" s="116"/>
    </row>
    <row r="2425" spans="1:5" x14ac:dyDescent="0.25">
      <c r="A2425" s="83"/>
      <c r="B2425" s="84"/>
      <c r="C2425" s="84"/>
      <c r="D2425" s="116"/>
      <c r="E2425" s="116"/>
    </row>
    <row r="2426" spans="1:5" x14ac:dyDescent="0.25">
      <c r="A2426" s="83"/>
      <c r="B2426" s="84"/>
      <c r="C2426" s="84"/>
      <c r="D2426" s="116"/>
      <c r="E2426" s="116"/>
    </row>
    <row r="2427" spans="1:5" x14ac:dyDescent="0.25">
      <c r="A2427" s="83"/>
      <c r="B2427" s="84"/>
      <c r="C2427" s="84"/>
      <c r="D2427" s="116"/>
      <c r="E2427" s="116"/>
    </row>
    <row r="2428" spans="1:5" x14ac:dyDescent="0.25">
      <c r="A2428" s="83"/>
      <c r="B2428" s="84"/>
      <c r="C2428" s="84"/>
      <c r="D2428" s="116"/>
      <c r="E2428" s="116"/>
    </row>
    <row r="2429" spans="1:5" x14ac:dyDescent="0.25">
      <c r="A2429" s="83"/>
      <c r="B2429" s="84"/>
      <c r="C2429" s="84"/>
      <c r="D2429" s="116"/>
      <c r="E2429" s="116"/>
    </row>
    <row r="2430" spans="1:5" x14ac:dyDescent="0.25">
      <c r="A2430" s="83"/>
      <c r="B2430" s="84"/>
      <c r="C2430" s="84"/>
      <c r="D2430" s="116"/>
      <c r="E2430" s="116"/>
    </row>
    <row r="2431" spans="1:5" x14ac:dyDescent="0.25">
      <c r="A2431" s="83"/>
      <c r="B2431" s="84"/>
      <c r="C2431" s="84"/>
      <c r="D2431" s="116"/>
      <c r="E2431" s="116"/>
    </row>
    <row r="2432" spans="1:5" x14ac:dyDescent="0.25">
      <c r="A2432" s="83"/>
      <c r="B2432" s="84"/>
      <c r="C2432" s="84"/>
      <c r="D2432" s="116"/>
      <c r="E2432" s="116"/>
    </row>
    <row r="2433" spans="1:5" x14ac:dyDescent="0.25">
      <c r="A2433" s="83"/>
      <c r="B2433" s="84"/>
      <c r="C2433" s="84"/>
      <c r="D2433" s="116"/>
      <c r="E2433" s="116"/>
    </row>
    <row r="2434" spans="1:5" x14ac:dyDescent="0.25">
      <c r="A2434" s="83"/>
      <c r="B2434" s="84"/>
      <c r="C2434" s="84"/>
      <c r="D2434" s="116"/>
      <c r="E2434" s="116"/>
    </row>
    <row r="2435" spans="1:5" x14ac:dyDescent="0.25">
      <c r="A2435" s="83"/>
      <c r="B2435" s="84"/>
      <c r="C2435" s="84"/>
      <c r="D2435" s="116"/>
      <c r="E2435" s="116"/>
    </row>
    <row r="2436" spans="1:5" x14ac:dyDescent="0.25">
      <c r="A2436" s="83"/>
      <c r="B2436" s="84"/>
      <c r="C2436" s="84"/>
      <c r="D2436" s="116"/>
      <c r="E2436" s="116"/>
    </row>
    <row r="2437" spans="1:5" x14ac:dyDescent="0.25">
      <c r="A2437" s="83"/>
      <c r="B2437" s="84"/>
      <c r="C2437" s="84"/>
      <c r="D2437" s="116"/>
      <c r="E2437" s="116"/>
    </row>
    <row r="2438" spans="1:5" x14ac:dyDescent="0.25">
      <c r="A2438" s="83"/>
      <c r="B2438" s="84"/>
      <c r="C2438" s="84"/>
      <c r="D2438" s="116"/>
      <c r="E2438" s="116"/>
    </row>
    <row r="2439" spans="1:5" x14ac:dyDescent="0.25">
      <c r="A2439" s="83"/>
      <c r="B2439" s="84"/>
      <c r="C2439" s="84"/>
      <c r="D2439" s="116"/>
      <c r="E2439" s="116"/>
    </row>
    <row r="2440" spans="1:5" x14ac:dyDescent="0.25">
      <c r="A2440" s="83"/>
      <c r="B2440" s="84"/>
      <c r="C2440" s="84"/>
      <c r="D2440" s="116"/>
      <c r="E2440" s="116"/>
    </row>
    <row r="2441" spans="1:5" x14ac:dyDescent="0.25">
      <c r="A2441" s="83"/>
      <c r="B2441" s="84"/>
      <c r="C2441" s="84"/>
      <c r="D2441" s="116"/>
      <c r="E2441" s="116"/>
    </row>
    <row r="2442" spans="1:5" x14ac:dyDescent="0.25">
      <c r="A2442" s="83"/>
      <c r="B2442" s="84"/>
      <c r="C2442" s="84"/>
      <c r="D2442" s="116"/>
      <c r="E2442" s="116"/>
    </row>
    <row r="2443" spans="1:5" x14ac:dyDescent="0.25">
      <c r="A2443" s="83"/>
      <c r="B2443" s="84"/>
      <c r="C2443" s="84"/>
      <c r="D2443" s="116"/>
      <c r="E2443" s="116"/>
    </row>
    <row r="2444" spans="1:5" x14ac:dyDescent="0.25">
      <c r="A2444" s="83"/>
      <c r="B2444" s="84"/>
      <c r="C2444" s="84"/>
      <c r="D2444" s="116"/>
      <c r="E2444" s="116"/>
    </row>
    <row r="2445" spans="1:5" x14ac:dyDescent="0.25">
      <c r="A2445" s="83"/>
      <c r="B2445" s="84"/>
      <c r="C2445" s="84"/>
      <c r="D2445" s="116"/>
      <c r="E2445" s="116"/>
    </row>
    <row r="2446" spans="1:5" x14ac:dyDescent="0.25">
      <c r="A2446" s="83"/>
      <c r="B2446" s="84"/>
      <c r="C2446" s="84"/>
      <c r="D2446" s="116"/>
      <c r="E2446" s="116"/>
    </row>
    <row r="2447" spans="1:5" x14ac:dyDescent="0.25">
      <c r="A2447" s="83"/>
      <c r="B2447" s="84"/>
      <c r="C2447" s="84"/>
      <c r="D2447" s="116"/>
      <c r="E2447" s="116"/>
    </row>
    <row r="2448" spans="1:5" x14ac:dyDescent="0.25">
      <c r="A2448" s="83"/>
      <c r="B2448" s="84"/>
      <c r="C2448" s="84"/>
      <c r="D2448" s="116"/>
      <c r="E2448" s="116"/>
    </row>
    <row r="2449" spans="1:5" x14ac:dyDescent="0.25">
      <c r="A2449" s="83"/>
      <c r="B2449" s="84"/>
      <c r="C2449" s="84"/>
      <c r="D2449" s="116"/>
      <c r="E2449" s="116"/>
    </row>
    <row r="2450" spans="1:5" x14ac:dyDescent="0.25">
      <c r="A2450" s="83"/>
      <c r="B2450" s="84"/>
      <c r="C2450" s="84"/>
      <c r="D2450" s="116"/>
      <c r="E2450" s="116"/>
    </row>
    <row r="2451" spans="1:5" x14ac:dyDescent="0.25">
      <c r="A2451" s="83"/>
      <c r="B2451" s="84"/>
      <c r="C2451" s="84"/>
      <c r="D2451" s="116"/>
      <c r="E2451" s="116"/>
    </row>
    <row r="2452" spans="1:5" x14ac:dyDescent="0.25">
      <c r="A2452" s="83"/>
      <c r="B2452" s="84"/>
      <c r="C2452" s="84"/>
      <c r="D2452" s="116"/>
      <c r="E2452" s="116"/>
    </row>
    <row r="2453" spans="1:5" x14ac:dyDescent="0.25">
      <c r="A2453" s="83"/>
      <c r="B2453" s="84"/>
      <c r="C2453" s="84"/>
      <c r="D2453" s="116"/>
      <c r="E2453" s="116"/>
    </row>
    <row r="2454" spans="1:5" x14ac:dyDescent="0.25">
      <c r="A2454" s="83"/>
      <c r="B2454" s="84"/>
      <c r="C2454" s="84"/>
      <c r="D2454" s="116"/>
      <c r="E2454" s="116"/>
    </row>
    <row r="2455" spans="1:5" x14ac:dyDescent="0.25">
      <c r="A2455" s="83"/>
      <c r="B2455" s="84"/>
      <c r="C2455" s="84"/>
      <c r="D2455" s="116"/>
      <c r="E2455" s="116"/>
    </row>
    <row r="2456" spans="1:5" x14ac:dyDescent="0.25">
      <c r="A2456" s="83"/>
      <c r="B2456" s="84"/>
      <c r="C2456" s="84"/>
      <c r="D2456" s="116"/>
      <c r="E2456" s="116"/>
    </row>
    <row r="2457" spans="1:5" x14ac:dyDescent="0.25">
      <c r="A2457" s="83"/>
      <c r="B2457" s="84"/>
      <c r="C2457" s="84"/>
      <c r="D2457" s="116"/>
      <c r="E2457" s="116"/>
    </row>
    <row r="2458" spans="1:5" x14ac:dyDescent="0.25">
      <c r="A2458" s="83"/>
      <c r="B2458" s="84"/>
      <c r="C2458" s="84"/>
      <c r="D2458" s="116"/>
      <c r="E2458" s="116"/>
    </row>
    <row r="2459" spans="1:5" x14ac:dyDescent="0.25">
      <c r="A2459" s="83"/>
      <c r="B2459" s="84"/>
      <c r="C2459" s="84"/>
      <c r="D2459" s="116"/>
      <c r="E2459" s="116"/>
    </row>
    <row r="2460" spans="1:5" x14ac:dyDescent="0.25">
      <c r="A2460" s="83"/>
      <c r="B2460" s="84"/>
      <c r="C2460" s="84"/>
      <c r="D2460" s="116"/>
      <c r="E2460" s="116"/>
    </row>
    <row r="2461" spans="1:5" x14ac:dyDescent="0.25">
      <c r="A2461" s="83"/>
      <c r="B2461" s="84"/>
      <c r="C2461" s="84"/>
      <c r="D2461" s="116"/>
      <c r="E2461" s="116"/>
    </row>
    <row r="2462" spans="1:5" x14ac:dyDescent="0.25">
      <c r="A2462" s="83"/>
      <c r="B2462" s="84"/>
      <c r="C2462" s="84"/>
      <c r="D2462" s="116"/>
      <c r="E2462" s="116"/>
    </row>
    <row r="2463" spans="1:5" x14ac:dyDescent="0.25">
      <c r="A2463" s="83"/>
      <c r="B2463" s="84"/>
      <c r="C2463" s="84"/>
      <c r="D2463" s="116"/>
      <c r="E2463" s="116"/>
    </row>
    <row r="2464" spans="1:5" x14ac:dyDescent="0.25">
      <c r="A2464" s="83"/>
      <c r="B2464" s="84"/>
      <c r="C2464" s="84"/>
      <c r="D2464" s="116"/>
      <c r="E2464" s="116"/>
    </row>
    <row r="2465" spans="1:5" x14ac:dyDescent="0.25">
      <c r="A2465" s="83"/>
      <c r="B2465" s="84"/>
      <c r="C2465" s="84"/>
      <c r="D2465" s="116"/>
      <c r="E2465" s="116"/>
    </row>
    <row r="2466" spans="1:5" x14ac:dyDescent="0.25">
      <c r="A2466" s="83"/>
      <c r="B2466" s="84"/>
      <c r="C2466" s="84"/>
      <c r="D2466" s="116"/>
      <c r="E2466" s="116"/>
    </row>
    <row r="2467" spans="1:5" x14ac:dyDescent="0.25">
      <c r="A2467" s="83"/>
      <c r="B2467" s="84"/>
      <c r="C2467" s="84"/>
      <c r="D2467" s="116"/>
      <c r="E2467" s="116"/>
    </row>
    <row r="2468" spans="1:5" x14ac:dyDescent="0.25">
      <c r="A2468" s="83"/>
      <c r="B2468" s="84"/>
      <c r="C2468" s="84"/>
      <c r="D2468" s="116"/>
      <c r="E2468" s="116"/>
    </row>
    <row r="2469" spans="1:5" x14ac:dyDescent="0.25">
      <c r="A2469" s="83"/>
      <c r="B2469" s="84"/>
      <c r="C2469" s="84"/>
      <c r="D2469" s="116"/>
      <c r="E2469" s="116"/>
    </row>
    <row r="2470" spans="1:5" x14ac:dyDescent="0.25">
      <c r="A2470" s="83"/>
      <c r="B2470" s="84"/>
      <c r="C2470" s="84"/>
      <c r="D2470" s="116"/>
      <c r="E2470" s="116"/>
    </row>
    <row r="2471" spans="1:5" x14ac:dyDescent="0.25">
      <c r="A2471" s="83"/>
      <c r="B2471" s="84"/>
      <c r="C2471" s="84"/>
      <c r="D2471" s="116"/>
      <c r="E2471" s="116"/>
    </row>
    <row r="2472" spans="1:5" x14ac:dyDescent="0.25">
      <c r="A2472" s="83"/>
      <c r="B2472" s="84"/>
      <c r="C2472" s="84"/>
      <c r="D2472" s="116"/>
      <c r="E2472" s="116"/>
    </row>
    <row r="2473" spans="1:5" x14ac:dyDescent="0.25">
      <c r="A2473" s="83"/>
      <c r="B2473" s="84"/>
      <c r="C2473" s="84"/>
      <c r="D2473" s="116"/>
      <c r="E2473" s="116"/>
    </row>
    <row r="2474" spans="1:5" x14ac:dyDescent="0.25">
      <c r="A2474" s="83"/>
      <c r="B2474" s="84"/>
      <c r="C2474" s="84"/>
      <c r="D2474" s="116"/>
      <c r="E2474" s="116"/>
    </row>
    <row r="2475" spans="1:5" x14ac:dyDescent="0.25">
      <c r="A2475" s="83"/>
      <c r="B2475" s="84"/>
      <c r="C2475" s="84"/>
      <c r="D2475" s="116"/>
      <c r="E2475" s="116"/>
    </row>
    <row r="2476" spans="1:5" x14ac:dyDescent="0.25">
      <c r="A2476" s="83"/>
      <c r="B2476" s="84"/>
      <c r="C2476" s="84"/>
      <c r="D2476" s="116"/>
      <c r="E2476" s="116"/>
    </row>
    <row r="2477" spans="1:5" x14ac:dyDescent="0.25">
      <c r="A2477" s="83"/>
      <c r="B2477" s="84"/>
      <c r="C2477" s="84"/>
      <c r="D2477" s="116"/>
      <c r="E2477" s="116"/>
    </row>
    <row r="2478" spans="1:5" x14ac:dyDescent="0.25">
      <c r="A2478" s="83"/>
      <c r="B2478" s="84"/>
      <c r="C2478" s="84"/>
      <c r="D2478" s="116"/>
      <c r="E2478" s="116"/>
    </row>
    <row r="2479" spans="1:5" x14ac:dyDescent="0.25">
      <c r="A2479" s="83"/>
      <c r="B2479" s="84"/>
      <c r="C2479" s="84"/>
      <c r="D2479" s="116"/>
      <c r="E2479" s="116"/>
    </row>
    <row r="2480" spans="1:5" x14ac:dyDescent="0.25">
      <c r="A2480" s="83"/>
      <c r="B2480" s="84"/>
      <c r="C2480" s="84"/>
      <c r="D2480" s="116"/>
      <c r="E2480" s="116"/>
    </row>
    <row r="2481" spans="1:5" x14ac:dyDescent="0.25">
      <c r="A2481" s="83"/>
      <c r="B2481" s="84"/>
      <c r="C2481" s="84"/>
      <c r="D2481" s="116"/>
      <c r="E2481" s="116"/>
    </row>
    <row r="2482" spans="1:5" x14ac:dyDescent="0.25">
      <c r="A2482" s="83"/>
      <c r="B2482" s="84"/>
      <c r="C2482" s="84"/>
      <c r="D2482" s="116"/>
      <c r="E2482" s="116"/>
    </row>
    <row r="2483" spans="1:5" x14ac:dyDescent="0.25">
      <c r="A2483" s="83"/>
      <c r="B2483" s="84"/>
      <c r="C2483" s="84"/>
      <c r="D2483" s="116"/>
      <c r="E2483" s="116"/>
    </row>
    <row r="2484" spans="1:5" x14ac:dyDescent="0.25">
      <c r="A2484" s="83"/>
      <c r="B2484" s="84"/>
      <c r="C2484" s="84"/>
      <c r="D2484" s="116"/>
      <c r="E2484" s="116"/>
    </row>
    <row r="2485" spans="1:5" x14ac:dyDescent="0.25">
      <c r="A2485" s="83"/>
      <c r="B2485" s="84"/>
      <c r="C2485" s="84"/>
      <c r="D2485" s="116"/>
      <c r="E2485" s="116"/>
    </row>
    <row r="2486" spans="1:5" x14ac:dyDescent="0.25">
      <c r="A2486" s="83"/>
      <c r="B2486" s="84"/>
      <c r="C2486" s="84"/>
      <c r="D2486" s="116"/>
      <c r="E2486" s="116"/>
    </row>
    <row r="2487" spans="1:5" x14ac:dyDescent="0.25">
      <c r="A2487" s="83"/>
      <c r="B2487" s="84"/>
      <c r="C2487" s="84"/>
      <c r="D2487" s="116"/>
      <c r="E2487" s="116"/>
    </row>
    <row r="2488" spans="1:5" x14ac:dyDescent="0.25">
      <c r="A2488" s="83"/>
      <c r="B2488" s="84"/>
      <c r="C2488" s="84"/>
      <c r="D2488" s="116"/>
      <c r="E2488" s="116"/>
    </row>
    <row r="2489" spans="1:5" x14ac:dyDescent="0.25">
      <c r="A2489" s="83"/>
      <c r="B2489" s="84"/>
      <c r="C2489" s="84"/>
      <c r="D2489" s="116"/>
      <c r="E2489" s="116"/>
    </row>
    <row r="2490" spans="1:5" x14ac:dyDescent="0.25">
      <c r="A2490" s="83"/>
      <c r="B2490" s="84"/>
      <c r="C2490" s="84"/>
      <c r="D2490" s="116"/>
      <c r="E2490" s="116"/>
    </row>
    <row r="2491" spans="1:5" x14ac:dyDescent="0.25">
      <c r="A2491" s="83"/>
      <c r="B2491" s="84"/>
      <c r="C2491" s="84"/>
      <c r="D2491" s="116"/>
      <c r="E2491" s="116"/>
    </row>
    <row r="2492" spans="1:5" x14ac:dyDescent="0.25">
      <c r="A2492" s="83"/>
      <c r="B2492" s="84"/>
      <c r="C2492" s="84"/>
      <c r="D2492" s="116"/>
      <c r="E2492" s="116"/>
    </row>
    <row r="2493" spans="1:5" x14ac:dyDescent="0.25">
      <c r="A2493" s="83"/>
      <c r="B2493" s="84"/>
      <c r="C2493" s="84"/>
      <c r="D2493" s="116"/>
      <c r="E2493" s="116"/>
    </row>
    <row r="2494" spans="1:5" x14ac:dyDescent="0.25">
      <c r="A2494" s="83"/>
      <c r="B2494" s="84"/>
      <c r="C2494" s="84"/>
      <c r="D2494" s="116"/>
      <c r="E2494" s="116"/>
    </row>
    <row r="2495" spans="1:5" x14ac:dyDescent="0.25">
      <c r="A2495" s="83"/>
      <c r="B2495" s="84"/>
      <c r="C2495" s="84"/>
      <c r="D2495" s="116"/>
      <c r="E2495" s="116"/>
    </row>
    <row r="2496" spans="1:5" x14ac:dyDescent="0.25">
      <c r="A2496" s="83"/>
      <c r="B2496" s="84"/>
      <c r="C2496" s="84"/>
      <c r="D2496" s="116"/>
      <c r="E2496" s="116"/>
    </row>
    <row r="2497" spans="1:5" x14ac:dyDescent="0.25">
      <c r="A2497" s="83"/>
      <c r="B2497" s="84"/>
      <c r="C2497" s="84"/>
      <c r="D2497" s="116"/>
      <c r="E2497" s="116"/>
    </row>
    <row r="2498" spans="1:5" x14ac:dyDescent="0.25">
      <c r="A2498" s="83"/>
      <c r="B2498" s="84"/>
      <c r="C2498" s="84"/>
      <c r="D2498" s="116"/>
      <c r="E2498" s="116"/>
    </row>
    <row r="2499" spans="1:5" x14ac:dyDescent="0.25">
      <c r="A2499" s="83"/>
      <c r="B2499" s="84"/>
      <c r="C2499" s="84"/>
      <c r="D2499" s="116"/>
      <c r="E2499" s="116"/>
    </row>
    <row r="2500" spans="1:5" x14ac:dyDescent="0.25">
      <c r="A2500" s="83"/>
      <c r="B2500" s="84"/>
      <c r="C2500" s="84"/>
      <c r="D2500" s="116"/>
      <c r="E2500" s="116"/>
    </row>
    <row r="2501" spans="1:5" x14ac:dyDescent="0.25">
      <c r="A2501" s="83"/>
      <c r="B2501" s="84"/>
      <c r="C2501" s="84"/>
      <c r="D2501" s="116"/>
      <c r="E2501" s="116"/>
    </row>
    <row r="2502" spans="1:5" x14ac:dyDescent="0.25">
      <c r="A2502" s="83"/>
      <c r="B2502" s="84"/>
      <c r="C2502" s="84"/>
      <c r="D2502" s="116"/>
      <c r="E2502" s="116"/>
    </row>
    <row r="2503" spans="1:5" x14ac:dyDescent="0.25">
      <c r="A2503" s="83"/>
      <c r="B2503" s="84"/>
      <c r="C2503" s="84"/>
      <c r="D2503" s="116"/>
      <c r="E2503" s="116"/>
    </row>
    <row r="2504" spans="1:5" x14ac:dyDescent="0.25">
      <c r="A2504" s="83"/>
      <c r="B2504" s="84"/>
      <c r="C2504" s="84"/>
      <c r="D2504" s="116"/>
      <c r="E2504" s="116"/>
    </row>
    <row r="2505" spans="1:5" x14ac:dyDescent="0.25">
      <c r="A2505" s="83"/>
      <c r="B2505" s="84"/>
      <c r="C2505" s="84"/>
      <c r="D2505" s="116"/>
      <c r="E2505" s="116"/>
    </row>
    <row r="2506" spans="1:5" x14ac:dyDescent="0.25">
      <c r="A2506" s="83"/>
      <c r="B2506" s="84"/>
      <c r="C2506" s="84"/>
      <c r="D2506" s="116"/>
      <c r="E2506" s="116"/>
    </row>
    <row r="2507" spans="1:5" x14ac:dyDescent="0.25">
      <c r="A2507" s="83"/>
      <c r="B2507" s="84"/>
      <c r="C2507" s="84"/>
      <c r="D2507" s="116"/>
      <c r="E2507" s="116"/>
    </row>
    <row r="2508" spans="1:5" x14ac:dyDescent="0.25">
      <c r="A2508" s="83"/>
      <c r="B2508" s="84"/>
      <c r="C2508" s="84"/>
      <c r="D2508" s="116"/>
      <c r="E2508" s="116"/>
    </row>
    <row r="2509" spans="1:5" x14ac:dyDescent="0.25">
      <c r="A2509" s="83"/>
      <c r="B2509" s="84"/>
      <c r="C2509" s="84"/>
      <c r="D2509" s="116"/>
      <c r="E2509" s="116"/>
    </row>
    <row r="2510" spans="1:5" x14ac:dyDescent="0.25">
      <c r="A2510" s="83"/>
      <c r="B2510" s="84"/>
      <c r="C2510" s="84"/>
      <c r="D2510" s="116"/>
      <c r="E2510" s="116"/>
    </row>
    <row r="2511" spans="1:5" x14ac:dyDescent="0.25">
      <c r="A2511" s="83"/>
      <c r="B2511" s="84"/>
      <c r="C2511" s="84"/>
      <c r="D2511" s="116"/>
      <c r="E2511" s="116"/>
    </row>
    <row r="2512" spans="1:5" x14ac:dyDescent="0.25">
      <c r="A2512" s="83"/>
      <c r="B2512" s="84"/>
      <c r="C2512" s="84"/>
      <c r="D2512" s="116"/>
      <c r="E2512" s="116"/>
    </row>
    <row r="2513" spans="1:5" x14ac:dyDescent="0.25">
      <c r="A2513" s="83"/>
      <c r="B2513" s="84"/>
      <c r="C2513" s="84"/>
      <c r="D2513" s="116"/>
      <c r="E2513" s="116"/>
    </row>
    <row r="2514" spans="1:5" x14ac:dyDescent="0.25">
      <c r="A2514" s="83"/>
      <c r="B2514" s="84"/>
      <c r="C2514" s="84"/>
      <c r="D2514" s="116"/>
      <c r="E2514" s="116"/>
    </row>
    <row r="2515" spans="1:5" x14ac:dyDescent="0.25">
      <c r="A2515" s="83"/>
      <c r="B2515" s="84"/>
      <c r="C2515" s="84"/>
      <c r="D2515" s="116"/>
      <c r="E2515" s="116"/>
    </row>
    <row r="2516" spans="1:5" x14ac:dyDescent="0.25">
      <c r="A2516" s="83"/>
      <c r="B2516" s="84"/>
      <c r="C2516" s="84"/>
      <c r="D2516" s="116"/>
      <c r="E2516" s="116"/>
    </row>
    <row r="2517" spans="1:5" x14ac:dyDescent="0.25">
      <c r="A2517" s="83"/>
      <c r="B2517" s="84"/>
      <c r="C2517" s="84"/>
      <c r="D2517" s="116"/>
      <c r="E2517" s="116"/>
    </row>
    <row r="2518" spans="1:5" x14ac:dyDescent="0.25">
      <c r="A2518" s="83"/>
      <c r="B2518" s="84"/>
      <c r="C2518" s="84"/>
      <c r="D2518" s="116"/>
      <c r="E2518" s="116"/>
    </row>
    <row r="2519" spans="1:5" x14ac:dyDescent="0.25">
      <c r="A2519" s="83"/>
      <c r="B2519" s="84"/>
      <c r="C2519" s="84"/>
      <c r="D2519" s="116"/>
      <c r="E2519" s="116"/>
    </row>
    <row r="2520" spans="1:5" x14ac:dyDescent="0.25">
      <c r="A2520" s="83"/>
      <c r="B2520" s="84"/>
      <c r="C2520" s="84"/>
      <c r="D2520" s="116"/>
      <c r="E2520" s="116"/>
    </row>
    <row r="2521" spans="1:5" x14ac:dyDescent="0.25">
      <c r="A2521" s="83"/>
      <c r="B2521" s="84"/>
      <c r="C2521" s="84"/>
      <c r="D2521" s="116"/>
      <c r="E2521" s="116"/>
    </row>
    <row r="2522" spans="1:5" x14ac:dyDescent="0.25">
      <c r="A2522" s="83"/>
      <c r="B2522" s="84"/>
      <c r="C2522" s="84"/>
      <c r="D2522" s="116"/>
      <c r="E2522" s="116"/>
    </row>
    <row r="2523" spans="1:5" x14ac:dyDescent="0.25">
      <c r="A2523" s="83"/>
      <c r="B2523" s="84"/>
      <c r="C2523" s="84"/>
      <c r="D2523" s="116"/>
      <c r="E2523" s="116"/>
    </row>
    <row r="2524" spans="1:5" x14ac:dyDescent="0.25">
      <c r="A2524" s="83"/>
      <c r="B2524" s="84"/>
      <c r="C2524" s="84"/>
      <c r="D2524" s="116"/>
      <c r="E2524" s="116"/>
    </row>
    <row r="2525" spans="1:5" x14ac:dyDescent="0.25">
      <c r="A2525" s="83"/>
      <c r="B2525" s="84"/>
      <c r="C2525" s="84"/>
      <c r="D2525" s="116"/>
      <c r="E2525" s="116"/>
    </row>
    <row r="2526" spans="1:5" x14ac:dyDescent="0.25">
      <c r="A2526" s="83"/>
      <c r="B2526" s="84"/>
      <c r="C2526" s="84"/>
      <c r="D2526" s="116"/>
      <c r="E2526" s="116"/>
    </row>
    <row r="2527" spans="1:5" x14ac:dyDescent="0.25">
      <c r="A2527" s="83"/>
      <c r="B2527" s="84"/>
      <c r="C2527" s="84"/>
      <c r="D2527" s="116"/>
      <c r="E2527" s="116"/>
    </row>
    <row r="2528" spans="1:5" x14ac:dyDescent="0.25">
      <c r="A2528" s="83"/>
      <c r="B2528" s="84"/>
      <c r="C2528" s="84"/>
      <c r="D2528" s="116"/>
      <c r="E2528" s="116"/>
    </row>
    <row r="2529" spans="1:5" x14ac:dyDescent="0.25">
      <c r="A2529" s="83"/>
      <c r="B2529" s="84"/>
      <c r="C2529" s="84"/>
      <c r="D2529" s="116"/>
      <c r="E2529" s="116"/>
    </row>
    <row r="2530" spans="1:5" x14ac:dyDescent="0.25">
      <c r="A2530" s="83"/>
      <c r="B2530" s="84"/>
      <c r="C2530" s="84"/>
      <c r="D2530" s="116"/>
      <c r="E2530" s="116"/>
    </row>
    <row r="2531" spans="1:5" x14ac:dyDescent="0.25">
      <c r="A2531" s="83"/>
      <c r="B2531" s="84"/>
      <c r="C2531" s="84"/>
      <c r="D2531" s="116"/>
      <c r="E2531" s="116"/>
    </row>
    <row r="2532" spans="1:5" x14ac:dyDescent="0.25">
      <c r="A2532" s="83"/>
      <c r="B2532" s="84"/>
      <c r="C2532" s="84"/>
      <c r="D2532" s="116"/>
      <c r="E2532" s="116"/>
    </row>
    <row r="2533" spans="1:5" x14ac:dyDescent="0.25">
      <c r="A2533" s="83"/>
      <c r="B2533" s="84"/>
      <c r="C2533" s="84"/>
      <c r="D2533" s="116"/>
      <c r="E2533" s="116"/>
    </row>
    <row r="2534" spans="1:5" x14ac:dyDescent="0.25">
      <c r="A2534" s="83"/>
      <c r="B2534" s="84"/>
      <c r="C2534" s="84"/>
      <c r="D2534" s="116"/>
      <c r="E2534" s="116"/>
    </row>
    <row r="2535" spans="1:5" x14ac:dyDescent="0.25">
      <c r="A2535" s="83"/>
      <c r="B2535" s="84"/>
      <c r="C2535" s="84"/>
      <c r="D2535" s="116"/>
      <c r="E2535" s="116"/>
    </row>
    <row r="2536" spans="1:5" x14ac:dyDescent="0.25">
      <c r="A2536" s="83"/>
      <c r="B2536" s="84"/>
      <c r="C2536" s="84"/>
      <c r="D2536" s="116"/>
      <c r="E2536" s="116"/>
    </row>
    <row r="2537" spans="1:5" x14ac:dyDescent="0.25">
      <c r="A2537" s="83"/>
      <c r="B2537" s="84"/>
      <c r="C2537" s="84"/>
      <c r="D2537" s="116"/>
      <c r="E2537" s="116"/>
    </row>
    <row r="2538" spans="1:5" x14ac:dyDescent="0.25">
      <c r="A2538" s="83"/>
      <c r="B2538" s="84"/>
      <c r="C2538" s="84"/>
      <c r="D2538" s="116"/>
      <c r="E2538" s="116"/>
    </row>
    <row r="2539" spans="1:5" x14ac:dyDescent="0.25">
      <c r="A2539" s="83"/>
      <c r="B2539" s="84"/>
      <c r="C2539" s="84"/>
      <c r="D2539" s="116"/>
      <c r="E2539" s="116"/>
    </row>
    <row r="2540" spans="1:5" x14ac:dyDescent="0.25">
      <c r="A2540" s="83"/>
      <c r="B2540" s="84"/>
      <c r="C2540" s="84"/>
      <c r="D2540" s="116"/>
      <c r="E2540" s="116"/>
    </row>
    <row r="2541" spans="1:5" x14ac:dyDescent="0.25">
      <c r="A2541" s="83"/>
      <c r="B2541" s="84"/>
      <c r="C2541" s="84"/>
      <c r="D2541" s="116"/>
      <c r="E2541" s="116"/>
    </row>
    <row r="2542" spans="1:5" x14ac:dyDescent="0.25">
      <c r="A2542" s="83"/>
      <c r="B2542" s="84"/>
      <c r="C2542" s="84"/>
      <c r="D2542" s="116"/>
      <c r="E2542" s="116"/>
    </row>
    <row r="2543" spans="1:5" x14ac:dyDescent="0.25">
      <c r="A2543" s="83"/>
      <c r="B2543" s="84"/>
      <c r="C2543" s="84"/>
      <c r="D2543" s="116"/>
      <c r="E2543" s="116"/>
    </row>
    <row r="2544" spans="1:5" x14ac:dyDescent="0.25">
      <c r="A2544" s="83"/>
      <c r="B2544" s="84"/>
      <c r="C2544" s="84"/>
      <c r="D2544" s="116"/>
      <c r="E2544" s="116"/>
    </row>
    <row r="2545" spans="1:5" x14ac:dyDescent="0.25">
      <c r="A2545" s="83"/>
      <c r="B2545" s="84"/>
      <c r="C2545" s="84"/>
      <c r="D2545" s="116"/>
      <c r="E2545" s="116"/>
    </row>
    <row r="2546" spans="1:5" x14ac:dyDescent="0.25">
      <c r="A2546" s="83"/>
      <c r="B2546" s="84"/>
      <c r="C2546" s="84"/>
      <c r="D2546" s="116"/>
      <c r="E2546" s="116"/>
    </row>
    <row r="2547" spans="1:5" x14ac:dyDescent="0.25">
      <c r="A2547" s="83"/>
      <c r="B2547" s="84"/>
      <c r="C2547" s="84"/>
      <c r="D2547" s="116"/>
      <c r="E2547" s="116"/>
    </row>
    <row r="2548" spans="1:5" x14ac:dyDescent="0.25">
      <c r="A2548" s="83"/>
      <c r="B2548" s="84"/>
      <c r="C2548" s="84"/>
      <c r="D2548" s="116"/>
      <c r="E2548" s="116"/>
    </row>
    <row r="2549" spans="1:5" x14ac:dyDescent="0.25">
      <c r="A2549" s="83"/>
      <c r="B2549" s="84"/>
      <c r="C2549" s="84"/>
      <c r="D2549" s="116"/>
      <c r="E2549" s="116"/>
    </row>
    <row r="2550" spans="1:5" x14ac:dyDescent="0.25">
      <c r="A2550" s="83"/>
      <c r="B2550" s="84"/>
      <c r="C2550" s="84"/>
      <c r="D2550" s="116"/>
      <c r="E2550" s="116"/>
    </row>
    <row r="2551" spans="1:5" x14ac:dyDescent="0.25">
      <c r="A2551" s="83"/>
      <c r="B2551" s="84"/>
      <c r="C2551" s="84"/>
      <c r="D2551" s="116"/>
      <c r="E2551" s="116"/>
    </row>
    <row r="2552" spans="1:5" x14ac:dyDescent="0.25">
      <c r="A2552" s="83"/>
      <c r="B2552" s="84"/>
      <c r="C2552" s="84"/>
      <c r="D2552" s="116"/>
      <c r="E2552" s="116"/>
    </row>
    <row r="2553" spans="1:5" x14ac:dyDescent="0.25">
      <c r="A2553" s="83"/>
      <c r="B2553" s="84"/>
      <c r="C2553" s="84"/>
      <c r="D2553" s="116"/>
      <c r="E2553" s="116"/>
    </row>
    <row r="2554" spans="1:5" x14ac:dyDescent="0.25">
      <c r="A2554" s="83"/>
      <c r="B2554" s="84"/>
      <c r="C2554" s="84"/>
      <c r="D2554" s="116"/>
      <c r="E2554" s="116"/>
    </row>
    <row r="2555" spans="1:5" x14ac:dyDescent="0.25">
      <c r="A2555" s="83"/>
      <c r="B2555" s="84"/>
      <c r="C2555" s="84"/>
      <c r="D2555" s="116"/>
      <c r="E2555" s="116"/>
    </row>
    <row r="2556" spans="1:5" x14ac:dyDescent="0.25">
      <c r="A2556" s="83"/>
      <c r="B2556" s="84"/>
      <c r="C2556" s="84"/>
      <c r="D2556" s="116"/>
      <c r="E2556" s="116"/>
    </row>
    <row r="2557" spans="1:5" x14ac:dyDescent="0.25">
      <c r="A2557" s="83"/>
      <c r="B2557" s="84"/>
      <c r="C2557" s="84"/>
      <c r="D2557" s="116"/>
      <c r="E2557" s="116"/>
    </row>
    <row r="2558" spans="1:5" x14ac:dyDescent="0.25">
      <c r="A2558" s="83"/>
      <c r="B2558" s="84"/>
      <c r="C2558" s="84"/>
      <c r="D2558" s="116"/>
      <c r="E2558" s="116"/>
    </row>
    <row r="2559" spans="1:5" x14ac:dyDescent="0.25">
      <c r="A2559" s="83"/>
      <c r="B2559" s="84"/>
      <c r="C2559" s="84"/>
      <c r="D2559" s="116"/>
      <c r="E2559" s="116"/>
    </row>
    <row r="2560" spans="1:5" x14ac:dyDescent="0.25">
      <c r="A2560" s="83"/>
      <c r="B2560" s="84"/>
      <c r="C2560" s="84"/>
      <c r="D2560" s="116"/>
      <c r="E2560" s="116"/>
    </row>
    <row r="2561" spans="1:5" x14ac:dyDescent="0.25">
      <c r="A2561" s="83"/>
      <c r="B2561" s="84"/>
      <c r="C2561" s="84"/>
      <c r="D2561" s="116"/>
      <c r="E2561" s="116"/>
    </row>
    <row r="2562" spans="1:5" x14ac:dyDescent="0.25">
      <c r="A2562" s="83"/>
      <c r="B2562" s="84"/>
      <c r="C2562" s="84"/>
      <c r="D2562" s="116"/>
      <c r="E2562" s="116"/>
    </row>
    <row r="2563" spans="1:5" x14ac:dyDescent="0.25">
      <c r="A2563" s="83"/>
      <c r="B2563" s="84"/>
      <c r="C2563" s="84"/>
      <c r="D2563" s="116"/>
      <c r="E2563" s="116"/>
    </row>
    <row r="2564" spans="1:5" x14ac:dyDescent="0.25">
      <c r="A2564" s="83"/>
      <c r="B2564" s="84"/>
      <c r="C2564" s="84"/>
      <c r="D2564" s="116"/>
      <c r="E2564" s="116"/>
    </row>
    <row r="2565" spans="1:5" x14ac:dyDescent="0.25">
      <c r="A2565" s="83"/>
      <c r="B2565" s="84"/>
      <c r="C2565" s="84"/>
      <c r="D2565" s="116"/>
      <c r="E2565" s="116"/>
    </row>
    <row r="2566" spans="1:5" x14ac:dyDescent="0.25">
      <c r="A2566" s="83"/>
      <c r="B2566" s="84"/>
      <c r="C2566" s="84"/>
      <c r="D2566" s="116"/>
      <c r="E2566" s="116"/>
    </row>
    <row r="2567" spans="1:5" x14ac:dyDescent="0.25">
      <c r="A2567" s="83"/>
      <c r="B2567" s="84"/>
      <c r="C2567" s="84"/>
      <c r="D2567" s="116"/>
      <c r="E2567" s="116"/>
    </row>
    <row r="2568" spans="1:5" x14ac:dyDescent="0.25">
      <c r="A2568" s="83"/>
      <c r="B2568" s="84"/>
      <c r="C2568" s="84"/>
      <c r="D2568" s="116"/>
      <c r="E2568" s="116"/>
    </row>
    <row r="2569" spans="1:5" x14ac:dyDescent="0.25">
      <c r="A2569" s="83"/>
      <c r="B2569" s="84"/>
      <c r="C2569" s="84"/>
      <c r="D2569" s="116"/>
      <c r="E2569" s="116"/>
    </row>
    <row r="2570" spans="1:5" x14ac:dyDescent="0.25">
      <c r="A2570" s="83"/>
      <c r="B2570" s="84"/>
      <c r="C2570" s="84"/>
      <c r="D2570" s="116"/>
      <c r="E2570" s="116"/>
    </row>
    <row r="2571" spans="1:5" x14ac:dyDescent="0.25">
      <c r="A2571" s="83"/>
      <c r="B2571" s="84"/>
      <c r="C2571" s="84"/>
      <c r="D2571" s="116"/>
      <c r="E2571" s="116"/>
    </row>
    <row r="2572" spans="1:5" x14ac:dyDescent="0.25">
      <c r="A2572" s="83"/>
      <c r="B2572" s="84"/>
      <c r="C2572" s="84"/>
      <c r="D2572" s="116"/>
      <c r="E2572" s="116"/>
    </row>
    <row r="2573" spans="1:5" x14ac:dyDescent="0.25">
      <c r="A2573" s="83"/>
      <c r="B2573" s="84"/>
      <c r="C2573" s="84"/>
      <c r="D2573" s="116"/>
      <c r="E2573" s="116"/>
    </row>
    <row r="2574" spans="1:5" x14ac:dyDescent="0.25">
      <c r="A2574" s="83"/>
      <c r="B2574" s="84"/>
      <c r="C2574" s="84"/>
      <c r="D2574" s="116"/>
      <c r="E2574" s="116"/>
    </row>
    <row r="2575" spans="1:5" x14ac:dyDescent="0.25">
      <c r="A2575" s="83"/>
      <c r="B2575" s="84"/>
      <c r="C2575" s="84"/>
      <c r="D2575" s="116"/>
      <c r="E2575" s="116"/>
    </row>
    <row r="2576" spans="1:5" x14ac:dyDescent="0.25">
      <c r="A2576" s="83"/>
      <c r="B2576" s="84"/>
      <c r="C2576" s="84"/>
      <c r="D2576" s="116"/>
      <c r="E2576" s="116"/>
    </row>
    <row r="2577" spans="1:5" x14ac:dyDescent="0.25">
      <c r="A2577" s="83"/>
      <c r="B2577" s="84"/>
      <c r="C2577" s="84"/>
      <c r="D2577" s="116"/>
      <c r="E2577" s="116"/>
    </row>
    <row r="2578" spans="1:5" x14ac:dyDescent="0.25">
      <c r="A2578" s="83"/>
      <c r="B2578" s="84"/>
      <c r="C2578" s="84"/>
      <c r="D2578" s="116"/>
      <c r="E2578" s="116"/>
    </row>
    <row r="2579" spans="1:5" x14ac:dyDescent="0.25">
      <c r="A2579" s="83"/>
      <c r="B2579" s="84"/>
      <c r="C2579" s="84"/>
      <c r="D2579" s="116"/>
      <c r="E2579" s="116"/>
    </row>
    <row r="2580" spans="1:5" x14ac:dyDescent="0.25">
      <c r="A2580" s="83"/>
      <c r="B2580" s="84"/>
      <c r="C2580" s="84"/>
      <c r="D2580" s="116"/>
      <c r="E2580" s="116"/>
    </row>
    <row r="2581" spans="1:5" x14ac:dyDescent="0.25">
      <c r="A2581" s="83"/>
      <c r="B2581" s="84"/>
      <c r="C2581" s="84"/>
      <c r="D2581" s="116"/>
      <c r="E2581" s="116"/>
    </row>
    <row r="2582" spans="1:5" x14ac:dyDescent="0.25">
      <c r="A2582" s="83"/>
      <c r="B2582" s="84"/>
      <c r="C2582" s="84"/>
      <c r="D2582" s="116"/>
      <c r="E2582" s="116"/>
    </row>
    <row r="2583" spans="1:5" x14ac:dyDescent="0.25">
      <c r="A2583" s="83"/>
      <c r="B2583" s="84"/>
      <c r="C2583" s="84"/>
      <c r="D2583" s="116"/>
      <c r="E2583" s="116"/>
    </row>
    <row r="2584" spans="1:5" x14ac:dyDescent="0.25">
      <c r="A2584" s="83"/>
      <c r="B2584" s="84"/>
      <c r="C2584" s="84"/>
      <c r="D2584" s="116"/>
      <c r="E2584" s="116"/>
    </row>
    <row r="2585" spans="1:5" x14ac:dyDescent="0.25">
      <c r="A2585" s="83"/>
      <c r="B2585" s="84"/>
      <c r="C2585" s="84"/>
      <c r="D2585" s="116"/>
      <c r="E2585" s="116"/>
    </row>
    <row r="2586" spans="1:5" x14ac:dyDescent="0.25">
      <c r="A2586" s="83"/>
      <c r="B2586" s="84"/>
      <c r="C2586" s="84"/>
      <c r="D2586" s="116"/>
      <c r="E2586" s="116"/>
    </row>
    <row r="2587" spans="1:5" x14ac:dyDescent="0.25">
      <c r="A2587" s="83"/>
      <c r="B2587" s="84"/>
      <c r="C2587" s="84"/>
      <c r="D2587" s="116"/>
      <c r="E2587" s="116"/>
    </row>
    <row r="2588" spans="1:5" x14ac:dyDescent="0.25">
      <c r="A2588" s="83"/>
      <c r="B2588" s="84"/>
      <c r="C2588" s="84"/>
      <c r="D2588" s="116"/>
      <c r="E2588" s="116"/>
    </row>
    <row r="2589" spans="1:5" x14ac:dyDescent="0.25">
      <c r="A2589" s="83"/>
      <c r="B2589" s="84"/>
      <c r="C2589" s="84"/>
      <c r="D2589" s="116"/>
      <c r="E2589" s="116"/>
    </row>
    <row r="2590" spans="1:5" x14ac:dyDescent="0.25">
      <c r="A2590" s="83"/>
      <c r="B2590" s="84"/>
      <c r="C2590" s="84"/>
      <c r="D2590" s="116"/>
      <c r="E2590" s="116"/>
    </row>
    <row r="2591" spans="1:5" x14ac:dyDescent="0.25">
      <c r="A2591" s="83"/>
      <c r="B2591" s="84"/>
      <c r="C2591" s="84"/>
      <c r="D2591" s="116"/>
      <c r="E2591" s="116"/>
    </row>
    <row r="2592" spans="1:5" x14ac:dyDescent="0.25">
      <c r="A2592" s="83"/>
      <c r="B2592" s="84"/>
      <c r="C2592" s="84"/>
      <c r="D2592" s="116"/>
      <c r="E2592" s="116"/>
    </row>
    <row r="2593" spans="1:5" x14ac:dyDescent="0.25">
      <c r="A2593" s="83"/>
      <c r="B2593" s="84"/>
      <c r="C2593" s="84"/>
      <c r="D2593" s="116"/>
      <c r="E2593" s="116"/>
    </row>
    <row r="2594" spans="1:5" x14ac:dyDescent="0.25">
      <c r="A2594" s="83"/>
      <c r="B2594" s="84"/>
      <c r="C2594" s="84"/>
      <c r="D2594" s="116"/>
      <c r="E2594" s="116"/>
    </row>
    <row r="2595" spans="1:5" x14ac:dyDescent="0.25">
      <c r="A2595" s="83"/>
      <c r="B2595" s="84"/>
      <c r="C2595" s="84"/>
      <c r="D2595" s="116"/>
      <c r="E2595" s="116"/>
    </row>
    <row r="2596" spans="1:5" x14ac:dyDescent="0.25">
      <c r="A2596" s="83"/>
      <c r="B2596" s="84"/>
      <c r="C2596" s="84"/>
      <c r="D2596" s="116"/>
      <c r="E2596" s="116"/>
    </row>
    <row r="2597" spans="1:5" x14ac:dyDescent="0.25">
      <c r="A2597" s="83"/>
      <c r="B2597" s="84"/>
      <c r="C2597" s="84"/>
      <c r="D2597" s="116"/>
      <c r="E2597" s="116"/>
    </row>
    <row r="2598" spans="1:5" x14ac:dyDescent="0.25">
      <c r="A2598" s="83"/>
      <c r="B2598" s="84"/>
      <c r="C2598" s="84"/>
      <c r="D2598" s="116"/>
      <c r="E2598" s="116"/>
    </row>
    <row r="2599" spans="1:5" x14ac:dyDescent="0.25">
      <c r="A2599" s="83"/>
      <c r="B2599" s="84"/>
      <c r="C2599" s="84"/>
      <c r="D2599" s="116"/>
      <c r="E2599" s="116"/>
    </row>
    <row r="2600" spans="1:5" x14ac:dyDescent="0.25">
      <c r="A2600" s="83"/>
      <c r="B2600" s="84"/>
      <c r="C2600" s="84"/>
      <c r="D2600" s="116"/>
      <c r="E2600" s="116"/>
    </row>
    <row r="2601" spans="1:5" x14ac:dyDescent="0.25">
      <c r="A2601" s="83"/>
      <c r="B2601" s="84"/>
      <c r="C2601" s="84"/>
      <c r="D2601" s="116"/>
      <c r="E2601" s="116"/>
    </row>
    <row r="2602" spans="1:5" x14ac:dyDescent="0.25">
      <c r="A2602" s="83"/>
      <c r="B2602" s="84"/>
      <c r="C2602" s="84"/>
      <c r="D2602" s="116"/>
      <c r="E2602" s="116"/>
    </row>
    <row r="2603" spans="1:5" x14ac:dyDescent="0.25">
      <c r="A2603" s="83"/>
      <c r="B2603" s="84"/>
      <c r="C2603" s="84"/>
      <c r="D2603" s="116"/>
      <c r="E2603" s="116"/>
    </row>
    <row r="2604" spans="1:5" x14ac:dyDescent="0.25">
      <c r="A2604" s="83"/>
      <c r="B2604" s="84"/>
      <c r="C2604" s="84"/>
      <c r="D2604" s="116"/>
      <c r="E2604" s="116"/>
    </row>
    <row r="2605" spans="1:5" x14ac:dyDescent="0.25">
      <c r="A2605" s="83"/>
      <c r="B2605" s="84"/>
      <c r="C2605" s="84"/>
      <c r="D2605" s="116"/>
      <c r="E2605" s="116"/>
    </row>
    <row r="2606" spans="1:5" x14ac:dyDescent="0.25">
      <c r="A2606" s="83"/>
      <c r="B2606" s="84"/>
      <c r="C2606" s="84"/>
      <c r="D2606" s="116"/>
      <c r="E2606" s="116"/>
    </row>
    <row r="2607" spans="1:5" x14ac:dyDescent="0.25">
      <c r="A2607" s="83"/>
      <c r="B2607" s="84"/>
      <c r="C2607" s="84"/>
      <c r="D2607" s="116"/>
      <c r="E2607" s="116"/>
    </row>
    <row r="2608" spans="1:5" x14ac:dyDescent="0.25">
      <c r="A2608" s="83"/>
      <c r="B2608" s="84"/>
      <c r="C2608" s="84"/>
      <c r="D2608" s="116"/>
      <c r="E2608" s="116"/>
    </row>
    <row r="2609" spans="1:5" x14ac:dyDescent="0.25">
      <c r="A2609" s="83"/>
      <c r="B2609" s="84"/>
      <c r="C2609" s="84"/>
      <c r="D2609" s="116"/>
      <c r="E2609" s="116"/>
    </row>
    <row r="2610" spans="1:5" x14ac:dyDescent="0.25">
      <c r="A2610" s="83"/>
      <c r="B2610" s="84"/>
      <c r="C2610" s="84"/>
      <c r="D2610" s="116"/>
      <c r="E2610" s="116"/>
    </row>
    <row r="2611" spans="1:5" x14ac:dyDescent="0.25">
      <c r="A2611" s="83"/>
      <c r="B2611" s="84"/>
      <c r="C2611" s="84"/>
      <c r="D2611" s="116"/>
      <c r="E2611" s="116"/>
    </row>
    <row r="2612" spans="1:5" x14ac:dyDescent="0.25">
      <c r="A2612" s="83"/>
      <c r="B2612" s="84"/>
      <c r="C2612" s="84"/>
      <c r="D2612" s="116"/>
      <c r="E2612" s="116"/>
    </row>
    <row r="2613" spans="1:5" x14ac:dyDescent="0.25">
      <c r="A2613" s="83"/>
      <c r="B2613" s="84"/>
      <c r="C2613" s="84"/>
      <c r="D2613" s="116"/>
      <c r="E2613" s="116"/>
    </row>
    <row r="2614" spans="1:5" x14ac:dyDescent="0.25">
      <c r="A2614" s="83"/>
      <c r="B2614" s="84"/>
      <c r="C2614" s="84"/>
      <c r="D2614" s="116"/>
      <c r="E2614" s="116"/>
    </row>
    <row r="2615" spans="1:5" x14ac:dyDescent="0.25">
      <c r="A2615" s="83"/>
      <c r="B2615" s="84"/>
      <c r="C2615" s="84"/>
      <c r="D2615" s="116"/>
      <c r="E2615" s="116"/>
    </row>
    <row r="2616" spans="1:5" x14ac:dyDescent="0.25">
      <c r="A2616" s="83"/>
      <c r="B2616" s="84"/>
      <c r="C2616" s="84"/>
      <c r="D2616" s="116"/>
      <c r="E2616" s="116"/>
    </row>
    <row r="2617" spans="1:5" x14ac:dyDescent="0.25">
      <c r="A2617" s="83"/>
      <c r="B2617" s="84"/>
      <c r="C2617" s="84"/>
      <c r="D2617" s="116"/>
      <c r="E2617" s="116"/>
    </row>
    <row r="2618" spans="1:5" x14ac:dyDescent="0.25">
      <c r="A2618" s="83"/>
      <c r="B2618" s="84"/>
      <c r="C2618" s="84"/>
      <c r="D2618" s="116"/>
      <c r="E2618" s="116"/>
    </row>
    <row r="2619" spans="1:5" x14ac:dyDescent="0.25">
      <c r="A2619" s="83"/>
      <c r="B2619" s="84"/>
      <c r="C2619" s="84"/>
      <c r="D2619" s="116"/>
      <c r="E2619" s="116"/>
    </row>
    <row r="2620" spans="1:5" x14ac:dyDescent="0.25">
      <c r="A2620" s="83"/>
      <c r="B2620" s="84"/>
      <c r="C2620" s="84"/>
      <c r="D2620" s="116"/>
      <c r="E2620" s="116"/>
    </row>
    <row r="2621" spans="1:5" x14ac:dyDescent="0.25">
      <c r="A2621" s="83"/>
      <c r="B2621" s="84"/>
      <c r="C2621" s="84"/>
      <c r="D2621" s="116"/>
      <c r="E2621" s="116"/>
    </row>
    <row r="2622" spans="1:5" x14ac:dyDescent="0.25">
      <c r="A2622" s="83"/>
      <c r="B2622" s="84"/>
      <c r="C2622" s="84"/>
      <c r="D2622" s="116"/>
      <c r="E2622" s="116"/>
    </row>
    <row r="2623" spans="1:5" x14ac:dyDescent="0.25">
      <c r="A2623" s="83"/>
      <c r="B2623" s="84"/>
      <c r="C2623" s="84"/>
      <c r="D2623" s="116"/>
      <c r="E2623" s="116"/>
    </row>
    <row r="2624" spans="1:5" x14ac:dyDescent="0.25">
      <c r="A2624" s="83"/>
      <c r="B2624" s="84"/>
      <c r="C2624" s="84"/>
      <c r="D2624" s="116"/>
      <c r="E2624" s="116"/>
    </row>
    <row r="2625" spans="1:5" x14ac:dyDescent="0.25">
      <c r="A2625" s="83"/>
      <c r="B2625" s="84"/>
      <c r="C2625" s="84"/>
      <c r="D2625" s="116"/>
      <c r="E2625" s="116"/>
    </row>
    <row r="2626" spans="1:5" x14ac:dyDescent="0.25">
      <c r="A2626" s="83"/>
      <c r="B2626" s="84"/>
      <c r="C2626" s="84"/>
      <c r="D2626" s="116"/>
      <c r="E2626" s="116"/>
    </row>
    <row r="2627" spans="1:5" x14ac:dyDescent="0.25">
      <c r="A2627" s="83"/>
      <c r="B2627" s="84"/>
      <c r="C2627" s="84"/>
      <c r="D2627" s="116"/>
      <c r="E2627" s="116"/>
    </row>
    <row r="2628" spans="1:5" x14ac:dyDescent="0.25">
      <c r="A2628" s="83"/>
      <c r="B2628" s="84"/>
      <c r="C2628" s="84"/>
      <c r="D2628" s="116"/>
      <c r="E2628" s="116"/>
    </row>
    <row r="2629" spans="1:5" x14ac:dyDescent="0.25">
      <c r="A2629" s="83"/>
      <c r="B2629" s="84"/>
      <c r="C2629" s="84"/>
      <c r="D2629" s="116"/>
      <c r="E2629" s="116"/>
    </row>
    <row r="2630" spans="1:5" x14ac:dyDescent="0.25">
      <c r="A2630" s="83"/>
      <c r="B2630" s="84"/>
      <c r="C2630" s="84"/>
      <c r="D2630" s="116"/>
      <c r="E2630" s="116"/>
    </row>
    <row r="2631" spans="1:5" x14ac:dyDescent="0.25">
      <c r="A2631" s="83"/>
      <c r="B2631" s="84"/>
      <c r="C2631" s="84"/>
      <c r="D2631" s="116"/>
      <c r="E2631" s="116"/>
    </row>
    <row r="2632" spans="1:5" x14ac:dyDescent="0.25">
      <c r="A2632" s="83"/>
      <c r="B2632" s="84"/>
      <c r="C2632" s="84"/>
      <c r="D2632" s="116"/>
      <c r="E2632" s="116"/>
    </row>
    <row r="2633" spans="1:5" x14ac:dyDescent="0.25">
      <c r="A2633" s="83"/>
      <c r="B2633" s="84"/>
      <c r="C2633" s="84"/>
      <c r="D2633" s="116"/>
      <c r="E2633" s="116"/>
    </row>
    <row r="2634" spans="1:5" x14ac:dyDescent="0.25">
      <c r="A2634" s="83"/>
      <c r="B2634" s="84"/>
      <c r="C2634" s="84"/>
      <c r="D2634" s="116"/>
      <c r="E2634" s="116"/>
    </row>
    <row r="2635" spans="1:5" x14ac:dyDescent="0.25">
      <c r="A2635" s="83"/>
      <c r="B2635" s="84"/>
      <c r="C2635" s="84"/>
      <c r="D2635" s="116"/>
      <c r="E2635" s="116"/>
    </row>
    <row r="2636" spans="1:5" x14ac:dyDescent="0.25">
      <c r="A2636" s="83"/>
      <c r="B2636" s="84"/>
      <c r="C2636" s="84"/>
      <c r="D2636" s="116"/>
      <c r="E2636" s="116"/>
    </row>
    <row r="2637" spans="1:5" x14ac:dyDescent="0.25">
      <c r="A2637" s="83"/>
      <c r="B2637" s="84"/>
      <c r="C2637" s="84"/>
      <c r="D2637" s="116"/>
      <c r="E2637" s="116"/>
    </row>
    <row r="2638" spans="1:5" x14ac:dyDescent="0.25">
      <c r="A2638" s="83"/>
      <c r="B2638" s="84"/>
      <c r="C2638" s="84"/>
      <c r="D2638" s="116"/>
      <c r="E2638" s="116"/>
    </row>
    <row r="2639" spans="1:5" x14ac:dyDescent="0.25">
      <c r="A2639" s="83"/>
      <c r="B2639" s="84"/>
      <c r="C2639" s="84"/>
      <c r="D2639" s="116"/>
      <c r="E2639" s="116"/>
    </row>
    <row r="2640" spans="1:5" x14ac:dyDescent="0.25">
      <c r="A2640" s="83"/>
      <c r="B2640" s="84"/>
      <c r="C2640" s="84"/>
      <c r="D2640" s="116"/>
      <c r="E2640" s="116"/>
    </row>
    <row r="2641" spans="1:5" x14ac:dyDescent="0.25">
      <c r="A2641" s="83"/>
      <c r="B2641" s="84"/>
      <c r="C2641" s="84"/>
      <c r="D2641" s="116"/>
      <c r="E2641" s="116"/>
    </row>
    <row r="2642" spans="1:5" x14ac:dyDescent="0.25">
      <c r="A2642" s="83"/>
      <c r="B2642" s="84"/>
      <c r="C2642" s="84"/>
      <c r="D2642" s="116"/>
      <c r="E2642" s="116"/>
    </row>
    <row r="2643" spans="1:5" x14ac:dyDescent="0.25">
      <c r="A2643" s="83"/>
      <c r="B2643" s="84"/>
      <c r="C2643" s="84"/>
      <c r="D2643" s="116"/>
      <c r="E2643" s="116"/>
    </row>
    <row r="2644" spans="1:5" x14ac:dyDescent="0.25">
      <c r="A2644" s="83"/>
      <c r="B2644" s="84"/>
      <c r="C2644" s="84"/>
      <c r="D2644" s="116"/>
      <c r="E2644" s="116"/>
    </row>
    <row r="2645" spans="1:5" x14ac:dyDescent="0.25">
      <c r="A2645" s="83"/>
      <c r="B2645" s="84"/>
      <c r="C2645" s="84"/>
      <c r="D2645" s="116"/>
      <c r="E2645" s="116"/>
    </row>
    <row r="2646" spans="1:5" x14ac:dyDescent="0.25">
      <c r="A2646" s="83"/>
      <c r="B2646" s="84"/>
      <c r="C2646" s="84"/>
      <c r="D2646" s="116"/>
      <c r="E2646" s="116"/>
    </row>
    <row r="2647" spans="1:5" x14ac:dyDescent="0.25">
      <c r="A2647" s="83"/>
      <c r="B2647" s="84"/>
      <c r="C2647" s="84"/>
      <c r="D2647" s="116"/>
      <c r="E2647" s="116"/>
    </row>
    <row r="2648" spans="1:5" x14ac:dyDescent="0.25">
      <c r="A2648" s="83"/>
      <c r="B2648" s="84"/>
      <c r="C2648" s="84"/>
      <c r="D2648" s="116"/>
      <c r="E2648" s="116"/>
    </row>
    <row r="2649" spans="1:5" x14ac:dyDescent="0.25">
      <c r="A2649" s="83"/>
      <c r="B2649" s="84"/>
      <c r="C2649" s="84"/>
      <c r="D2649" s="116"/>
      <c r="E2649" s="116"/>
    </row>
    <row r="2650" spans="1:5" x14ac:dyDescent="0.25">
      <c r="A2650" s="83"/>
      <c r="B2650" s="84"/>
      <c r="C2650" s="84"/>
      <c r="D2650" s="116"/>
      <c r="E2650" s="116"/>
    </row>
    <row r="2651" spans="1:5" x14ac:dyDescent="0.25">
      <c r="A2651" s="83"/>
      <c r="B2651" s="84"/>
      <c r="C2651" s="84"/>
      <c r="D2651" s="116"/>
      <c r="E2651" s="116"/>
    </row>
    <row r="2652" spans="1:5" x14ac:dyDescent="0.25">
      <c r="A2652" s="83"/>
      <c r="B2652" s="84"/>
      <c r="C2652" s="84"/>
      <c r="D2652" s="116"/>
      <c r="E2652" s="116"/>
    </row>
    <row r="2653" spans="1:5" x14ac:dyDescent="0.25">
      <c r="A2653" s="83"/>
      <c r="B2653" s="84"/>
      <c r="C2653" s="84"/>
      <c r="D2653" s="116"/>
      <c r="E2653" s="116"/>
    </row>
    <row r="2654" spans="1:5" x14ac:dyDescent="0.25">
      <c r="A2654" s="83"/>
      <c r="B2654" s="84"/>
      <c r="C2654" s="84"/>
      <c r="D2654" s="116"/>
      <c r="E2654" s="116"/>
    </row>
    <row r="2655" spans="1:5" x14ac:dyDescent="0.25">
      <c r="A2655" s="83"/>
      <c r="B2655" s="84"/>
      <c r="C2655" s="84"/>
      <c r="D2655" s="116"/>
      <c r="E2655" s="116"/>
    </row>
    <row r="2656" spans="1:5" x14ac:dyDescent="0.25">
      <c r="A2656" s="83"/>
      <c r="B2656" s="84"/>
      <c r="C2656" s="84"/>
      <c r="D2656" s="116"/>
      <c r="E2656" s="116"/>
    </row>
    <row r="2657" spans="1:5" x14ac:dyDescent="0.25">
      <c r="A2657" s="83"/>
      <c r="B2657" s="84"/>
      <c r="C2657" s="84"/>
      <c r="D2657" s="116"/>
      <c r="E2657" s="116"/>
    </row>
    <row r="2658" spans="1:5" x14ac:dyDescent="0.25">
      <c r="A2658" s="83"/>
      <c r="B2658" s="84"/>
      <c r="C2658" s="84"/>
      <c r="D2658" s="116"/>
      <c r="E2658" s="116"/>
    </row>
    <row r="2659" spans="1:5" x14ac:dyDescent="0.25">
      <c r="A2659" s="83"/>
      <c r="B2659" s="84"/>
      <c r="C2659" s="84"/>
      <c r="D2659" s="116"/>
      <c r="E2659" s="116"/>
    </row>
    <row r="2660" spans="1:5" x14ac:dyDescent="0.25">
      <c r="A2660" s="83"/>
      <c r="B2660" s="84"/>
      <c r="C2660" s="84"/>
      <c r="D2660" s="116"/>
      <c r="E2660" s="116"/>
    </row>
    <row r="2661" spans="1:5" x14ac:dyDescent="0.25">
      <c r="A2661" s="83"/>
      <c r="B2661" s="84"/>
      <c r="C2661" s="84"/>
      <c r="D2661" s="116"/>
      <c r="E2661" s="116"/>
    </row>
    <row r="2662" spans="1:5" x14ac:dyDescent="0.25">
      <c r="A2662" s="83"/>
      <c r="B2662" s="84"/>
      <c r="C2662" s="84"/>
      <c r="D2662" s="116"/>
      <c r="E2662" s="116"/>
    </row>
    <row r="2663" spans="1:5" x14ac:dyDescent="0.25">
      <c r="A2663" s="83"/>
      <c r="B2663" s="84"/>
      <c r="C2663" s="84"/>
      <c r="D2663" s="116"/>
      <c r="E2663" s="116"/>
    </row>
    <row r="2664" spans="1:5" x14ac:dyDescent="0.25">
      <c r="A2664" s="83"/>
      <c r="B2664" s="84"/>
      <c r="C2664" s="84"/>
      <c r="D2664" s="116"/>
      <c r="E2664" s="116"/>
    </row>
    <row r="2665" spans="1:5" x14ac:dyDescent="0.25">
      <c r="A2665" s="83"/>
      <c r="B2665" s="84"/>
      <c r="C2665" s="84"/>
      <c r="D2665" s="116"/>
      <c r="E2665" s="116"/>
    </row>
    <row r="2666" spans="1:5" x14ac:dyDescent="0.25">
      <c r="A2666" s="83"/>
      <c r="B2666" s="84"/>
      <c r="C2666" s="84"/>
      <c r="D2666" s="116"/>
      <c r="E2666" s="116"/>
    </row>
    <row r="2667" spans="1:5" x14ac:dyDescent="0.25">
      <c r="A2667" s="83"/>
      <c r="B2667" s="84"/>
      <c r="C2667" s="84"/>
      <c r="D2667" s="116"/>
      <c r="E2667" s="116"/>
    </row>
    <row r="2668" spans="1:5" x14ac:dyDescent="0.25">
      <c r="A2668" s="83"/>
      <c r="B2668" s="84"/>
      <c r="C2668" s="84"/>
      <c r="D2668" s="116"/>
      <c r="E2668" s="116"/>
    </row>
    <row r="2669" spans="1:5" x14ac:dyDescent="0.25">
      <c r="A2669" s="83"/>
      <c r="B2669" s="84"/>
      <c r="C2669" s="84"/>
      <c r="D2669" s="116"/>
      <c r="E2669" s="116"/>
    </row>
    <row r="2670" spans="1:5" x14ac:dyDescent="0.25">
      <c r="A2670" s="83"/>
      <c r="B2670" s="84"/>
      <c r="C2670" s="84"/>
      <c r="D2670" s="116"/>
      <c r="E2670" s="116"/>
    </row>
    <row r="2671" spans="1:5" x14ac:dyDescent="0.25">
      <c r="A2671" s="83"/>
      <c r="B2671" s="84"/>
      <c r="C2671" s="84"/>
      <c r="D2671" s="116"/>
      <c r="E2671" s="116"/>
    </row>
    <row r="2672" spans="1:5" x14ac:dyDescent="0.25">
      <c r="A2672" s="83"/>
      <c r="B2672" s="84"/>
      <c r="C2672" s="84"/>
      <c r="D2672" s="116"/>
      <c r="E2672" s="116"/>
    </row>
    <row r="2673" spans="1:5" x14ac:dyDescent="0.25">
      <c r="A2673" s="83"/>
      <c r="B2673" s="84"/>
      <c r="C2673" s="84"/>
      <c r="D2673" s="116"/>
      <c r="E2673" s="116"/>
    </row>
    <row r="2674" spans="1:5" x14ac:dyDescent="0.25">
      <c r="A2674" s="83"/>
      <c r="B2674" s="84"/>
      <c r="C2674" s="84"/>
      <c r="D2674" s="116"/>
      <c r="E2674" s="116"/>
    </row>
    <row r="2675" spans="1:5" x14ac:dyDescent="0.25">
      <c r="A2675" s="83"/>
      <c r="B2675" s="84"/>
      <c r="C2675" s="84"/>
      <c r="D2675" s="116"/>
      <c r="E2675" s="116"/>
    </row>
    <row r="2676" spans="1:5" x14ac:dyDescent="0.25">
      <c r="A2676" s="83"/>
      <c r="B2676" s="84"/>
      <c r="C2676" s="84"/>
      <c r="D2676" s="116"/>
      <c r="E2676" s="116"/>
    </row>
    <row r="2677" spans="1:5" x14ac:dyDescent="0.25">
      <c r="A2677" s="83"/>
      <c r="B2677" s="84"/>
      <c r="C2677" s="84"/>
      <c r="D2677" s="116"/>
      <c r="E2677" s="116"/>
    </row>
    <row r="2678" spans="1:5" x14ac:dyDescent="0.25">
      <c r="A2678" s="83"/>
      <c r="B2678" s="84"/>
      <c r="C2678" s="84"/>
      <c r="D2678" s="116"/>
      <c r="E2678" s="116"/>
    </row>
    <row r="2679" spans="1:5" x14ac:dyDescent="0.25">
      <c r="A2679" s="83"/>
      <c r="B2679" s="84"/>
      <c r="C2679" s="84"/>
      <c r="D2679" s="116"/>
      <c r="E2679" s="116"/>
    </row>
    <row r="2680" spans="1:5" x14ac:dyDescent="0.25">
      <c r="A2680" s="83"/>
      <c r="B2680" s="84"/>
      <c r="C2680" s="84"/>
      <c r="D2680" s="116"/>
      <c r="E2680" s="116"/>
    </row>
    <row r="2681" spans="1:5" x14ac:dyDescent="0.25">
      <c r="A2681" s="83"/>
      <c r="B2681" s="84"/>
      <c r="C2681" s="84"/>
      <c r="D2681" s="116"/>
      <c r="E2681" s="116"/>
    </row>
    <row r="2682" spans="1:5" x14ac:dyDescent="0.25">
      <c r="A2682" s="83"/>
      <c r="B2682" s="84"/>
      <c r="C2682" s="84"/>
      <c r="D2682" s="116"/>
      <c r="E2682" s="116"/>
    </row>
    <row r="2683" spans="1:5" x14ac:dyDescent="0.25">
      <c r="A2683" s="83"/>
      <c r="B2683" s="84"/>
      <c r="C2683" s="84"/>
      <c r="D2683" s="116"/>
      <c r="E2683" s="116"/>
    </row>
    <row r="2684" spans="1:5" x14ac:dyDescent="0.25">
      <c r="A2684" s="83"/>
      <c r="B2684" s="84"/>
      <c r="C2684" s="84"/>
      <c r="D2684" s="116"/>
      <c r="E2684" s="116"/>
    </row>
    <row r="2685" spans="1:5" x14ac:dyDescent="0.25">
      <c r="A2685" s="83"/>
      <c r="B2685" s="84"/>
      <c r="C2685" s="84"/>
      <c r="D2685" s="116"/>
      <c r="E2685" s="116"/>
    </row>
    <row r="2686" spans="1:5" x14ac:dyDescent="0.25">
      <c r="A2686" s="83"/>
      <c r="B2686" s="84"/>
      <c r="C2686" s="84"/>
      <c r="D2686" s="116"/>
      <c r="E2686" s="116"/>
    </row>
    <row r="2687" spans="1:5" x14ac:dyDescent="0.25">
      <c r="A2687" s="83"/>
      <c r="B2687" s="84"/>
      <c r="C2687" s="84"/>
      <c r="D2687" s="116"/>
      <c r="E2687" s="116"/>
    </row>
    <row r="2688" spans="1:5" x14ac:dyDescent="0.25">
      <c r="A2688" s="83"/>
      <c r="B2688" s="84"/>
      <c r="C2688" s="84"/>
      <c r="D2688" s="116"/>
      <c r="E2688" s="116"/>
    </row>
    <row r="2689" spans="1:5" x14ac:dyDescent="0.25">
      <c r="A2689" s="83"/>
      <c r="B2689" s="84"/>
      <c r="C2689" s="84"/>
      <c r="D2689" s="116"/>
      <c r="E2689" s="116"/>
    </row>
    <row r="2690" spans="1:5" x14ac:dyDescent="0.25">
      <c r="A2690" s="83"/>
      <c r="B2690" s="84"/>
      <c r="C2690" s="84"/>
      <c r="D2690" s="116"/>
      <c r="E2690" s="116"/>
    </row>
    <row r="2691" spans="1:5" x14ac:dyDescent="0.25">
      <c r="A2691" s="83"/>
      <c r="B2691" s="84"/>
      <c r="C2691" s="84"/>
      <c r="D2691" s="116"/>
      <c r="E2691" s="116"/>
    </row>
    <row r="2692" spans="1:5" x14ac:dyDescent="0.25">
      <c r="A2692" s="83"/>
      <c r="B2692" s="84"/>
      <c r="C2692" s="84"/>
      <c r="D2692" s="116"/>
      <c r="E2692" s="116"/>
    </row>
    <row r="2693" spans="1:5" x14ac:dyDescent="0.25">
      <c r="A2693" s="83"/>
      <c r="B2693" s="84"/>
      <c r="C2693" s="84"/>
      <c r="D2693" s="116"/>
      <c r="E2693" s="116"/>
    </row>
    <row r="2694" spans="1:5" x14ac:dyDescent="0.25">
      <c r="A2694" s="83"/>
      <c r="B2694" s="84"/>
      <c r="C2694" s="84"/>
      <c r="D2694" s="116"/>
      <c r="E2694" s="116"/>
    </row>
    <row r="2695" spans="1:5" x14ac:dyDescent="0.25">
      <c r="A2695" s="83"/>
      <c r="B2695" s="84"/>
      <c r="C2695" s="84"/>
      <c r="D2695" s="116"/>
      <c r="E2695" s="116"/>
    </row>
    <row r="2696" spans="1:5" x14ac:dyDescent="0.25">
      <c r="A2696" s="83"/>
      <c r="B2696" s="84"/>
      <c r="C2696" s="84"/>
      <c r="D2696" s="116"/>
      <c r="E2696" s="116"/>
    </row>
    <row r="2697" spans="1:5" x14ac:dyDescent="0.25">
      <c r="A2697" s="83"/>
      <c r="B2697" s="84"/>
      <c r="C2697" s="84"/>
      <c r="D2697" s="116"/>
      <c r="E2697" s="116"/>
    </row>
    <row r="2698" spans="1:5" x14ac:dyDescent="0.25">
      <c r="A2698" s="83"/>
      <c r="B2698" s="84"/>
      <c r="C2698" s="84"/>
      <c r="D2698" s="116"/>
      <c r="E2698" s="116"/>
    </row>
    <row r="2699" spans="1:5" x14ac:dyDescent="0.25">
      <c r="A2699" s="83"/>
      <c r="B2699" s="84"/>
      <c r="C2699" s="84"/>
      <c r="D2699" s="116"/>
      <c r="E2699" s="116"/>
    </row>
    <row r="2700" spans="1:5" x14ac:dyDescent="0.25">
      <c r="A2700" s="83"/>
      <c r="B2700" s="84"/>
      <c r="C2700" s="84"/>
      <c r="D2700" s="116"/>
      <c r="E2700" s="116"/>
    </row>
    <row r="2701" spans="1:5" x14ac:dyDescent="0.25">
      <c r="A2701" s="83"/>
      <c r="B2701" s="84"/>
      <c r="C2701" s="84"/>
      <c r="D2701" s="116"/>
      <c r="E2701" s="116"/>
    </row>
    <row r="2702" spans="1:5" x14ac:dyDescent="0.25">
      <c r="A2702" s="83"/>
      <c r="B2702" s="84"/>
      <c r="C2702" s="84"/>
      <c r="D2702" s="116"/>
      <c r="E2702" s="116"/>
    </row>
    <row r="2703" spans="1:5" x14ac:dyDescent="0.25">
      <c r="A2703" s="83"/>
      <c r="B2703" s="84"/>
      <c r="C2703" s="84"/>
      <c r="D2703" s="116"/>
      <c r="E2703" s="116"/>
    </row>
    <row r="2704" spans="1:5" x14ac:dyDescent="0.25">
      <c r="A2704" s="83"/>
      <c r="B2704" s="84"/>
      <c r="C2704" s="84"/>
      <c r="D2704" s="116"/>
      <c r="E2704" s="116"/>
    </row>
    <row r="2705" spans="1:5" x14ac:dyDescent="0.25">
      <c r="A2705" s="83"/>
      <c r="B2705" s="84"/>
      <c r="C2705" s="84"/>
      <c r="D2705" s="116"/>
      <c r="E2705" s="116"/>
    </row>
    <row r="2706" spans="1:5" x14ac:dyDescent="0.25">
      <c r="A2706" s="83"/>
      <c r="B2706" s="84"/>
      <c r="C2706" s="84"/>
      <c r="D2706" s="116"/>
      <c r="E2706" s="116"/>
    </row>
    <row r="2707" spans="1:5" x14ac:dyDescent="0.25">
      <c r="A2707" s="83"/>
      <c r="B2707" s="84"/>
      <c r="C2707" s="84"/>
      <c r="D2707" s="116"/>
      <c r="E2707" s="116"/>
    </row>
    <row r="2708" spans="1:5" x14ac:dyDescent="0.25">
      <c r="A2708" s="83"/>
      <c r="B2708" s="84"/>
      <c r="C2708" s="84"/>
      <c r="D2708" s="116"/>
      <c r="E2708" s="116"/>
    </row>
    <row r="2709" spans="1:5" x14ac:dyDescent="0.25">
      <c r="A2709" s="83"/>
      <c r="B2709" s="84"/>
      <c r="C2709" s="84"/>
      <c r="D2709" s="116"/>
      <c r="E2709" s="116"/>
    </row>
    <row r="2710" spans="1:5" x14ac:dyDescent="0.25">
      <c r="A2710" s="83"/>
      <c r="B2710" s="84"/>
      <c r="C2710" s="84"/>
      <c r="D2710" s="116"/>
      <c r="E2710" s="116"/>
    </row>
    <row r="2711" spans="1:5" x14ac:dyDescent="0.25">
      <c r="A2711" s="83"/>
      <c r="B2711" s="84"/>
      <c r="C2711" s="84"/>
      <c r="D2711" s="116"/>
      <c r="E2711" s="116"/>
    </row>
    <row r="2712" spans="1:5" x14ac:dyDescent="0.25">
      <c r="A2712" s="83"/>
      <c r="B2712" s="84"/>
      <c r="C2712" s="84"/>
      <c r="D2712" s="116"/>
      <c r="E2712" s="116"/>
    </row>
    <row r="2713" spans="1:5" x14ac:dyDescent="0.25">
      <c r="A2713" s="83"/>
      <c r="B2713" s="84"/>
      <c r="C2713" s="84"/>
      <c r="D2713" s="116"/>
      <c r="E2713" s="116"/>
    </row>
    <row r="2714" spans="1:5" x14ac:dyDescent="0.25">
      <c r="A2714" s="83"/>
      <c r="B2714" s="84"/>
      <c r="C2714" s="84"/>
      <c r="D2714" s="116"/>
      <c r="E2714" s="116"/>
    </row>
    <row r="2715" spans="1:5" x14ac:dyDescent="0.25">
      <c r="A2715" s="83"/>
      <c r="B2715" s="84"/>
      <c r="C2715" s="84"/>
      <c r="D2715" s="116"/>
      <c r="E2715" s="116"/>
    </row>
    <row r="2716" spans="1:5" x14ac:dyDescent="0.25">
      <c r="A2716" s="83"/>
      <c r="B2716" s="84"/>
      <c r="C2716" s="84"/>
      <c r="D2716" s="116"/>
      <c r="E2716" s="116"/>
    </row>
    <row r="2717" spans="1:5" x14ac:dyDescent="0.25">
      <c r="A2717" s="83"/>
      <c r="B2717" s="84"/>
      <c r="C2717" s="84"/>
      <c r="D2717" s="116"/>
      <c r="E2717" s="116"/>
    </row>
    <row r="2718" spans="1:5" x14ac:dyDescent="0.25">
      <c r="A2718" s="83"/>
      <c r="B2718" s="84"/>
      <c r="C2718" s="84"/>
      <c r="D2718" s="116"/>
      <c r="E2718" s="116"/>
    </row>
    <row r="2719" spans="1:5" x14ac:dyDescent="0.25">
      <c r="A2719" s="83"/>
      <c r="B2719" s="84"/>
      <c r="C2719" s="84"/>
      <c r="D2719" s="116"/>
      <c r="E2719" s="116"/>
    </row>
    <row r="2720" spans="1:5" x14ac:dyDescent="0.25">
      <c r="A2720" s="83"/>
      <c r="B2720" s="84"/>
      <c r="C2720" s="84"/>
      <c r="D2720" s="116"/>
      <c r="E2720" s="116"/>
    </row>
    <row r="2721" spans="1:5" x14ac:dyDescent="0.25">
      <c r="A2721" s="83"/>
      <c r="B2721" s="84"/>
      <c r="C2721" s="84"/>
      <c r="D2721" s="116"/>
      <c r="E2721" s="116"/>
    </row>
    <row r="2722" spans="1:5" x14ac:dyDescent="0.25">
      <c r="A2722" s="83"/>
      <c r="B2722" s="84"/>
      <c r="C2722" s="84"/>
      <c r="D2722" s="116"/>
      <c r="E2722" s="116"/>
    </row>
    <row r="2723" spans="1:5" x14ac:dyDescent="0.25">
      <c r="A2723" s="83"/>
      <c r="B2723" s="84"/>
      <c r="C2723" s="84"/>
      <c r="D2723" s="116"/>
      <c r="E2723" s="116"/>
    </row>
    <row r="2724" spans="1:5" x14ac:dyDescent="0.25">
      <c r="A2724" s="83"/>
      <c r="B2724" s="84"/>
      <c r="C2724" s="84"/>
      <c r="D2724" s="116"/>
      <c r="E2724" s="116"/>
    </row>
    <row r="2725" spans="1:5" x14ac:dyDescent="0.25">
      <c r="A2725" s="83"/>
      <c r="B2725" s="84"/>
      <c r="C2725" s="84"/>
      <c r="D2725" s="116"/>
      <c r="E2725" s="116"/>
    </row>
    <row r="2726" spans="1:5" x14ac:dyDescent="0.25">
      <c r="A2726" s="83"/>
      <c r="B2726" s="84"/>
      <c r="C2726" s="84"/>
      <c r="D2726" s="116"/>
      <c r="E2726" s="116"/>
    </row>
    <row r="2727" spans="1:5" x14ac:dyDescent="0.25">
      <c r="A2727" s="83"/>
      <c r="B2727" s="84"/>
      <c r="C2727" s="84"/>
      <c r="D2727" s="116"/>
      <c r="E2727" s="116"/>
    </row>
    <row r="2728" spans="1:5" x14ac:dyDescent="0.25">
      <c r="A2728" s="83"/>
      <c r="B2728" s="84"/>
      <c r="C2728" s="84"/>
      <c r="D2728" s="116"/>
      <c r="E2728" s="116"/>
    </row>
    <row r="2729" spans="1:5" x14ac:dyDescent="0.25">
      <c r="A2729" s="83"/>
      <c r="B2729" s="84"/>
      <c r="C2729" s="84"/>
      <c r="D2729" s="116"/>
      <c r="E2729" s="116"/>
    </row>
    <row r="2730" spans="1:5" x14ac:dyDescent="0.25">
      <c r="A2730" s="83"/>
      <c r="B2730" s="84"/>
      <c r="C2730" s="84"/>
      <c r="D2730" s="116"/>
      <c r="E2730" s="116"/>
    </row>
    <row r="2731" spans="1:5" x14ac:dyDescent="0.25">
      <c r="A2731" s="83"/>
      <c r="B2731" s="84"/>
      <c r="C2731" s="84"/>
      <c r="D2731" s="116"/>
      <c r="E2731" s="116"/>
    </row>
    <row r="2732" spans="1:5" x14ac:dyDescent="0.25">
      <c r="A2732" s="83"/>
      <c r="B2732" s="84"/>
      <c r="C2732" s="84"/>
      <c r="D2732" s="116"/>
      <c r="E2732" s="116"/>
    </row>
    <row r="2733" spans="1:5" x14ac:dyDescent="0.25">
      <c r="A2733" s="83"/>
      <c r="B2733" s="84"/>
      <c r="C2733" s="84"/>
      <c r="D2733" s="116"/>
      <c r="E2733" s="116"/>
    </row>
    <row r="2734" spans="1:5" x14ac:dyDescent="0.25">
      <c r="A2734" s="83"/>
      <c r="B2734" s="84"/>
      <c r="C2734" s="84"/>
      <c r="D2734" s="116"/>
      <c r="E2734" s="116"/>
    </row>
    <row r="2735" spans="1:5" x14ac:dyDescent="0.25">
      <c r="A2735" s="83"/>
      <c r="B2735" s="84"/>
      <c r="C2735" s="84"/>
      <c r="D2735" s="116"/>
      <c r="E2735" s="116"/>
    </row>
    <row r="2736" spans="1:5" x14ac:dyDescent="0.25">
      <c r="A2736" s="83"/>
      <c r="B2736" s="84"/>
      <c r="C2736" s="84"/>
      <c r="D2736" s="116"/>
      <c r="E2736" s="116"/>
    </row>
    <row r="2737" spans="1:5" x14ac:dyDescent="0.25">
      <c r="A2737" s="83"/>
      <c r="B2737" s="84"/>
      <c r="C2737" s="84"/>
      <c r="D2737" s="116"/>
      <c r="E2737" s="116"/>
    </row>
    <row r="2738" spans="1:5" x14ac:dyDescent="0.25">
      <c r="A2738" s="83"/>
      <c r="B2738" s="84"/>
      <c r="C2738" s="84"/>
      <c r="D2738" s="116"/>
      <c r="E2738" s="116"/>
    </row>
    <row r="2739" spans="1:5" x14ac:dyDescent="0.25">
      <c r="A2739" s="83"/>
      <c r="B2739" s="84"/>
      <c r="C2739" s="84"/>
      <c r="D2739" s="116"/>
      <c r="E2739" s="116"/>
    </row>
    <row r="2740" spans="1:5" x14ac:dyDescent="0.25">
      <c r="A2740" s="83"/>
      <c r="B2740" s="84"/>
      <c r="C2740" s="84"/>
      <c r="D2740" s="116"/>
      <c r="E2740" s="116"/>
    </row>
    <row r="2741" spans="1:5" x14ac:dyDescent="0.25">
      <c r="A2741" s="83"/>
      <c r="B2741" s="84"/>
      <c r="C2741" s="84"/>
      <c r="D2741" s="116"/>
      <c r="E2741" s="116"/>
    </row>
    <row r="2742" spans="1:5" x14ac:dyDescent="0.25">
      <c r="A2742" s="83"/>
      <c r="B2742" s="84"/>
      <c r="C2742" s="84"/>
      <c r="D2742" s="116"/>
      <c r="E2742" s="116"/>
    </row>
    <row r="2743" spans="1:5" x14ac:dyDescent="0.25">
      <c r="A2743" s="83"/>
      <c r="B2743" s="84"/>
      <c r="C2743" s="84"/>
      <c r="D2743" s="116"/>
      <c r="E2743" s="116"/>
    </row>
    <row r="2744" spans="1:5" x14ac:dyDescent="0.25">
      <c r="A2744" s="83"/>
      <c r="B2744" s="84"/>
      <c r="C2744" s="84"/>
      <c r="D2744" s="116"/>
      <c r="E2744" s="116"/>
    </row>
    <row r="2745" spans="1:5" x14ac:dyDescent="0.25">
      <c r="A2745" s="83"/>
      <c r="B2745" s="84"/>
      <c r="C2745" s="84"/>
      <c r="D2745" s="116"/>
      <c r="E2745" s="116"/>
    </row>
    <row r="2746" spans="1:5" x14ac:dyDescent="0.25">
      <c r="A2746" s="83"/>
      <c r="B2746" s="84"/>
      <c r="C2746" s="84"/>
      <c r="D2746" s="116"/>
      <c r="E2746" s="116"/>
    </row>
    <row r="2747" spans="1:5" x14ac:dyDescent="0.25">
      <c r="A2747" s="83"/>
      <c r="B2747" s="84"/>
      <c r="C2747" s="84"/>
      <c r="D2747" s="116"/>
      <c r="E2747" s="116"/>
    </row>
    <row r="2748" spans="1:5" x14ac:dyDescent="0.25">
      <c r="A2748" s="83"/>
      <c r="B2748" s="84"/>
      <c r="C2748" s="84"/>
      <c r="D2748" s="116"/>
      <c r="E2748" s="116"/>
    </row>
    <row r="2749" spans="1:5" x14ac:dyDescent="0.25">
      <c r="A2749" s="83"/>
      <c r="B2749" s="84"/>
      <c r="C2749" s="84"/>
      <c r="D2749" s="116"/>
      <c r="E2749" s="116"/>
    </row>
    <row r="2750" spans="1:5" x14ac:dyDescent="0.25">
      <c r="A2750" s="83"/>
      <c r="B2750" s="84"/>
      <c r="C2750" s="84"/>
      <c r="D2750" s="116"/>
      <c r="E2750" s="116"/>
    </row>
    <row r="2751" spans="1:5" x14ac:dyDescent="0.25">
      <c r="A2751" s="83"/>
      <c r="B2751" s="84"/>
      <c r="C2751" s="84"/>
      <c r="D2751" s="116"/>
      <c r="E2751" s="116"/>
    </row>
    <row r="2752" spans="1:5" x14ac:dyDescent="0.25">
      <c r="A2752" s="83"/>
      <c r="B2752" s="84"/>
      <c r="C2752" s="84"/>
      <c r="D2752" s="116"/>
      <c r="E2752" s="116"/>
    </row>
    <row r="2753" spans="1:5" x14ac:dyDescent="0.25">
      <c r="A2753" s="83"/>
      <c r="B2753" s="84"/>
      <c r="C2753" s="84"/>
      <c r="D2753" s="116"/>
      <c r="E2753" s="116"/>
    </row>
    <row r="2754" spans="1:5" x14ac:dyDescent="0.25">
      <c r="A2754" s="83"/>
      <c r="B2754" s="84"/>
      <c r="C2754" s="84"/>
      <c r="D2754" s="116"/>
      <c r="E2754" s="116"/>
    </row>
    <row r="2755" spans="1:5" x14ac:dyDescent="0.25">
      <c r="A2755" s="83"/>
      <c r="B2755" s="84"/>
      <c r="C2755" s="84"/>
      <c r="D2755" s="116"/>
      <c r="E2755" s="116"/>
    </row>
    <row r="2756" spans="1:5" x14ac:dyDescent="0.25">
      <c r="A2756" s="83"/>
      <c r="B2756" s="84"/>
      <c r="C2756" s="84"/>
      <c r="D2756" s="116"/>
      <c r="E2756" s="116"/>
    </row>
    <row r="2757" spans="1:5" x14ac:dyDescent="0.25">
      <c r="A2757" s="83"/>
      <c r="B2757" s="84"/>
      <c r="C2757" s="84"/>
      <c r="D2757" s="116"/>
      <c r="E2757" s="116"/>
    </row>
    <row r="2758" spans="1:5" x14ac:dyDescent="0.25">
      <c r="A2758" s="83"/>
      <c r="B2758" s="84"/>
      <c r="C2758" s="84"/>
      <c r="D2758" s="116"/>
      <c r="E2758" s="116"/>
    </row>
    <row r="2759" spans="1:5" x14ac:dyDescent="0.25">
      <c r="A2759" s="83"/>
      <c r="B2759" s="84"/>
      <c r="C2759" s="84"/>
      <c r="D2759" s="116"/>
      <c r="E2759" s="116"/>
    </row>
    <row r="2760" spans="1:5" x14ac:dyDescent="0.25">
      <c r="A2760" s="83"/>
      <c r="B2760" s="84"/>
      <c r="C2760" s="84"/>
      <c r="D2760" s="116"/>
      <c r="E2760" s="116"/>
    </row>
    <row r="2761" spans="1:5" x14ac:dyDescent="0.25">
      <c r="A2761" s="83"/>
      <c r="B2761" s="84"/>
      <c r="C2761" s="84"/>
      <c r="D2761" s="116"/>
      <c r="E2761" s="116"/>
    </row>
    <row r="2762" spans="1:5" x14ac:dyDescent="0.25">
      <c r="A2762" s="83"/>
      <c r="B2762" s="84"/>
      <c r="C2762" s="84"/>
      <c r="D2762" s="116"/>
      <c r="E2762" s="116"/>
    </row>
    <row r="2763" spans="1:5" x14ac:dyDescent="0.25">
      <c r="A2763" s="83"/>
      <c r="B2763" s="84"/>
      <c r="C2763" s="84"/>
      <c r="D2763" s="116"/>
      <c r="E2763" s="116"/>
    </row>
    <row r="2764" spans="1:5" x14ac:dyDescent="0.25">
      <c r="A2764" s="83"/>
      <c r="B2764" s="84"/>
      <c r="C2764" s="84"/>
      <c r="D2764" s="116"/>
      <c r="E2764" s="116"/>
    </row>
    <row r="2765" spans="1:5" x14ac:dyDescent="0.25">
      <c r="A2765" s="83"/>
      <c r="B2765" s="84"/>
      <c r="C2765" s="84"/>
      <c r="D2765" s="116"/>
      <c r="E2765" s="116"/>
    </row>
    <row r="2766" spans="1:5" x14ac:dyDescent="0.25">
      <c r="A2766" s="83"/>
      <c r="B2766" s="84"/>
      <c r="C2766" s="84"/>
      <c r="D2766" s="116"/>
      <c r="E2766" s="116"/>
    </row>
    <row r="2767" spans="1:5" x14ac:dyDescent="0.25">
      <c r="A2767" s="83"/>
      <c r="B2767" s="84"/>
      <c r="C2767" s="84"/>
      <c r="D2767" s="116"/>
      <c r="E2767" s="116"/>
    </row>
    <row r="2768" spans="1:5" x14ac:dyDescent="0.25">
      <c r="A2768" s="83"/>
      <c r="B2768" s="84"/>
      <c r="C2768" s="84"/>
      <c r="D2768" s="116"/>
      <c r="E2768" s="116"/>
    </row>
    <row r="2769" spans="1:5" x14ac:dyDescent="0.25">
      <c r="A2769" s="83"/>
      <c r="B2769" s="84"/>
      <c r="C2769" s="84"/>
      <c r="D2769" s="116"/>
      <c r="E2769" s="116"/>
    </row>
    <row r="2770" spans="1:5" x14ac:dyDescent="0.25">
      <c r="A2770" s="83"/>
      <c r="B2770" s="84"/>
      <c r="C2770" s="84"/>
      <c r="D2770" s="116"/>
      <c r="E2770" s="116"/>
    </row>
    <row r="2771" spans="1:5" x14ac:dyDescent="0.25">
      <c r="A2771" s="83"/>
      <c r="B2771" s="84"/>
      <c r="C2771" s="84"/>
      <c r="D2771" s="116"/>
      <c r="E2771" s="116"/>
    </row>
    <row r="2772" spans="1:5" x14ac:dyDescent="0.25">
      <c r="A2772" s="83"/>
      <c r="B2772" s="84"/>
      <c r="C2772" s="84"/>
      <c r="D2772" s="116"/>
      <c r="E2772" s="116"/>
    </row>
    <row r="2773" spans="1:5" x14ac:dyDescent="0.25">
      <c r="A2773" s="83"/>
      <c r="B2773" s="84"/>
      <c r="C2773" s="84"/>
      <c r="D2773" s="116"/>
      <c r="E2773" s="116"/>
    </row>
    <row r="2774" spans="1:5" x14ac:dyDescent="0.25">
      <c r="A2774" s="83"/>
      <c r="B2774" s="84"/>
      <c r="C2774" s="84"/>
      <c r="D2774" s="116"/>
      <c r="E2774" s="116"/>
    </row>
    <row r="2775" spans="1:5" x14ac:dyDescent="0.25">
      <c r="A2775" s="83"/>
      <c r="B2775" s="84"/>
      <c r="C2775" s="84"/>
      <c r="D2775" s="116"/>
      <c r="E2775" s="116"/>
    </row>
    <row r="2776" spans="1:5" x14ac:dyDescent="0.25">
      <c r="A2776" s="83"/>
      <c r="B2776" s="84"/>
      <c r="C2776" s="84"/>
      <c r="D2776" s="116"/>
      <c r="E2776" s="116"/>
    </row>
    <row r="2777" spans="1:5" x14ac:dyDescent="0.25">
      <c r="A2777" s="83"/>
      <c r="B2777" s="84"/>
      <c r="C2777" s="84"/>
      <c r="D2777" s="116"/>
      <c r="E2777" s="116"/>
    </row>
    <row r="2778" spans="1:5" x14ac:dyDescent="0.25">
      <c r="A2778" s="83"/>
      <c r="B2778" s="84"/>
      <c r="C2778" s="84"/>
      <c r="D2778" s="116"/>
      <c r="E2778" s="116"/>
    </row>
    <row r="2779" spans="1:5" x14ac:dyDescent="0.25">
      <c r="A2779" s="83"/>
      <c r="B2779" s="84"/>
      <c r="C2779" s="84"/>
      <c r="D2779" s="116"/>
      <c r="E2779" s="116"/>
    </row>
    <row r="2780" spans="1:5" x14ac:dyDescent="0.25">
      <c r="A2780" s="83"/>
      <c r="B2780" s="84"/>
      <c r="C2780" s="84"/>
      <c r="D2780" s="116"/>
      <c r="E2780" s="116"/>
    </row>
    <row r="2781" spans="1:5" x14ac:dyDescent="0.25">
      <c r="A2781" s="83"/>
      <c r="B2781" s="84"/>
      <c r="C2781" s="84"/>
      <c r="D2781" s="116"/>
      <c r="E2781" s="116"/>
    </row>
    <row r="2782" spans="1:5" x14ac:dyDescent="0.25">
      <c r="A2782" s="83"/>
      <c r="B2782" s="84"/>
      <c r="C2782" s="84"/>
      <c r="D2782" s="116"/>
      <c r="E2782" s="116"/>
    </row>
    <row r="2783" spans="1:5" x14ac:dyDescent="0.25">
      <c r="A2783" s="83"/>
      <c r="B2783" s="84"/>
      <c r="C2783" s="84"/>
      <c r="D2783" s="116"/>
      <c r="E2783" s="116"/>
    </row>
    <row r="2784" spans="1:5" x14ac:dyDescent="0.25">
      <c r="A2784" s="83"/>
      <c r="B2784" s="84"/>
      <c r="C2784" s="84"/>
      <c r="D2784" s="116"/>
      <c r="E2784" s="116"/>
    </row>
    <row r="2785" spans="1:5" x14ac:dyDescent="0.25">
      <c r="A2785" s="83"/>
      <c r="B2785" s="84"/>
      <c r="C2785" s="84"/>
      <c r="D2785" s="116"/>
      <c r="E2785" s="116"/>
    </row>
    <row r="2786" spans="1:5" x14ac:dyDescent="0.25">
      <c r="A2786" s="83"/>
      <c r="B2786" s="84"/>
      <c r="C2786" s="84"/>
      <c r="D2786" s="116"/>
      <c r="E2786" s="116"/>
    </row>
    <row r="2787" spans="1:5" x14ac:dyDescent="0.25">
      <c r="A2787" s="83"/>
      <c r="B2787" s="84"/>
      <c r="C2787" s="84"/>
      <c r="D2787" s="116"/>
      <c r="E2787" s="116"/>
    </row>
    <row r="2788" spans="1:5" x14ac:dyDescent="0.25">
      <c r="A2788" s="83"/>
      <c r="B2788" s="84"/>
      <c r="C2788" s="84"/>
      <c r="D2788" s="116"/>
      <c r="E2788" s="116"/>
    </row>
    <row r="2789" spans="1:5" x14ac:dyDescent="0.25">
      <c r="A2789" s="83"/>
      <c r="B2789" s="84"/>
      <c r="C2789" s="84"/>
      <c r="D2789" s="116"/>
      <c r="E2789" s="116"/>
    </row>
    <row r="2790" spans="1:5" x14ac:dyDescent="0.25">
      <c r="A2790" s="83"/>
      <c r="B2790" s="84"/>
      <c r="C2790" s="84"/>
      <c r="D2790" s="116"/>
      <c r="E2790" s="116"/>
    </row>
    <row r="2791" spans="1:5" x14ac:dyDescent="0.25">
      <c r="A2791" s="83"/>
      <c r="B2791" s="84"/>
      <c r="C2791" s="84"/>
      <c r="D2791" s="116"/>
      <c r="E2791" s="116"/>
    </row>
    <row r="2792" spans="1:5" x14ac:dyDescent="0.25">
      <c r="A2792" s="83"/>
      <c r="B2792" s="84"/>
      <c r="C2792" s="84"/>
      <c r="D2792" s="116"/>
      <c r="E2792" s="116"/>
    </row>
    <row r="2793" spans="1:5" x14ac:dyDescent="0.25">
      <c r="A2793" s="83"/>
      <c r="B2793" s="84"/>
      <c r="C2793" s="84"/>
      <c r="D2793" s="116"/>
      <c r="E2793" s="116"/>
    </row>
    <row r="2794" spans="1:5" x14ac:dyDescent="0.25">
      <c r="A2794" s="83"/>
      <c r="B2794" s="84"/>
      <c r="C2794" s="84"/>
      <c r="D2794" s="116"/>
      <c r="E2794" s="116"/>
    </row>
    <row r="2795" spans="1:5" x14ac:dyDescent="0.25">
      <c r="A2795" s="83"/>
      <c r="B2795" s="84"/>
      <c r="C2795" s="84"/>
      <c r="D2795" s="116"/>
      <c r="E2795" s="116"/>
    </row>
    <row r="2796" spans="1:5" x14ac:dyDescent="0.25">
      <c r="A2796" s="83"/>
      <c r="B2796" s="84"/>
      <c r="C2796" s="84"/>
      <c r="D2796" s="116"/>
      <c r="E2796" s="116"/>
    </row>
    <row r="2797" spans="1:5" x14ac:dyDescent="0.25">
      <c r="A2797" s="83"/>
      <c r="B2797" s="84"/>
      <c r="C2797" s="84"/>
      <c r="D2797" s="116"/>
      <c r="E2797" s="116"/>
    </row>
    <row r="2798" spans="1:5" x14ac:dyDescent="0.25">
      <c r="A2798" s="83"/>
      <c r="B2798" s="84"/>
      <c r="C2798" s="84"/>
      <c r="D2798" s="116"/>
      <c r="E2798" s="116"/>
    </row>
    <row r="2799" spans="1:5" x14ac:dyDescent="0.25">
      <c r="A2799" s="83"/>
      <c r="B2799" s="84"/>
      <c r="C2799" s="84"/>
      <c r="D2799" s="116"/>
      <c r="E2799" s="116"/>
    </row>
    <row r="2800" spans="1:5" x14ac:dyDescent="0.25">
      <c r="A2800" s="83"/>
      <c r="B2800" s="84"/>
      <c r="C2800" s="84"/>
      <c r="D2800" s="116"/>
      <c r="E2800" s="116"/>
    </row>
    <row r="2801" spans="1:5" x14ac:dyDescent="0.25">
      <c r="A2801" s="83"/>
      <c r="B2801" s="84"/>
      <c r="C2801" s="84"/>
      <c r="D2801" s="116"/>
      <c r="E2801" s="116"/>
    </row>
    <row r="2802" spans="1:5" x14ac:dyDescent="0.25">
      <c r="A2802" s="83"/>
      <c r="B2802" s="84"/>
      <c r="C2802" s="84"/>
      <c r="D2802" s="116"/>
      <c r="E2802" s="116"/>
    </row>
    <row r="2803" spans="1:5" x14ac:dyDescent="0.25">
      <c r="A2803" s="83"/>
      <c r="B2803" s="84"/>
      <c r="C2803" s="84"/>
      <c r="D2803" s="116"/>
      <c r="E2803" s="116"/>
    </row>
    <row r="2804" spans="1:5" x14ac:dyDescent="0.25">
      <c r="A2804" s="83"/>
      <c r="B2804" s="84"/>
      <c r="C2804" s="84"/>
      <c r="D2804" s="116"/>
      <c r="E2804" s="116"/>
    </row>
    <row r="2805" spans="1:5" x14ac:dyDescent="0.25">
      <c r="A2805" s="83"/>
      <c r="B2805" s="84"/>
      <c r="C2805" s="84"/>
      <c r="D2805" s="116"/>
      <c r="E2805" s="116"/>
    </row>
    <row r="2806" spans="1:5" x14ac:dyDescent="0.25">
      <c r="A2806" s="83"/>
      <c r="B2806" s="84"/>
      <c r="C2806" s="84"/>
      <c r="D2806" s="116"/>
      <c r="E2806" s="116"/>
    </row>
    <row r="2807" spans="1:5" x14ac:dyDescent="0.25">
      <c r="A2807" s="83"/>
      <c r="B2807" s="84"/>
      <c r="C2807" s="84"/>
      <c r="D2807" s="116"/>
      <c r="E2807" s="116"/>
    </row>
    <row r="2808" spans="1:5" x14ac:dyDescent="0.25">
      <c r="A2808" s="83"/>
      <c r="B2808" s="84"/>
      <c r="C2808" s="84"/>
      <c r="D2808" s="116"/>
      <c r="E2808" s="116"/>
    </row>
    <row r="2809" spans="1:5" x14ac:dyDescent="0.25">
      <c r="A2809" s="83"/>
      <c r="B2809" s="84"/>
      <c r="C2809" s="84"/>
      <c r="D2809" s="116"/>
      <c r="E2809" s="116"/>
    </row>
    <row r="2810" spans="1:5" x14ac:dyDescent="0.25">
      <c r="A2810" s="83"/>
      <c r="B2810" s="84"/>
      <c r="C2810" s="84"/>
      <c r="D2810" s="116"/>
      <c r="E2810" s="116"/>
    </row>
    <row r="2811" spans="1:5" x14ac:dyDescent="0.25">
      <c r="A2811" s="83"/>
      <c r="B2811" s="84"/>
      <c r="C2811" s="84"/>
      <c r="D2811" s="116"/>
      <c r="E2811" s="116"/>
    </row>
    <row r="2812" spans="1:5" x14ac:dyDescent="0.25">
      <c r="A2812" s="83"/>
      <c r="B2812" s="84"/>
      <c r="C2812" s="84"/>
      <c r="D2812" s="116"/>
      <c r="E2812" s="116"/>
    </row>
    <row r="2813" spans="1:5" x14ac:dyDescent="0.25">
      <c r="A2813" s="83"/>
      <c r="B2813" s="84"/>
      <c r="C2813" s="84"/>
      <c r="D2813" s="116"/>
      <c r="E2813" s="116"/>
    </row>
    <row r="2814" spans="1:5" x14ac:dyDescent="0.25">
      <c r="A2814" s="83"/>
      <c r="B2814" s="84"/>
      <c r="C2814" s="84"/>
      <c r="D2814" s="116"/>
      <c r="E2814" s="116"/>
    </row>
    <row r="2815" spans="1:5" x14ac:dyDescent="0.25">
      <c r="A2815" s="83"/>
      <c r="B2815" s="84"/>
      <c r="C2815" s="84"/>
      <c r="D2815" s="116"/>
      <c r="E2815" s="116"/>
    </row>
    <row r="2816" spans="1:5" x14ac:dyDescent="0.25">
      <c r="A2816" s="83"/>
      <c r="B2816" s="84"/>
      <c r="C2816" s="84"/>
      <c r="D2816" s="116"/>
      <c r="E2816" s="116"/>
    </row>
    <row r="2817" spans="1:5" x14ac:dyDescent="0.25">
      <c r="A2817" s="83"/>
      <c r="B2817" s="84"/>
      <c r="C2817" s="84"/>
      <c r="D2817" s="116"/>
      <c r="E2817" s="116"/>
    </row>
    <row r="2818" spans="1:5" x14ac:dyDescent="0.25">
      <c r="A2818" s="83"/>
      <c r="B2818" s="84"/>
      <c r="C2818" s="84"/>
      <c r="D2818" s="116"/>
      <c r="E2818" s="116"/>
    </row>
    <row r="2819" spans="1:5" x14ac:dyDescent="0.25">
      <c r="A2819" s="83"/>
      <c r="B2819" s="84"/>
      <c r="C2819" s="84"/>
      <c r="D2819" s="116"/>
      <c r="E2819" s="116"/>
    </row>
    <row r="2820" spans="1:5" x14ac:dyDescent="0.25">
      <c r="A2820" s="83"/>
      <c r="B2820" s="84"/>
      <c r="C2820" s="84"/>
      <c r="D2820" s="116"/>
      <c r="E2820" s="116"/>
    </row>
    <row r="2821" spans="1:5" x14ac:dyDescent="0.25">
      <c r="A2821" s="83"/>
      <c r="B2821" s="84"/>
      <c r="C2821" s="84"/>
      <c r="D2821" s="116"/>
      <c r="E2821" s="116"/>
    </row>
    <row r="2822" spans="1:5" x14ac:dyDescent="0.25">
      <c r="A2822" s="83"/>
      <c r="B2822" s="84"/>
      <c r="C2822" s="84"/>
      <c r="D2822" s="116"/>
      <c r="E2822" s="116"/>
    </row>
    <row r="2823" spans="1:5" x14ac:dyDescent="0.25">
      <c r="A2823" s="83"/>
      <c r="B2823" s="84"/>
      <c r="C2823" s="84"/>
      <c r="D2823" s="116"/>
      <c r="E2823" s="116"/>
    </row>
    <row r="2824" spans="1:5" x14ac:dyDescent="0.25">
      <c r="A2824" s="83"/>
      <c r="B2824" s="84"/>
      <c r="C2824" s="84"/>
      <c r="D2824" s="116"/>
      <c r="E2824" s="116"/>
    </row>
    <row r="2825" spans="1:5" x14ac:dyDescent="0.25">
      <c r="A2825" s="83"/>
      <c r="B2825" s="84"/>
      <c r="C2825" s="84"/>
      <c r="D2825" s="116"/>
      <c r="E2825" s="116"/>
    </row>
    <row r="2826" spans="1:5" x14ac:dyDescent="0.25">
      <c r="A2826" s="83"/>
      <c r="B2826" s="84"/>
      <c r="C2826" s="84"/>
      <c r="D2826" s="116"/>
      <c r="E2826" s="116"/>
    </row>
    <row r="2827" spans="1:5" x14ac:dyDescent="0.25">
      <c r="A2827" s="83"/>
      <c r="B2827" s="84"/>
      <c r="C2827" s="84"/>
      <c r="D2827" s="116"/>
      <c r="E2827" s="116"/>
    </row>
    <row r="2828" spans="1:5" x14ac:dyDescent="0.25">
      <c r="A2828" s="83"/>
      <c r="B2828" s="84"/>
      <c r="C2828" s="84"/>
      <c r="D2828" s="116"/>
      <c r="E2828" s="116"/>
    </row>
    <row r="2829" spans="1:5" x14ac:dyDescent="0.25">
      <c r="A2829" s="83"/>
      <c r="B2829" s="84"/>
      <c r="C2829" s="84"/>
      <c r="D2829" s="116"/>
      <c r="E2829" s="116"/>
    </row>
    <row r="2830" spans="1:5" x14ac:dyDescent="0.25">
      <c r="A2830" s="83"/>
      <c r="B2830" s="84"/>
      <c r="C2830" s="84"/>
      <c r="D2830" s="116"/>
      <c r="E2830" s="116"/>
    </row>
    <row r="2831" spans="1:5" x14ac:dyDescent="0.25">
      <c r="A2831" s="83"/>
      <c r="B2831" s="84"/>
      <c r="C2831" s="84"/>
      <c r="D2831" s="116"/>
      <c r="E2831" s="116"/>
    </row>
    <row r="2832" spans="1:5" x14ac:dyDescent="0.25">
      <c r="A2832" s="83"/>
      <c r="B2832" s="84"/>
      <c r="C2832" s="84"/>
      <c r="D2832" s="116"/>
      <c r="E2832" s="116"/>
    </row>
    <row r="2833" spans="1:5" x14ac:dyDescent="0.25">
      <c r="A2833" s="83"/>
      <c r="B2833" s="84"/>
      <c r="C2833" s="84"/>
      <c r="D2833" s="116"/>
      <c r="E2833" s="116"/>
    </row>
    <row r="2834" spans="1:5" x14ac:dyDescent="0.25">
      <c r="A2834" s="83"/>
      <c r="B2834" s="84"/>
      <c r="C2834" s="84"/>
      <c r="D2834" s="116"/>
      <c r="E2834" s="116"/>
    </row>
    <row r="2835" spans="1:5" x14ac:dyDescent="0.25">
      <c r="A2835" s="83"/>
      <c r="B2835" s="84"/>
      <c r="C2835" s="84"/>
      <c r="D2835" s="116"/>
      <c r="E2835" s="116"/>
    </row>
    <row r="2836" spans="1:5" x14ac:dyDescent="0.25">
      <c r="A2836" s="83"/>
      <c r="B2836" s="84"/>
      <c r="C2836" s="84"/>
      <c r="D2836" s="116"/>
      <c r="E2836" s="116"/>
    </row>
    <row r="2837" spans="1:5" x14ac:dyDescent="0.25">
      <c r="A2837" s="83"/>
      <c r="B2837" s="84"/>
      <c r="C2837" s="84"/>
      <c r="D2837" s="116"/>
      <c r="E2837" s="116"/>
    </row>
    <row r="2838" spans="1:5" x14ac:dyDescent="0.25">
      <c r="A2838" s="83"/>
      <c r="B2838" s="84"/>
      <c r="C2838" s="84"/>
      <c r="D2838" s="116"/>
      <c r="E2838" s="116"/>
    </row>
    <row r="2839" spans="1:5" x14ac:dyDescent="0.25">
      <c r="A2839" s="83"/>
      <c r="B2839" s="84"/>
      <c r="C2839" s="84"/>
      <c r="D2839" s="116"/>
      <c r="E2839" s="116"/>
    </row>
    <row r="2840" spans="1:5" x14ac:dyDescent="0.25">
      <c r="A2840" s="83"/>
      <c r="B2840" s="84"/>
      <c r="C2840" s="84"/>
      <c r="D2840" s="116"/>
      <c r="E2840" s="116"/>
    </row>
    <row r="2841" spans="1:5" x14ac:dyDescent="0.25">
      <c r="A2841" s="83"/>
      <c r="B2841" s="84"/>
      <c r="C2841" s="84"/>
      <c r="D2841" s="116"/>
      <c r="E2841" s="116"/>
    </row>
    <row r="2842" spans="1:5" x14ac:dyDescent="0.25">
      <c r="A2842" s="83"/>
      <c r="B2842" s="84"/>
      <c r="C2842" s="84"/>
      <c r="D2842" s="116"/>
      <c r="E2842" s="116"/>
    </row>
    <row r="2843" spans="1:5" x14ac:dyDescent="0.25">
      <c r="A2843" s="83"/>
      <c r="B2843" s="84"/>
      <c r="C2843" s="84"/>
      <c r="D2843" s="116"/>
      <c r="E2843" s="116"/>
    </row>
    <row r="2844" spans="1:5" x14ac:dyDescent="0.25">
      <c r="A2844" s="83"/>
      <c r="B2844" s="84"/>
      <c r="C2844" s="84"/>
      <c r="D2844" s="116"/>
      <c r="E2844" s="116"/>
    </row>
    <row r="2845" spans="1:5" x14ac:dyDescent="0.25">
      <c r="A2845" s="83"/>
      <c r="B2845" s="84"/>
      <c r="C2845" s="84"/>
      <c r="D2845" s="116"/>
      <c r="E2845" s="116"/>
    </row>
    <row r="2846" spans="1:5" x14ac:dyDescent="0.25">
      <c r="A2846" s="83"/>
      <c r="B2846" s="84"/>
      <c r="C2846" s="84"/>
      <c r="D2846" s="116"/>
      <c r="E2846" s="116"/>
    </row>
    <row r="2847" spans="1:5" x14ac:dyDescent="0.25">
      <c r="A2847" s="83"/>
      <c r="B2847" s="84"/>
      <c r="C2847" s="84"/>
      <c r="D2847" s="116"/>
      <c r="E2847" s="116"/>
    </row>
    <row r="2848" spans="1:5" x14ac:dyDescent="0.25">
      <c r="A2848" s="83"/>
      <c r="B2848" s="84"/>
      <c r="C2848" s="84"/>
      <c r="D2848" s="116"/>
      <c r="E2848" s="116"/>
    </row>
    <row r="2849" spans="1:5" x14ac:dyDescent="0.25">
      <c r="A2849" s="83"/>
      <c r="B2849" s="84"/>
      <c r="C2849" s="84"/>
      <c r="D2849" s="116"/>
      <c r="E2849" s="116"/>
    </row>
    <row r="2850" spans="1:5" x14ac:dyDescent="0.25">
      <c r="A2850" s="83"/>
      <c r="B2850" s="84"/>
      <c r="C2850" s="84"/>
      <c r="D2850" s="116"/>
      <c r="E2850" s="116"/>
    </row>
    <row r="2851" spans="1:5" x14ac:dyDescent="0.25">
      <c r="A2851" s="83"/>
      <c r="B2851" s="84"/>
      <c r="C2851" s="84"/>
      <c r="D2851" s="116"/>
      <c r="E2851" s="116"/>
    </row>
    <row r="2852" spans="1:5" x14ac:dyDescent="0.25">
      <c r="A2852" s="83"/>
      <c r="B2852" s="84"/>
      <c r="C2852" s="84"/>
      <c r="D2852" s="116"/>
      <c r="E2852" s="116"/>
    </row>
    <row r="2853" spans="1:5" x14ac:dyDescent="0.25">
      <c r="A2853" s="83"/>
      <c r="B2853" s="84"/>
      <c r="C2853" s="84"/>
      <c r="D2853" s="116"/>
      <c r="E2853" s="116"/>
    </row>
    <row r="2854" spans="1:5" x14ac:dyDescent="0.25">
      <c r="A2854" s="83"/>
      <c r="B2854" s="84"/>
      <c r="C2854" s="84"/>
      <c r="D2854" s="116"/>
      <c r="E2854" s="116"/>
    </row>
    <row r="2855" spans="1:5" x14ac:dyDescent="0.25">
      <c r="A2855" s="83"/>
      <c r="B2855" s="84"/>
      <c r="C2855" s="84"/>
      <c r="D2855" s="116"/>
      <c r="E2855" s="116"/>
    </row>
    <row r="2856" spans="1:5" x14ac:dyDescent="0.25">
      <c r="A2856" s="83"/>
      <c r="B2856" s="84"/>
      <c r="C2856" s="84"/>
      <c r="D2856" s="116"/>
      <c r="E2856" s="116"/>
    </row>
    <row r="2857" spans="1:5" x14ac:dyDescent="0.25">
      <c r="A2857" s="83"/>
      <c r="B2857" s="84"/>
      <c r="C2857" s="84"/>
      <c r="D2857" s="116"/>
      <c r="E2857" s="116"/>
    </row>
    <row r="2858" spans="1:5" x14ac:dyDescent="0.25">
      <c r="A2858" s="83"/>
      <c r="B2858" s="84"/>
      <c r="C2858" s="84"/>
      <c r="D2858" s="116"/>
      <c r="E2858" s="116"/>
    </row>
    <row r="2859" spans="1:5" x14ac:dyDescent="0.25">
      <c r="A2859" s="83"/>
      <c r="B2859" s="84"/>
      <c r="C2859" s="84"/>
      <c r="D2859" s="116"/>
      <c r="E2859" s="116"/>
    </row>
    <row r="2860" spans="1:5" x14ac:dyDescent="0.25">
      <c r="A2860" s="83"/>
      <c r="B2860" s="84"/>
      <c r="C2860" s="84"/>
      <c r="D2860" s="116"/>
      <c r="E2860" s="116"/>
    </row>
    <row r="2861" spans="1:5" x14ac:dyDescent="0.25">
      <c r="A2861" s="83"/>
      <c r="B2861" s="84"/>
      <c r="C2861" s="84"/>
      <c r="D2861" s="116"/>
      <c r="E2861" s="116"/>
    </row>
    <row r="2862" spans="1:5" x14ac:dyDescent="0.25">
      <c r="A2862" s="83"/>
      <c r="B2862" s="84"/>
      <c r="C2862" s="84"/>
      <c r="D2862" s="116"/>
      <c r="E2862" s="116"/>
    </row>
    <row r="2863" spans="1:5" x14ac:dyDescent="0.25">
      <c r="A2863" s="83"/>
      <c r="B2863" s="84"/>
      <c r="C2863" s="84"/>
      <c r="D2863" s="116"/>
      <c r="E2863" s="116"/>
    </row>
    <row r="2864" spans="1:5" x14ac:dyDescent="0.25">
      <c r="A2864" s="83"/>
      <c r="B2864" s="84"/>
      <c r="C2864" s="84"/>
      <c r="D2864" s="116"/>
      <c r="E2864" s="116"/>
    </row>
    <row r="2865" spans="1:5" x14ac:dyDescent="0.25">
      <c r="A2865" s="83"/>
      <c r="B2865" s="84"/>
      <c r="C2865" s="84"/>
      <c r="D2865" s="116"/>
      <c r="E2865" s="116"/>
    </row>
    <row r="2866" spans="1:5" x14ac:dyDescent="0.25">
      <c r="A2866" s="83"/>
      <c r="B2866" s="84"/>
      <c r="C2866" s="84"/>
      <c r="D2866" s="116"/>
      <c r="E2866" s="116"/>
    </row>
    <row r="2867" spans="1:5" x14ac:dyDescent="0.25">
      <c r="A2867" s="83"/>
      <c r="B2867" s="84"/>
      <c r="C2867" s="84"/>
      <c r="D2867" s="116"/>
      <c r="E2867" s="116"/>
    </row>
    <row r="2868" spans="1:5" x14ac:dyDescent="0.25">
      <c r="A2868" s="83"/>
      <c r="B2868" s="84"/>
      <c r="C2868" s="84"/>
      <c r="D2868" s="116"/>
      <c r="E2868" s="116"/>
    </row>
    <row r="2869" spans="1:5" x14ac:dyDescent="0.25">
      <c r="A2869" s="83"/>
      <c r="B2869" s="84"/>
      <c r="C2869" s="84"/>
      <c r="D2869" s="116"/>
      <c r="E2869" s="116"/>
    </row>
    <row r="2870" spans="1:5" x14ac:dyDescent="0.25">
      <c r="A2870" s="83"/>
      <c r="B2870" s="84"/>
      <c r="C2870" s="84"/>
      <c r="D2870" s="116"/>
      <c r="E2870" s="116"/>
    </row>
    <row r="2871" spans="1:5" x14ac:dyDescent="0.25">
      <c r="A2871" s="83"/>
      <c r="B2871" s="84"/>
      <c r="C2871" s="84"/>
      <c r="D2871" s="116"/>
      <c r="E2871" s="116"/>
    </row>
    <row r="2872" spans="1:5" x14ac:dyDescent="0.25">
      <c r="A2872" s="83"/>
      <c r="B2872" s="84"/>
      <c r="C2872" s="84"/>
      <c r="D2872" s="116"/>
      <c r="E2872" s="116"/>
    </row>
    <row r="2873" spans="1:5" x14ac:dyDescent="0.25">
      <c r="A2873" s="83"/>
      <c r="B2873" s="84"/>
      <c r="C2873" s="84"/>
      <c r="D2873" s="116"/>
      <c r="E2873" s="116"/>
    </row>
    <row r="2874" spans="1:5" x14ac:dyDescent="0.25">
      <c r="A2874" s="83"/>
      <c r="B2874" s="84"/>
      <c r="C2874" s="84"/>
      <c r="D2874" s="116"/>
      <c r="E2874" s="116"/>
    </row>
    <row r="2875" spans="1:5" x14ac:dyDescent="0.25">
      <c r="A2875" s="83"/>
      <c r="B2875" s="84"/>
      <c r="C2875" s="84"/>
      <c r="D2875" s="116"/>
      <c r="E2875" s="116"/>
    </row>
    <row r="2876" spans="1:5" x14ac:dyDescent="0.25">
      <c r="A2876" s="83"/>
      <c r="B2876" s="84"/>
      <c r="C2876" s="84"/>
      <c r="D2876" s="116"/>
      <c r="E2876" s="116"/>
    </row>
    <row r="2877" spans="1:5" x14ac:dyDescent="0.25">
      <c r="A2877" s="83"/>
      <c r="B2877" s="84"/>
      <c r="C2877" s="84"/>
      <c r="D2877" s="116"/>
      <c r="E2877" s="116"/>
    </row>
    <row r="2878" spans="1:5" x14ac:dyDescent="0.25">
      <c r="A2878" s="83"/>
      <c r="B2878" s="84"/>
      <c r="C2878" s="84"/>
      <c r="D2878" s="116"/>
      <c r="E2878" s="116"/>
    </row>
    <row r="2879" spans="1:5" x14ac:dyDescent="0.25">
      <c r="A2879" s="83"/>
      <c r="B2879" s="84"/>
      <c r="C2879" s="84"/>
      <c r="D2879" s="116"/>
      <c r="E2879" s="116"/>
    </row>
    <row r="2880" spans="1:5" x14ac:dyDescent="0.25">
      <c r="A2880" s="83"/>
      <c r="B2880" s="84"/>
      <c r="C2880" s="84"/>
      <c r="D2880" s="116"/>
      <c r="E2880" s="116"/>
    </row>
    <row r="2881" spans="1:5" x14ac:dyDescent="0.25">
      <c r="A2881" s="83"/>
      <c r="B2881" s="84"/>
      <c r="C2881" s="84"/>
      <c r="D2881" s="116"/>
      <c r="E2881" s="116"/>
    </row>
    <row r="2882" spans="1:5" x14ac:dyDescent="0.25">
      <c r="A2882" s="83"/>
      <c r="B2882" s="84"/>
      <c r="C2882" s="84"/>
      <c r="D2882" s="116"/>
      <c r="E2882" s="116"/>
    </row>
    <row r="2883" spans="1:5" x14ac:dyDescent="0.25">
      <c r="A2883" s="83"/>
      <c r="B2883" s="84"/>
      <c r="C2883" s="84"/>
      <c r="D2883" s="116"/>
      <c r="E2883" s="116"/>
    </row>
    <row r="2884" spans="1:5" x14ac:dyDescent="0.25">
      <c r="A2884" s="83"/>
      <c r="B2884" s="84"/>
      <c r="C2884" s="84"/>
      <c r="D2884" s="116"/>
      <c r="E2884" s="116"/>
    </row>
    <row r="2885" spans="1:5" x14ac:dyDescent="0.25">
      <c r="A2885" s="83"/>
      <c r="B2885" s="84"/>
      <c r="C2885" s="84"/>
      <c r="D2885" s="116"/>
      <c r="E2885" s="116"/>
    </row>
    <row r="2886" spans="1:5" x14ac:dyDescent="0.25">
      <c r="A2886" s="83"/>
      <c r="B2886" s="84"/>
      <c r="C2886" s="84"/>
      <c r="D2886" s="116"/>
      <c r="E2886" s="116"/>
    </row>
    <row r="2887" spans="1:5" x14ac:dyDescent="0.25">
      <c r="A2887" s="83"/>
      <c r="B2887" s="84"/>
      <c r="C2887" s="84"/>
      <c r="D2887" s="116"/>
      <c r="E2887" s="116"/>
    </row>
    <row r="2888" spans="1:5" x14ac:dyDescent="0.25">
      <c r="A2888" s="83"/>
      <c r="B2888" s="84"/>
      <c r="C2888" s="84"/>
      <c r="D2888" s="116"/>
      <c r="E2888" s="116"/>
    </row>
    <row r="2889" spans="1:5" x14ac:dyDescent="0.25">
      <c r="A2889" s="83"/>
      <c r="B2889" s="84"/>
      <c r="C2889" s="84"/>
      <c r="D2889" s="116"/>
      <c r="E2889" s="116"/>
    </row>
    <row r="2890" spans="1:5" x14ac:dyDescent="0.25">
      <c r="A2890" s="83"/>
      <c r="B2890" s="84"/>
      <c r="C2890" s="84"/>
      <c r="D2890" s="116"/>
      <c r="E2890" s="116"/>
    </row>
    <row r="2891" spans="1:5" x14ac:dyDescent="0.25">
      <c r="A2891" s="83"/>
      <c r="B2891" s="84"/>
      <c r="C2891" s="84"/>
      <c r="D2891" s="116"/>
      <c r="E2891" s="116"/>
    </row>
    <row r="2892" spans="1:5" x14ac:dyDescent="0.25">
      <c r="A2892" s="83"/>
      <c r="B2892" s="84"/>
      <c r="C2892" s="84"/>
      <c r="D2892" s="116"/>
      <c r="E2892" s="116"/>
    </row>
    <row r="2893" spans="1:5" x14ac:dyDescent="0.25">
      <c r="A2893" s="83"/>
      <c r="B2893" s="84"/>
      <c r="C2893" s="84"/>
      <c r="D2893" s="116"/>
      <c r="E2893" s="116"/>
    </row>
    <row r="2894" spans="1:5" x14ac:dyDescent="0.25">
      <c r="A2894" s="83"/>
      <c r="B2894" s="84"/>
      <c r="C2894" s="84"/>
      <c r="D2894" s="116"/>
      <c r="E2894" s="116"/>
    </row>
    <row r="2895" spans="1:5" x14ac:dyDescent="0.25">
      <c r="A2895" s="83"/>
      <c r="B2895" s="84"/>
      <c r="C2895" s="84"/>
      <c r="D2895" s="116"/>
      <c r="E2895" s="116"/>
    </row>
    <row r="2896" spans="1:5" x14ac:dyDescent="0.25">
      <c r="A2896" s="83"/>
      <c r="B2896" s="84"/>
      <c r="C2896" s="84"/>
      <c r="D2896" s="116"/>
      <c r="E2896" s="116"/>
    </row>
    <row r="2897" spans="1:5" x14ac:dyDescent="0.25">
      <c r="A2897" s="83"/>
      <c r="B2897" s="84"/>
      <c r="C2897" s="84"/>
      <c r="D2897" s="116"/>
      <c r="E2897" s="116"/>
    </row>
    <row r="2898" spans="1:5" x14ac:dyDescent="0.25">
      <c r="A2898" s="83"/>
      <c r="B2898" s="84"/>
      <c r="C2898" s="84"/>
      <c r="D2898" s="116"/>
      <c r="E2898" s="116"/>
    </row>
    <row r="2899" spans="1:5" x14ac:dyDescent="0.25">
      <c r="A2899" s="83"/>
      <c r="B2899" s="84"/>
      <c r="C2899" s="84"/>
      <c r="D2899" s="116"/>
      <c r="E2899" s="116"/>
    </row>
    <row r="2900" spans="1:5" x14ac:dyDescent="0.25">
      <c r="A2900" s="83"/>
      <c r="B2900" s="84"/>
      <c r="C2900" s="84"/>
      <c r="D2900" s="116"/>
      <c r="E2900" s="116"/>
    </row>
    <row r="2901" spans="1:5" x14ac:dyDescent="0.25">
      <c r="A2901" s="83"/>
      <c r="B2901" s="84"/>
      <c r="C2901" s="84"/>
      <c r="D2901" s="116"/>
      <c r="E2901" s="116"/>
    </row>
    <row r="2902" spans="1:5" x14ac:dyDescent="0.25">
      <c r="A2902" s="83"/>
      <c r="B2902" s="84"/>
      <c r="C2902" s="84"/>
      <c r="D2902" s="116"/>
      <c r="E2902" s="116"/>
    </row>
    <row r="2903" spans="1:5" x14ac:dyDescent="0.25">
      <c r="A2903" s="83"/>
      <c r="B2903" s="84"/>
      <c r="C2903" s="84"/>
      <c r="D2903" s="116"/>
      <c r="E2903" s="116"/>
    </row>
    <row r="2904" spans="1:5" x14ac:dyDescent="0.25">
      <c r="A2904" s="83"/>
      <c r="B2904" s="84"/>
      <c r="C2904" s="84"/>
      <c r="D2904" s="116"/>
      <c r="E2904" s="116"/>
    </row>
    <row r="2905" spans="1:5" x14ac:dyDescent="0.25">
      <c r="A2905" s="83"/>
      <c r="B2905" s="84"/>
      <c r="C2905" s="84"/>
      <c r="D2905" s="116"/>
      <c r="E2905" s="116"/>
    </row>
    <row r="2906" spans="1:5" x14ac:dyDescent="0.25">
      <c r="A2906" s="83"/>
      <c r="B2906" s="84"/>
      <c r="C2906" s="84"/>
      <c r="D2906" s="116"/>
      <c r="E2906" s="116"/>
    </row>
    <row r="2907" spans="1:5" x14ac:dyDescent="0.25">
      <c r="A2907" s="83"/>
      <c r="B2907" s="84"/>
      <c r="C2907" s="84"/>
      <c r="D2907" s="116"/>
      <c r="E2907" s="116"/>
    </row>
    <row r="2908" spans="1:5" x14ac:dyDescent="0.25">
      <c r="A2908" s="83"/>
      <c r="B2908" s="84"/>
      <c r="C2908" s="84"/>
      <c r="D2908" s="116"/>
      <c r="E2908" s="116"/>
    </row>
    <row r="2909" spans="1:5" x14ac:dyDescent="0.25">
      <c r="A2909" s="83"/>
      <c r="B2909" s="84"/>
      <c r="C2909" s="84"/>
      <c r="D2909" s="116"/>
      <c r="E2909" s="116"/>
    </row>
    <row r="2910" spans="1:5" x14ac:dyDescent="0.25">
      <c r="A2910" s="83"/>
      <c r="B2910" s="84"/>
      <c r="C2910" s="84"/>
      <c r="D2910" s="116"/>
      <c r="E2910" s="116"/>
    </row>
    <row r="2911" spans="1:5" x14ac:dyDescent="0.25">
      <c r="A2911" s="83"/>
      <c r="B2911" s="84"/>
      <c r="C2911" s="84"/>
      <c r="D2911" s="116"/>
      <c r="E2911" s="116"/>
    </row>
    <row r="2912" spans="1:5" x14ac:dyDescent="0.25">
      <c r="A2912" s="83"/>
      <c r="B2912" s="84"/>
      <c r="C2912" s="84"/>
      <c r="D2912" s="116"/>
      <c r="E2912" s="116"/>
    </row>
    <row r="2913" spans="1:5" x14ac:dyDescent="0.25">
      <c r="A2913" s="83"/>
      <c r="B2913" s="84"/>
      <c r="C2913" s="84"/>
      <c r="D2913" s="116"/>
      <c r="E2913" s="116"/>
    </row>
    <row r="2914" spans="1:5" x14ac:dyDescent="0.25">
      <c r="A2914" s="83"/>
      <c r="B2914" s="84"/>
      <c r="C2914" s="84"/>
      <c r="D2914" s="116"/>
      <c r="E2914" s="116"/>
    </row>
    <row r="2915" spans="1:5" x14ac:dyDescent="0.25">
      <c r="A2915" s="83"/>
      <c r="B2915" s="84"/>
      <c r="C2915" s="84"/>
      <c r="D2915" s="116"/>
      <c r="E2915" s="116"/>
    </row>
    <row r="2916" spans="1:5" x14ac:dyDescent="0.25">
      <c r="A2916" s="83"/>
      <c r="B2916" s="84"/>
      <c r="C2916" s="84"/>
      <c r="D2916" s="116"/>
      <c r="E2916" s="116"/>
    </row>
    <row r="2917" spans="1:5" x14ac:dyDescent="0.25">
      <c r="A2917" s="83"/>
      <c r="B2917" s="84"/>
      <c r="C2917" s="84"/>
      <c r="D2917" s="116"/>
      <c r="E2917" s="116"/>
    </row>
    <row r="2918" spans="1:5" x14ac:dyDescent="0.25">
      <c r="A2918" s="83"/>
      <c r="B2918" s="84"/>
      <c r="C2918" s="84"/>
      <c r="D2918" s="116"/>
      <c r="E2918" s="116"/>
    </row>
    <row r="2919" spans="1:5" x14ac:dyDescent="0.25">
      <c r="A2919" s="83"/>
      <c r="B2919" s="84"/>
      <c r="C2919" s="84"/>
      <c r="D2919" s="116"/>
      <c r="E2919" s="116"/>
    </row>
    <row r="2920" spans="1:5" x14ac:dyDescent="0.25">
      <c r="A2920" s="83"/>
      <c r="B2920" s="84"/>
      <c r="C2920" s="84"/>
      <c r="D2920" s="116"/>
      <c r="E2920" s="116"/>
    </row>
    <row r="2921" spans="1:5" x14ac:dyDescent="0.25">
      <c r="A2921" s="83"/>
      <c r="B2921" s="84"/>
      <c r="C2921" s="84"/>
      <c r="D2921" s="116"/>
      <c r="E2921" s="116"/>
    </row>
    <row r="2922" spans="1:5" x14ac:dyDescent="0.25">
      <c r="A2922" s="83"/>
      <c r="B2922" s="84"/>
      <c r="C2922" s="84"/>
      <c r="D2922" s="116"/>
      <c r="E2922" s="116"/>
    </row>
    <row r="2923" spans="1:5" x14ac:dyDescent="0.25">
      <c r="A2923" s="83"/>
      <c r="B2923" s="84"/>
      <c r="C2923" s="84"/>
      <c r="D2923" s="116"/>
      <c r="E2923" s="116"/>
    </row>
    <row r="2924" spans="1:5" x14ac:dyDescent="0.25">
      <c r="A2924" s="83"/>
      <c r="B2924" s="84"/>
      <c r="C2924" s="84"/>
      <c r="D2924" s="116"/>
      <c r="E2924" s="116"/>
    </row>
    <row r="2925" spans="1:5" x14ac:dyDescent="0.25">
      <c r="A2925" s="83"/>
      <c r="B2925" s="84"/>
      <c r="C2925" s="84"/>
      <c r="D2925" s="116"/>
      <c r="E2925" s="116"/>
    </row>
    <row r="2926" spans="1:5" x14ac:dyDescent="0.25">
      <c r="A2926" s="83"/>
      <c r="B2926" s="84"/>
      <c r="C2926" s="84"/>
      <c r="D2926" s="116"/>
      <c r="E2926" s="116"/>
    </row>
    <row r="2927" spans="1:5" x14ac:dyDescent="0.25">
      <c r="A2927" s="83"/>
      <c r="B2927" s="84"/>
      <c r="C2927" s="84"/>
      <c r="D2927" s="116"/>
      <c r="E2927" s="116"/>
    </row>
    <row r="2928" spans="1:5" x14ac:dyDescent="0.25">
      <c r="A2928" s="83"/>
      <c r="B2928" s="84"/>
      <c r="C2928" s="84"/>
      <c r="D2928" s="116"/>
      <c r="E2928" s="116"/>
    </row>
    <row r="2929" spans="1:5" x14ac:dyDescent="0.25">
      <c r="A2929" s="83"/>
      <c r="B2929" s="84"/>
      <c r="C2929" s="84"/>
      <c r="D2929" s="116"/>
      <c r="E2929" s="116"/>
    </row>
    <row r="2930" spans="1:5" x14ac:dyDescent="0.25">
      <c r="A2930" s="83"/>
      <c r="B2930" s="84"/>
      <c r="C2930" s="84"/>
      <c r="D2930" s="116"/>
      <c r="E2930" s="116"/>
    </row>
    <row r="2931" spans="1:5" x14ac:dyDescent="0.25">
      <c r="A2931" s="83"/>
      <c r="B2931" s="84"/>
      <c r="C2931" s="84"/>
      <c r="D2931" s="116"/>
      <c r="E2931" s="116"/>
    </row>
    <row r="2932" spans="1:5" x14ac:dyDescent="0.25">
      <c r="A2932" s="83"/>
      <c r="B2932" s="84"/>
      <c r="C2932" s="84"/>
      <c r="D2932" s="116"/>
      <c r="E2932" s="116"/>
    </row>
    <row r="2933" spans="1:5" x14ac:dyDescent="0.25">
      <c r="A2933" s="83"/>
      <c r="B2933" s="84"/>
      <c r="C2933" s="84"/>
      <c r="D2933" s="116"/>
      <c r="E2933" s="116"/>
    </row>
    <row r="2934" spans="1:5" x14ac:dyDescent="0.25">
      <c r="A2934" s="83"/>
      <c r="B2934" s="84"/>
      <c r="C2934" s="84"/>
      <c r="D2934" s="116"/>
      <c r="E2934" s="116"/>
    </row>
    <row r="2935" spans="1:5" x14ac:dyDescent="0.25">
      <c r="A2935" s="83"/>
      <c r="B2935" s="84"/>
      <c r="C2935" s="84"/>
      <c r="D2935" s="116"/>
      <c r="E2935" s="116"/>
    </row>
    <row r="2936" spans="1:5" x14ac:dyDescent="0.25">
      <c r="A2936" s="83"/>
      <c r="B2936" s="84"/>
      <c r="C2936" s="84"/>
      <c r="D2936" s="116"/>
      <c r="E2936" s="116"/>
    </row>
    <row r="2937" spans="1:5" x14ac:dyDescent="0.25">
      <c r="A2937" s="83"/>
      <c r="B2937" s="84"/>
      <c r="C2937" s="84"/>
      <c r="D2937" s="116"/>
      <c r="E2937" s="116"/>
    </row>
    <row r="2938" spans="1:5" x14ac:dyDescent="0.25">
      <c r="A2938" s="83"/>
      <c r="B2938" s="84"/>
      <c r="C2938" s="84"/>
      <c r="D2938" s="116"/>
      <c r="E2938" s="116"/>
    </row>
    <row r="2939" spans="1:5" x14ac:dyDescent="0.25">
      <c r="A2939" s="83"/>
      <c r="B2939" s="84"/>
      <c r="C2939" s="84"/>
      <c r="D2939" s="116"/>
      <c r="E2939" s="116"/>
    </row>
    <row r="2940" spans="1:5" x14ac:dyDescent="0.25">
      <c r="A2940" s="83"/>
      <c r="B2940" s="84"/>
      <c r="C2940" s="84"/>
      <c r="D2940" s="116"/>
      <c r="E2940" s="116"/>
    </row>
    <row r="2941" spans="1:5" x14ac:dyDescent="0.25">
      <c r="A2941" s="83"/>
      <c r="B2941" s="84"/>
      <c r="C2941" s="84"/>
      <c r="D2941" s="116"/>
      <c r="E2941" s="116"/>
    </row>
    <row r="2942" spans="1:5" x14ac:dyDescent="0.25">
      <c r="A2942" s="83"/>
      <c r="B2942" s="84"/>
      <c r="C2942" s="84"/>
      <c r="D2942" s="116"/>
      <c r="E2942" s="116"/>
    </row>
    <row r="2943" spans="1:5" x14ac:dyDescent="0.25">
      <c r="A2943" s="83"/>
      <c r="B2943" s="84"/>
      <c r="C2943" s="84"/>
      <c r="D2943" s="116"/>
      <c r="E2943" s="116"/>
    </row>
    <row r="2944" spans="1:5" x14ac:dyDescent="0.25">
      <c r="A2944" s="83"/>
      <c r="B2944" s="84"/>
      <c r="C2944" s="84"/>
      <c r="D2944" s="116"/>
      <c r="E2944" s="116"/>
    </row>
    <row r="2945" spans="1:5" x14ac:dyDescent="0.25">
      <c r="A2945" s="83"/>
      <c r="B2945" s="84"/>
      <c r="C2945" s="84"/>
      <c r="D2945" s="116"/>
      <c r="E2945" s="116"/>
    </row>
    <row r="2946" spans="1:5" x14ac:dyDescent="0.25">
      <c r="A2946" s="83"/>
      <c r="B2946" s="84"/>
      <c r="C2946" s="84"/>
      <c r="D2946" s="116"/>
      <c r="E2946" s="116"/>
    </row>
    <row r="2947" spans="1:5" x14ac:dyDescent="0.25">
      <c r="A2947" s="83"/>
      <c r="B2947" s="84"/>
      <c r="C2947" s="84"/>
      <c r="D2947" s="116"/>
      <c r="E2947" s="116"/>
    </row>
    <row r="2948" spans="1:5" x14ac:dyDescent="0.25">
      <c r="A2948" s="83"/>
      <c r="B2948" s="84"/>
      <c r="C2948" s="84"/>
      <c r="D2948" s="116"/>
      <c r="E2948" s="116"/>
    </row>
    <row r="2949" spans="1:5" x14ac:dyDescent="0.25">
      <c r="A2949" s="83"/>
      <c r="B2949" s="84"/>
      <c r="C2949" s="84"/>
      <c r="D2949" s="116"/>
      <c r="E2949" s="116"/>
    </row>
    <row r="2950" spans="1:5" x14ac:dyDescent="0.25">
      <c r="A2950" s="83"/>
      <c r="B2950" s="84"/>
      <c r="C2950" s="84"/>
      <c r="D2950" s="116"/>
      <c r="E2950" s="116"/>
    </row>
    <row r="2951" spans="1:5" x14ac:dyDescent="0.25">
      <c r="A2951" s="83"/>
      <c r="B2951" s="84"/>
      <c r="C2951" s="84"/>
      <c r="D2951" s="116"/>
      <c r="E2951" s="116"/>
    </row>
    <row r="2952" spans="1:5" x14ac:dyDescent="0.25">
      <c r="A2952" s="83"/>
      <c r="B2952" s="84"/>
      <c r="C2952" s="84"/>
      <c r="D2952" s="116"/>
      <c r="E2952" s="116"/>
    </row>
    <row r="2953" spans="1:5" x14ac:dyDescent="0.25">
      <c r="A2953" s="83"/>
      <c r="B2953" s="84"/>
      <c r="C2953" s="84"/>
      <c r="D2953" s="116"/>
      <c r="E2953" s="116"/>
    </row>
    <row r="2954" spans="1:5" x14ac:dyDescent="0.25">
      <c r="A2954" s="83"/>
      <c r="B2954" s="84"/>
      <c r="C2954" s="84"/>
      <c r="D2954" s="116"/>
      <c r="E2954" s="116"/>
    </row>
    <row r="2955" spans="1:5" x14ac:dyDescent="0.25">
      <c r="A2955" s="83"/>
      <c r="B2955" s="84"/>
      <c r="C2955" s="84"/>
      <c r="D2955" s="116"/>
      <c r="E2955" s="116"/>
    </row>
    <row r="2956" spans="1:5" x14ac:dyDescent="0.25">
      <c r="A2956" s="83"/>
      <c r="B2956" s="84"/>
      <c r="C2956" s="84"/>
      <c r="D2956" s="116"/>
      <c r="E2956" s="116"/>
    </row>
    <row r="2957" spans="1:5" x14ac:dyDescent="0.25">
      <c r="A2957" s="83"/>
      <c r="B2957" s="84"/>
      <c r="C2957" s="84"/>
      <c r="D2957" s="116"/>
      <c r="E2957" s="116"/>
    </row>
    <row r="2958" spans="1:5" x14ac:dyDescent="0.25">
      <c r="A2958" s="83"/>
      <c r="B2958" s="84"/>
      <c r="C2958" s="84"/>
      <c r="D2958" s="116"/>
      <c r="E2958" s="116"/>
    </row>
    <row r="2959" spans="1:5" x14ac:dyDescent="0.25">
      <c r="A2959" s="83"/>
      <c r="B2959" s="84"/>
      <c r="C2959" s="84"/>
      <c r="D2959" s="116"/>
      <c r="E2959" s="116"/>
    </row>
    <row r="2960" spans="1:5" x14ac:dyDescent="0.25">
      <c r="A2960" s="83"/>
      <c r="B2960" s="84"/>
      <c r="C2960" s="84"/>
      <c r="D2960" s="116"/>
      <c r="E2960" s="116"/>
    </row>
    <row r="2961" spans="1:5" x14ac:dyDescent="0.25">
      <c r="A2961" s="83"/>
      <c r="B2961" s="84"/>
      <c r="C2961" s="84"/>
      <c r="D2961" s="116"/>
      <c r="E2961" s="116"/>
    </row>
    <row r="2962" spans="1:5" x14ac:dyDescent="0.25">
      <c r="A2962" s="83"/>
      <c r="B2962" s="84"/>
      <c r="C2962" s="84"/>
      <c r="D2962" s="116"/>
      <c r="E2962" s="116"/>
    </row>
    <row r="2963" spans="1:5" x14ac:dyDescent="0.25">
      <c r="A2963" s="83"/>
      <c r="B2963" s="84"/>
      <c r="C2963" s="84"/>
      <c r="D2963" s="116"/>
      <c r="E2963" s="116"/>
    </row>
    <row r="2964" spans="1:5" x14ac:dyDescent="0.25">
      <c r="A2964" s="83"/>
      <c r="B2964" s="84"/>
      <c r="C2964" s="84"/>
      <c r="D2964" s="116"/>
      <c r="E2964" s="116"/>
    </row>
    <row r="2965" spans="1:5" x14ac:dyDescent="0.25">
      <c r="A2965" s="83"/>
      <c r="B2965" s="84"/>
      <c r="C2965" s="84"/>
      <c r="D2965" s="116"/>
      <c r="E2965" s="116"/>
    </row>
    <row r="2966" spans="1:5" x14ac:dyDescent="0.25">
      <c r="A2966" s="83"/>
      <c r="B2966" s="84"/>
      <c r="C2966" s="84"/>
      <c r="D2966" s="116"/>
      <c r="E2966" s="116"/>
    </row>
    <row r="2967" spans="1:5" x14ac:dyDescent="0.25">
      <c r="A2967" s="83"/>
      <c r="B2967" s="84"/>
      <c r="C2967" s="84"/>
      <c r="D2967" s="116"/>
      <c r="E2967" s="116"/>
    </row>
    <row r="2968" spans="1:5" x14ac:dyDescent="0.25">
      <c r="A2968" s="83"/>
      <c r="B2968" s="84"/>
      <c r="C2968" s="84"/>
      <c r="D2968" s="116"/>
      <c r="E2968" s="116"/>
    </row>
    <row r="2969" spans="1:5" x14ac:dyDescent="0.25">
      <c r="A2969" s="83"/>
      <c r="B2969" s="84"/>
      <c r="C2969" s="84"/>
      <c r="D2969" s="116"/>
      <c r="E2969" s="116"/>
    </row>
    <row r="2970" spans="1:5" x14ac:dyDescent="0.25">
      <c r="A2970" s="83"/>
      <c r="B2970" s="84"/>
      <c r="C2970" s="84"/>
      <c r="D2970" s="116"/>
      <c r="E2970" s="116"/>
    </row>
    <row r="2971" spans="1:5" x14ac:dyDescent="0.25">
      <c r="A2971" s="83"/>
      <c r="B2971" s="84"/>
      <c r="C2971" s="84"/>
      <c r="D2971" s="116"/>
      <c r="E2971" s="116"/>
    </row>
    <row r="2972" spans="1:5" x14ac:dyDescent="0.25">
      <c r="A2972" s="83"/>
      <c r="B2972" s="84"/>
      <c r="C2972" s="84"/>
      <c r="D2972" s="116"/>
      <c r="E2972" s="116"/>
    </row>
    <row r="2973" spans="1:5" x14ac:dyDescent="0.25">
      <c r="A2973" s="83"/>
      <c r="B2973" s="84"/>
      <c r="C2973" s="84"/>
      <c r="D2973" s="116"/>
      <c r="E2973" s="116"/>
    </row>
    <row r="2974" spans="1:5" x14ac:dyDescent="0.25">
      <c r="A2974" s="83"/>
      <c r="B2974" s="84"/>
      <c r="C2974" s="84"/>
      <c r="D2974" s="116"/>
      <c r="E2974" s="116"/>
    </row>
    <row r="2975" spans="1:5" x14ac:dyDescent="0.25">
      <c r="A2975" s="83"/>
      <c r="B2975" s="84"/>
      <c r="C2975" s="84"/>
      <c r="D2975" s="116"/>
      <c r="E2975" s="116"/>
    </row>
    <row r="2976" spans="1:5" x14ac:dyDescent="0.25">
      <c r="A2976" s="83"/>
      <c r="B2976" s="84"/>
      <c r="C2976" s="84"/>
      <c r="D2976" s="116"/>
      <c r="E2976" s="116"/>
    </row>
    <row r="2977" spans="1:5" x14ac:dyDescent="0.25">
      <c r="A2977" s="83"/>
      <c r="B2977" s="84"/>
      <c r="C2977" s="84"/>
      <c r="D2977" s="116"/>
      <c r="E2977" s="116"/>
    </row>
    <row r="2978" spans="1:5" x14ac:dyDescent="0.25">
      <c r="A2978" s="83"/>
      <c r="B2978" s="84"/>
      <c r="C2978" s="84"/>
      <c r="D2978" s="116"/>
      <c r="E2978" s="116"/>
    </row>
    <row r="2979" spans="1:5" x14ac:dyDescent="0.25">
      <c r="A2979" s="83"/>
      <c r="B2979" s="84"/>
      <c r="C2979" s="84"/>
      <c r="D2979" s="116"/>
      <c r="E2979" s="116"/>
    </row>
    <row r="2980" spans="1:5" x14ac:dyDescent="0.25">
      <c r="A2980" s="83"/>
      <c r="B2980" s="84"/>
      <c r="C2980" s="84"/>
      <c r="D2980" s="116"/>
      <c r="E2980" s="116"/>
    </row>
    <row r="2981" spans="1:5" x14ac:dyDescent="0.25">
      <c r="A2981" s="83"/>
      <c r="B2981" s="84"/>
      <c r="C2981" s="84"/>
      <c r="D2981" s="116"/>
      <c r="E2981" s="116"/>
    </row>
    <row r="2982" spans="1:5" x14ac:dyDescent="0.25">
      <c r="A2982" s="83"/>
      <c r="B2982" s="84"/>
      <c r="C2982" s="84"/>
      <c r="D2982" s="116"/>
      <c r="E2982" s="116"/>
    </row>
    <row r="2983" spans="1:5" x14ac:dyDescent="0.25">
      <c r="A2983" s="83"/>
      <c r="B2983" s="84"/>
      <c r="C2983" s="84"/>
      <c r="D2983" s="116"/>
      <c r="E2983" s="116"/>
    </row>
    <row r="2984" spans="1:5" x14ac:dyDescent="0.25">
      <c r="A2984" s="83"/>
      <c r="B2984" s="84"/>
      <c r="C2984" s="84"/>
      <c r="D2984" s="116"/>
      <c r="E2984" s="116"/>
    </row>
    <row r="2985" spans="1:5" x14ac:dyDescent="0.25">
      <c r="A2985" s="83"/>
      <c r="B2985" s="84"/>
      <c r="C2985" s="84"/>
      <c r="D2985" s="116"/>
      <c r="E2985" s="116"/>
    </row>
    <row r="2986" spans="1:5" x14ac:dyDescent="0.25">
      <c r="A2986" s="83"/>
      <c r="B2986" s="84"/>
      <c r="C2986" s="84"/>
      <c r="D2986" s="116"/>
      <c r="E2986" s="116"/>
    </row>
    <row r="2987" spans="1:5" x14ac:dyDescent="0.25">
      <c r="A2987" s="83"/>
      <c r="B2987" s="84"/>
      <c r="C2987" s="84"/>
      <c r="D2987" s="116"/>
      <c r="E2987" s="116"/>
    </row>
    <row r="2988" spans="1:5" x14ac:dyDescent="0.25">
      <c r="A2988" s="83"/>
      <c r="B2988" s="84"/>
      <c r="C2988" s="84"/>
      <c r="D2988" s="116"/>
      <c r="E2988" s="116"/>
    </row>
    <row r="2989" spans="1:5" x14ac:dyDescent="0.25">
      <c r="A2989" s="83"/>
      <c r="B2989" s="84"/>
      <c r="C2989" s="84"/>
      <c r="D2989" s="116"/>
      <c r="E2989" s="116"/>
    </row>
    <row r="2990" spans="1:5" x14ac:dyDescent="0.25">
      <c r="A2990" s="83"/>
      <c r="B2990" s="84"/>
      <c r="C2990" s="84"/>
      <c r="D2990" s="116"/>
      <c r="E2990" s="116"/>
    </row>
    <row r="2991" spans="1:5" x14ac:dyDescent="0.25">
      <c r="A2991" s="83"/>
      <c r="B2991" s="84"/>
      <c r="C2991" s="84"/>
      <c r="D2991" s="116"/>
      <c r="E2991" s="116"/>
    </row>
    <row r="2992" spans="1:5" x14ac:dyDescent="0.25">
      <c r="A2992" s="83"/>
      <c r="B2992" s="84"/>
      <c r="C2992" s="84"/>
      <c r="D2992" s="116"/>
      <c r="E2992" s="116"/>
    </row>
    <row r="2993" spans="1:5" x14ac:dyDescent="0.25">
      <c r="A2993" s="83"/>
      <c r="B2993" s="84"/>
      <c r="C2993" s="84"/>
      <c r="D2993" s="116"/>
      <c r="E2993" s="116"/>
    </row>
    <row r="2994" spans="1:5" x14ac:dyDescent="0.25">
      <c r="A2994" s="83"/>
      <c r="B2994" s="84"/>
      <c r="C2994" s="84"/>
      <c r="D2994" s="116"/>
      <c r="E2994" s="116"/>
    </row>
    <row r="2995" spans="1:5" x14ac:dyDescent="0.25">
      <c r="A2995" s="83"/>
      <c r="B2995" s="84"/>
      <c r="C2995" s="84"/>
      <c r="D2995" s="116"/>
      <c r="E2995" s="116"/>
    </row>
    <row r="2996" spans="1:5" x14ac:dyDescent="0.25">
      <c r="A2996" s="83"/>
      <c r="B2996" s="84"/>
      <c r="C2996" s="84"/>
      <c r="D2996" s="116"/>
      <c r="E2996" s="116"/>
    </row>
    <row r="2997" spans="1:5" x14ac:dyDescent="0.25">
      <c r="A2997" s="83"/>
      <c r="B2997" s="84"/>
      <c r="C2997" s="84"/>
      <c r="D2997" s="116"/>
      <c r="E2997" s="116"/>
    </row>
    <row r="2998" spans="1:5" x14ac:dyDescent="0.25">
      <c r="A2998" s="83"/>
      <c r="B2998" s="84"/>
      <c r="C2998" s="84"/>
      <c r="D2998" s="116"/>
      <c r="E2998" s="116"/>
    </row>
    <row r="2999" spans="1:5" x14ac:dyDescent="0.25">
      <c r="A2999" s="83"/>
      <c r="B2999" s="84"/>
      <c r="C2999" s="84"/>
      <c r="D2999" s="116"/>
      <c r="E2999" s="116"/>
    </row>
    <row r="3000" spans="1:5" x14ac:dyDescent="0.25">
      <c r="A3000" s="83"/>
      <c r="B3000" s="84"/>
      <c r="C3000" s="84"/>
      <c r="D3000" s="116"/>
      <c r="E3000" s="116"/>
    </row>
    <row r="3001" spans="1:5" x14ac:dyDescent="0.25">
      <c r="A3001" s="83"/>
      <c r="B3001" s="84"/>
      <c r="C3001" s="84"/>
      <c r="D3001" s="116"/>
      <c r="E3001" s="116"/>
    </row>
    <row r="3002" spans="1:5" x14ac:dyDescent="0.25">
      <c r="A3002" s="83"/>
      <c r="B3002" s="84"/>
      <c r="C3002" s="84"/>
      <c r="D3002" s="116"/>
      <c r="E3002" s="116"/>
    </row>
    <row r="3003" spans="1:5" x14ac:dyDescent="0.25">
      <c r="A3003" s="83"/>
      <c r="B3003" s="84"/>
      <c r="C3003" s="84"/>
      <c r="D3003" s="116"/>
      <c r="E3003" s="116"/>
    </row>
    <row r="3004" spans="1:5" x14ac:dyDescent="0.25">
      <c r="A3004" s="83"/>
      <c r="B3004" s="84"/>
      <c r="C3004" s="84"/>
      <c r="D3004" s="116"/>
      <c r="E3004" s="116"/>
    </row>
    <row r="3005" spans="1:5" x14ac:dyDescent="0.25">
      <c r="A3005" s="83"/>
      <c r="B3005" s="84"/>
      <c r="C3005" s="84"/>
      <c r="D3005" s="116"/>
      <c r="E3005" s="116"/>
    </row>
    <row r="3006" spans="1:5" x14ac:dyDescent="0.25">
      <c r="A3006" s="83"/>
      <c r="B3006" s="84"/>
      <c r="C3006" s="84"/>
      <c r="D3006" s="116"/>
      <c r="E3006" s="116"/>
    </row>
    <row r="3007" spans="1:5" x14ac:dyDescent="0.25">
      <c r="A3007" s="83"/>
      <c r="B3007" s="84"/>
      <c r="C3007" s="84"/>
      <c r="D3007" s="116"/>
      <c r="E3007" s="116"/>
    </row>
    <row r="3008" spans="1:5" x14ac:dyDescent="0.25">
      <c r="A3008" s="83"/>
      <c r="B3008" s="84"/>
      <c r="C3008" s="84"/>
      <c r="D3008" s="116"/>
      <c r="E3008" s="116"/>
    </row>
    <row r="3009" spans="1:5" x14ac:dyDescent="0.25">
      <c r="A3009" s="83"/>
      <c r="B3009" s="84"/>
      <c r="C3009" s="84"/>
      <c r="D3009" s="116"/>
      <c r="E3009" s="116"/>
    </row>
    <row r="3010" spans="1:5" x14ac:dyDescent="0.25">
      <c r="A3010" s="83"/>
      <c r="B3010" s="84"/>
      <c r="C3010" s="84"/>
      <c r="D3010" s="116"/>
      <c r="E3010" s="116"/>
    </row>
    <row r="3011" spans="1:5" x14ac:dyDescent="0.25">
      <c r="A3011" s="83"/>
      <c r="B3011" s="84"/>
      <c r="C3011" s="84"/>
      <c r="D3011" s="116"/>
      <c r="E3011" s="116"/>
    </row>
    <row r="3012" spans="1:5" x14ac:dyDescent="0.25">
      <c r="A3012" s="83"/>
      <c r="B3012" s="84"/>
      <c r="C3012" s="84"/>
      <c r="D3012" s="116"/>
      <c r="E3012" s="116"/>
    </row>
    <row r="3013" spans="1:5" x14ac:dyDescent="0.25">
      <c r="A3013" s="83"/>
      <c r="B3013" s="84"/>
      <c r="C3013" s="84"/>
      <c r="D3013" s="116"/>
      <c r="E3013" s="116"/>
    </row>
    <row r="3014" spans="1:5" x14ac:dyDescent="0.25">
      <c r="A3014" s="83"/>
      <c r="B3014" s="84"/>
      <c r="C3014" s="84"/>
      <c r="D3014" s="116"/>
      <c r="E3014" s="116"/>
    </row>
    <row r="3015" spans="1:5" x14ac:dyDescent="0.25">
      <c r="A3015" s="83"/>
      <c r="B3015" s="84"/>
      <c r="C3015" s="84"/>
      <c r="D3015" s="116"/>
      <c r="E3015" s="116"/>
    </row>
    <row r="3016" spans="1:5" x14ac:dyDescent="0.25">
      <c r="A3016" s="83"/>
      <c r="B3016" s="84"/>
      <c r="C3016" s="84"/>
      <c r="D3016" s="116"/>
      <c r="E3016" s="116"/>
    </row>
    <row r="3017" spans="1:5" x14ac:dyDescent="0.25">
      <c r="A3017" s="83"/>
      <c r="B3017" s="84"/>
      <c r="C3017" s="84"/>
      <c r="D3017" s="116"/>
      <c r="E3017" s="116"/>
    </row>
    <row r="3018" spans="1:5" x14ac:dyDescent="0.25">
      <c r="A3018" s="83"/>
      <c r="B3018" s="84"/>
      <c r="C3018" s="84"/>
      <c r="D3018" s="116"/>
      <c r="E3018" s="116"/>
    </row>
    <row r="3019" spans="1:5" x14ac:dyDescent="0.25">
      <c r="A3019" s="83"/>
      <c r="B3019" s="84"/>
      <c r="C3019" s="84"/>
      <c r="D3019" s="116"/>
      <c r="E3019" s="116"/>
    </row>
    <row r="3020" spans="1:5" x14ac:dyDescent="0.25">
      <c r="A3020" s="83"/>
      <c r="B3020" s="84"/>
      <c r="C3020" s="84"/>
      <c r="D3020" s="116"/>
      <c r="E3020" s="116"/>
    </row>
    <row r="3021" spans="1:5" x14ac:dyDescent="0.25">
      <c r="A3021" s="83"/>
      <c r="B3021" s="84"/>
      <c r="C3021" s="84"/>
      <c r="D3021" s="116"/>
      <c r="E3021" s="116"/>
    </row>
    <row r="3022" spans="1:5" x14ac:dyDescent="0.25">
      <c r="A3022" s="83"/>
      <c r="B3022" s="84"/>
      <c r="C3022" s="84"/>
      <c r="D3022" s="116"/>
      <c r="E3022" s="116"/>
    </row>
    <row r="3023" spans="1:5" x14ac:dyDescent="0.25">
      <c r="A3023" s="83"/>
      <c r="B3023" s="84"/>
      <c r="C3023" s="84"/>
      <c r="D3023" s="116"/>
      <c r="E3023" s="116"/>
    </row>
    <row r="3024" spans="1:5" x14ac:dyDescent="0.25">
      <c r="A3024" s="83"/>
      <c r="B3024" s="84"/>
      <c r="C3024" s="84"/>
      <c r="D3024" s="116"/>
      <c r="E3024" s="116"/>
    </row>
    <row r="3025" spans="1:5" x14ac:dyDescent="0.25">
      <c r="A3025" s="83"/>
      <c r="B3025" s="84"/>
      <c r="C3025" s="84"/>
      <c r="D3025" s="116"/>
      <c r="E3025" s="116"/>
    </row>
    <row r="3026" spans="1:5" x14ac:dyDescent="0.25">
      <c r="A3026" s="83"/>
      <c r="B3026" s="84"/>
      <c r="C3026" s="84"/>
      <c r="D3026" s="116"/>
      <c r="E3026" s="116"/>
    </row>
    <row r="3027" spans="1:5" x14ac:dyDescent="0.25">
      <c r="A3027" s="83"/>
      <c r="B3027" s="84"/>
      <c r="C3027" s="84"/>
      <c r="D3027" s="116"/>
      <c r="E3027" s="116"/>
    </row>
    <row r="3028" spans="1:5" x14ac:dyDescent="0.25">
      <c r="A3028" s="83"/>
      <c r="B3028" s="84"/>
      <c r="C3028" s="84"/>
      <c r="D3028" s="116"/>
      <c r="E3028" s="116"/>
    </row>
    <row r="3029" spans="1:5" x14ac:dyDescent="0.25">
      <c r="A3029" s="83"/>
      <c r="B3029" s="84"/>
      <c r="C3029" s="84"/>
      <c r="D3029" s="116"/>
      <c r="E3029" s="116"/>
    </row>
    <row r="3030" spans="1:5" x14ac:dyDescent="0.25">
      <c r="A3030" s="83"/>
      <c r="B3030" s="84"/>
      <c r="C3030" s="84"/>
      <c r="D3030" s="116"/>
      <c r="E3030" s="116"/>
    </row>
    <row r="3031" spans="1:5" x14ac:dyDescent="0.25">
      <c r="A3031" s="83"/>
      <c r="B3031" s="84"/>
      <c r="C3031" s="84"/>
      <c r="D3031" s="116"/>
      <c r="E3031" s="116"/>
    </row>
    <row r="3032" spans="1:5" x14ac:dyDescent="0.25">
      <c r="A3032" s="83"/>
      <c r="B3032" s="84"/>
      <c r="C3032" s="84"/>
      <c r="D3032" s="116"/>
      <c r="E3032" s="116"/>
    </row>
    <row r="3033" spans="1:5" x14ac:dyDescent="0.25">
      <c r="A3033" s="83"/>
      <c r="B3033" s="84"/>
      <c r="C3033" s="84"/>
      <c r="D3033" s="116"/>
      <c r="E3033" s="116"/>
    </row>
    <row r="3034" spans="1:5" x14ac:dyDescent="0.25">
      <c r="A3034" s="83"/>
      <c r="B3034" s="84"/>
      <c r="C3034" s="84"/>
      <c r="D3034" s="116"/>
      <c r="E3034" s="116"/>
    </row>
    <row r="3035" spans="1:5" x14ac:dyDescent="0.25">
      <c r="A3035" s="83"/>
      <c r="B3035" s="84"/>
      <c r="C3035" s="84"/>
      <c r="D3035" s="116"/>
      <c r="E3035" s="116"/>
    </row>
    <row r="3036" spans="1:5" x14ac:dyDescent="0.25">
      <c r="A3036" s="83"/>
      <c r="B3036" s="84"/>
      <c r="C3036" s="84"/>
      <c r="D3036" s="116"/>
      <c r="E3036" s="116"/>
    </row>
    <row r="3037" spans="1:5" x14ac:dyDescent="0.25">
      <c r="A3037" s="83"/>
      <c r="B3037" s="84"/>
      <c r="C3037" s="84"/>
      <c r="D3037" s="116"/>
      <c r="E3037" s="116"/>
    </row>
    <row r="3038" spans="1:5" x14ac:dyDescent="0.25">
      <c r="A3038" s="83"/>
      <c r="B3038" s="84"/>
      <c r="C3038" s="84"/>
      <c r="D3038" s="116"/>
      <c r="E3038" s="116"/>
    </row>
    <row r="3039" spans="1:5" x14ac:dyDescent="0.25">
      <c r="A3039" s="83"/>
      <c r="B3039" s="84"/>
      <c r="C3039" s="84"/>
      <c r="D3039" s="116"/>
      <c r="E3039" s="116"/>
    </row>
    <row r="3040" spans="1:5" x14ac:dyDescent="0.25">
      <c r="A3040" s="83"/>
      <c r="B3040" s="84"/>
      <c r="C3040" s="84"/>
      <c r="D3040" s="116"/>
      <c r="E3040" s="116"/>
    </row>
    <row r="3041" spans="1:5" x14ac:dyDescent="0.25">
      <c r="A3041" s="83"/>
      <c r="B3041" s="84"/>
      <c r="C3041" s="84"/>
      <c r="D3041" s="116"/>
      <c r="E3041" s="116"/>
    </row>
    <row r="3042" spans="1:5" x14ac:dyDescent="0.25">
      <c r="A3042" s="83"/>
      <c r="B3042" s="84"/>
      <c r="C3042" s="84"/>
      <c r="D3042" s="116"/>
      <c r="E3042" s="116"/>
    </row>
    <row r="3043" spans="1:5" x14ac:dyDescent="0.25">
      <c r="A3043" s="83"/>
      <c r="B3043" s="84"/>
      <c r="C3043" s="84"/>
      <c r="D3043" s="116"/>
      <c r="E3043" s="116"/>
    </row>
    <row r="3044" spans="1:5" x14ac:dyDescent="0.25">
      <c r="A3044" s="83"/>
      <c r="B3044" s="84"/>
      <c r="C3044" s="84"/>
      <c r="D3044" s="116"/>
      <c r="E3044" s="116"/>
    </row>
    <row r="3045" spans="1:5" x14ac:dyDescent="0.25">
      <c r="A3045" s="83"/>
      <c r="B3045" s="84"/>
      <c r="C3045" s="84"/>
      <c r="D3045" s="116"/>
      <c r="E3045" s="116"/>
    </row>
    <row r="3046" spans="1:5" x14ac:dyDescent="0.25">
      <c r="A3046" s="83"/>
      <c r="B3046" s="84"/>
      <c r="C3046" s="84"/>
      <c r="D3046" s="116"/>
      <c r="E3046" s="116"/>
    </row>
    <row r="3047" spans="1:5" x14ac:dyDescent="0.25">
      <c r="A3047" s="83"/>
      <c r="B3047" s="84"/>
      <c r="C3047" s="84"/>
      <c r="D3047" s="116"/>
      <c r="E3047" s="116"/>
    </row>
    <row r="3048" spans="1:5" x14ac:dyDescent="0.25">
      <c r="A3048" s="83"/>
      <c r="B3048" s="84"/>
      <c r="C3048" s="84"/>
      <c r="D3048" s="116"/>
      <c r="E3048" s="116"/>
    </row>
    <row r="3049" spans="1:5" x14ac:dyDescent="0.25">
      <c r="A3049" s="83"/>
      <c r="B3049" s="84"/>
      <c r="C3049" s="84"/>
      <c r="D3049" s="116"/>
      <c r="E3049" s="116"/>
    </row>
    <row r="3050" spans="1:5" x14ac:dyDescent="0.25">
      <c r="A3050" s="83"/>
      <c r="B3050" s="84"/>
      <c r="C3050" s="84"/>
      <c r="D3050" s="116"/>
      <c r="E3050" s="116"/>
    </row>
    <row r="3051" spans="1:5" x14ac:dyDescent="0.25">
      <c r="A3051" s="83"/>
      <c r="B3051" s="84"/>
      <c r="C3051" s="84"/>
      <c r="D3051" s="116"/>
      <c r="E3051" s="116"/>
    </row>
    <row r="3052" spans="1:5" x14ac:dyDescent="0.25">
      <c r="A3052" s="83"/>
      <c r="B3052" s="84"/>
      <c r="C3052" s="84"/>
      <c r="D3052" s="116"/>
      <c r="E3052" s="116"/>
    </row>
    <row r="3053" spans="1:5" x14ac:dyDescent="0.25">
      <c r="A3053" s="83"/>
      <c r="B3053" s="84"/>
      <c r="C3053" s="84"/>
      <c r="D3053" s="116"/>
      <c r="E3053" s="116"/>
    </row>
    <row r="3054" spans="1:5" x14ac:dyDescent="0.25">
      <c r="A3054" s="83"/>
      <c r="B3054" s="84"/>
      <c r="C3054" s="84"/>
      <c r="D3054" s="116"/>
      <c r="E3054" s="116"/>
    </row>
    <row r="3055" spans="1:5" x14ac:dyDescent="0.25">
      <c r="A3055" s="83"/>
      <c r="B3055" s="84"/>
      <c r="C3055" s="84"/>
      <c r="D3055" s="116"/>
      <c r="E3055" s="116"/>
    </row>
    <row r="3056" spans="1:5" x14ac:dyDescent="0.25">
      <c r="A3056" s="83"/>
      <c r="B3056" s="84"/>
      <c r="C3056" s="84"/>
      <c r="D3056" s="116"/>
      <c r="E3056" s="116"/>
    </row>
    <row r="3057" spans="1:5" x14ac:dyDescent="0.25">
      <c r="A3057" s="83"/>
      <c r="B3057" s="84"/>
      <c r="C3057" s="84"/>
      <c r="D3057" s="116"/>
      <c r="E3057" s="116"/>
    </row>
    <row r="3058" spans="1:5" x14ac:dyDescent="0.25">
      <c r="A3058" s="83"/>
      <c r="B3058" s="84"/>
      <c r="C3058" s="84"/>
      <c r="D3058" s="116"/>
      <c r="E3058" s="116"/>
    </row>
    <row r="3059" spans="1:5" x14ac:dyDescent="0.25">
      <c r="A3059" s="83"/>
      <c r="B3059" s="84"/>
      <c r="C3059" s="84"/>
      <c r="D3059" s="116"/>
      <c r="E3059" s="116"/>
    </row>
    <row r="3060" spans="1:5" x14ac:dyDescent="0.25">
      <c r="A3060" s="83"/>
      <c r="B3060" s="84"/>
      <c r="C3060" s="84"/>
      <c r="D3060" s="116"/>
      <c r="E3060" s="116"/>
    </row>
    <row r="3061" spans="1:5" x14ac:dyDescent="0.25">
      <c r="A3061" s="83"/>
      <c r="B3061" s="84"/>
      <c r="C3061" s="84"/>
      <c r="D3061" s="116"/>
      <c r="E3061" s="116"/>
    </row>
    <row r="3062" spans="1:5" x14ac:dyDescent="0.25">
      <c r="A3062" s="83"/>
      <c r="B3062" s="84"/>
      <c r="C3062" s="84"/>
      <c r="D3062" s="116"/>
      <c r="E3062" s="116"/>
    </row>
    <row r="3063" spans="1:5" x14ac:dyDescent="0.25">
      <c r="A3063" s="83"/>
      <c r="B3063" s="84"/>
      <c r="C3063" s="84"/>
      <c r="D3063" s="116"/>
      <c r="E3063" s="116"/>
    </row>
    <row r="3064" spans="1:5" x14ac:dyDescent="0.25">
      <c r="A3064" s="83"/>
      <c r="B3064" s="84"/>
      <c r="C3064" s="84"/>
      <c r="D3064" s="116"/>
      <c r="E3064" s="116"/>
    </row>
    <row r="3065" spans="1:5" x14ac:dyDescent="0.25">
      <c r="A3065" s="83"/>
      <c r="B3065" s="84"/>
      <c r="C3065" s="84"/>
      <c r="D3065" s="116"/>
      <c r="E3065" s="116"/>
    </row>
    <row r="3066" spans="1:5" x14ac:dyDescent="0.25">
      <c r="A3066" s="83"/>
      <c r="B3066" s="84"/>
      <c r="C3066" s="84"/>
      <c r="D3066" s="116"/>
      <c r="E3066" s="116"/>
    </row>
    <row r="3067" spans="1:5" x14ac:dyDescent="0.25">
      <c r="A3067" s="83"/>
      <c r="B3067" s="84"/>
      <c r="C3067" s="84"/>
      <c r="D3067" s="116"/>
      <c r="E3067" s="116"/>
    </row>
    <row r="3068" spans="1:5" x14ac:dyDescent="0.25">
      <c r="A3068" s="83"/>
      <c r="B3068" s="84"/>
      <c r="C3068" s="84"/>
      <c r="D3068" s="116"/>
      <c r="E3068" s="116"/>
    </row>
    <row r="3069" spans="1:5" x14ac:dyDescent="0.25">
      <c r="A3069" s="83"/>
      <c r="B3069" s="84"/>
      <c r="C3069" s="84"/>
      <c r="D3069" s="116"/>
      <c r="E3069" s="116"/>
    </row>
    <row r="3070" spans="1:5" x14ac:dyDescent="0.25">
      <c r="A3070" s="83"/>
      <c r="B3070" s="84"/>
      <c r="C3070" s="84"/>
      <c r="D3070" s="116"/>
      <c r="E3070" s="116"/>
    </row>
    <row r="3071" spans="1:5" x14ac:dyDescent="0.25">
      <c r="A3071" s="83"/>
      <c r="B3071" s="84"/>
      <c r="C3071" s="84"/>
      <c r="D3071" s="116"/>
      <c r="E3071" s="116"/>
    </row>
    <row r="3072" spans="1:5" x14ac:dyDescent="0.25">
      <c r="A3072" s="83"/>
      <c r="B3072" s="84"/>
      <c r="C3072" s="84"/>
      <c r="D3072" s="116"/>
      <c r="E3072" s="116"/>
    </row>
    <row r="3073" spans="1:5" x14ac:dyDescent="0.25">
      <c r="A3073" s="83"/>
      <c r="B3073" s="84"/>
      <c r="C3073" s="84"/>
      <c r="D3073" s="116"/>
      <c r="E3073" s="116"/>
    </row>
    <row r="3074" spans="1:5" x14ac:dyDescent="0.25">
      <c r="A3074" s="83"/>
      <c r="B3074" s="84"/>
      <c r="C3074" s="84"/>
      <c r="D3074" s="116"/>
      <c r="E3074" s="116"/>
    </row>
    <row r="3075" spans="1:5" x14ac:dyDescent="0.25">
      <c r="A3075" s="83"/>
      <c r="B3075" s="84"/>
      <c r="C3075" s="84"/>
      <c r="D3075" s="116"/>
      <c r="E3075" s="116"/>
    </row>
    <row r="3076" spans="1:5" x14ac:dyDescent="0.25">
      <c r="A3076" s="83"/>
      <c r="B3076" s="84"/>
      <c r="C3076" s="84"/>
      <c r="D3076" s="116"/>
      <c r="E3076" s="116"/>
    </row>
    <row r="3077" spans="1:5" x14ac:dyDescent="0.25">
      <c r="A3077" s="83"/>
      <c r="B3077" s="84"/>
      <c r="C3077" s="84"/>
      <c r="D3077" s="116"/>
      <c r="E3077" s="116"/>
    </row>
    <row r="3078" spans="1:5" x14ac:dyDescent="0.25">
      <c r="A3078" s="83"/>
      <c r="B3078" s="84"/>
      <c r="C3078" s="84"/>
      <c r="D3078" s="116"/>
      <c r="E3078" s="116"/>
    </row>
    <row r="3079" spans="1:5" x14ac:dyDescent="0.25">
      <c r="A3079" s="83"/>
      <c r="B3079" s="84"/>
      <c r="C3079" s="84"/>
      <c r="D3079" s="116"/>
      <c r="E3079" s="116"/>
    </row>
    <row r="3080" spans="1:5" x14ac:dyDescent="0.25">
      <c r="A3080" s="83"/>
      <c r="B3080" s="84"/>
      <c r="C3080" s="84"/>
      <c r="D3080" s="116"/>
      <c r="E3080" s="116"/>
    </row>
    <row r="3081" spans="1:5" x14ac:dyDescent="0.25">
      <c r="A3081" s="83"/>
      <c r="B3081" s="84"/>
      <c r="C3081" s="84"/>
      <c r="D3081" s="116"/>
      <c r="E3081" s="116"/>
    </row>
    <row r="3082" spans="1:5" x14ac:dyDescent="0.25">
      <c r="A3082" s="83"/>
      <c r="B3082" s="84"/>
      <c r="C3082" s="84"/>
      <c r="D3082" s="116"/>
      <c r="E3082" s="116"/>
    </row>
    <row r="3083" spans="1:5" x14ac:dyDescent="0.25">
      <c r="A3083" s="83"/>
      <c r="B3083" s="84"/>
      <c r="C3083" s="84"/>
      <c r="D3083" s="116"/>
      <c r="E3083" s="116"/>
    </row>
    <row r="3084" spans="1:5" x14ac:dyDescent="0.25">
      <c r="A3084" s="83"/>
      <c r="B3084" s="84"/>
      <c r="C3084" s="84"/>
      <c r="D3084" s="116"/>
      <c r="E3084" s="116"/>
    </row>
    <row r="3085" spans="1:5" x14ac:dyDescent="0.25">
      <c r="A3085" s="83"/>
      <c r="B3085" s="84"/>
      <c r="C3085" s="84"/>
      <c r="D3085" s="116"/>
      <c r="E3085" s="116"/>
    </row>
    <row r="3086" spans="1:5" x14ac:dyDescent="0.25">
      <c r="A3086" s="83"/>
      <c r="B3086" s="84"/>
      <c r="C3086" s="84"/>
      <c r="D3086" s="116"/>
      <c r="E3086" s="116"/>
    </row>
    <row r="3087" spans="1:5" x14ac:dyDescent="0.25">
      <c r="A3087" s="83"/>
      <c r="B3087" s="84"/>
      <c r="C3087" s="84"/>
      <c r="D3087" s="116"/>
      <c r="E3087" s="116"/>
    </row>
    <row r="3088" spans="1:5" x14ac:dyDescent="0.25">
      <c r="A3088" s="83"/>
      <c r="B3088" s="84"/>
      <c r="C3088" s="84"/>
      <c r="D3088" s="116"/>
      <c r="E3088" s="116"/>
    </row>
    <row r="3089" spans="1:5" x14ac:dyDescent="0.25">
      <c r="A3089" s="83"/>
      <c r="B3089" s="84"/>
      <c r="C3089" s="84"/>
      <c r="D3089" s="116"/>
      <c r="E3089" s="116"/>
    </row>
    <row r="3090" spans="1:5" x14ac:dyDescent="0.25">
      <c r="A3090" s="83"/>
      <c r="B3090" s="84"/>
      <c r="C3090" s="84"/>
      <c r="D3090" s="116"/>
      <c r="E3090" s="116"/>
    </row>
    <row r="3091" spans="1:5" x14ac:dyDescent="0.25">
      <c r="A3091" s="83"/>
      <c r="B3091" s="84"/>
      <c r="C3091" s="84"/>
      <c r="D3091" s="116"/>
      <c r="E3091" s="116"/>
    </row>
    <row r="3092" spans="1:5" x14ac:dyDescent="0.25">
      <c r="A3092" s="83"/>
      <c r="B3092" s="84"/>
      <c r="C3092" s="84"/>
      <c r="D3092" s="116"/>
      <c r="E3092" s="116"/>
    </row>
    <row r="3093" spans="1:5" x14ac:dyDescent="0.25">
      <c r="A3093" s="83"/>
      <c r="B3093" s="84"/>
      <c r="C3093" s="84"/>
      <c r="D3093" s="116"/>
      <c r="E3093" s="116"/>
    </row>
    <row r="3094" spans="1:5" x14ac:dyDescent="0.25">
      <c r="A3094" s="83"/>
      <c r="B3094" s="84"/>
      <c r="C3094" s="84"/>
      <c r="D3094" s="116"/>
      <c r="E3094" s="116"/>
    </row>
    <row r="3095" spans="1:5" x14ac:dyDescent="0.25">
      <c r="A3095" s="83"/>
      <c r="B3095" s="84"/>
      <c r="C3095" s="84"/>
      <c r="D3095" s="116"/>
      <c r="E3095" s="116"/>
    </row>
    <row r="3096" spans="1:5" x14ac:dyDescent="0.25">
      <c r="A3096" s="83"/>
      <c r="B3096" s="84"/>
      <c r="C3096" s="84"/>
      <c r="D3096" s="116"/>
      <c r="E3096" s="116"/>
    </row>
    <row r="3097" spans="1:5" x14ac:dyDescent="0.25">
      <c r="A3097" s="83"/>
      <c r="B3097" s="84"/>
      <c r="C3097" s="84"/>
      <c r="D3097" s="116"/>
      <c r="E3097" s="116"/>
    </row>
    <row r="3098" spans="1:5" x14ac:dyDescent="0.25">
      <c r="A3098" s="83"/>
      <c r="B3098" s="84"/>
      <c r="C3098" s="84"/>
      <c r="D3098" s="116"/>
      <c r="E3098" s="116"/>
    </row>
    <row r="3099" spans="1:5" x14ac:dyDescent="0.25">
      <c r="A3099" s="83"/>
      <c r="B3099" s="84"/>
      <c r="C3099" s="84"/>
      <c r="D3099" s="116"/>
      <c r="E3099" s="116"/>
    </row>
    <row r="3100" spans="1:5" x14ac:dyDescent="0.25">
      <c r="A3100" s="83"/>
      <c r="B3100" s="84"/>
      <c r="C3100" s="84"/>
      <c r="D3100" s="116"/>
      <c r="E3100" s="116"/>
    </row>
    <row r="3101" spans="1:5" x14ac:dyDescent="0.25">
      <c r="A3101" s="83"/>
      <c r="B3101" s="84"/>
      <c r="C3101" s="84"/>
      <c r="D3101" s="116"/>
      <c r="E3101" s="116"/>
    </row>
    <row r="3102" spans="1:5" x14ac:dyDescent="0.25">
      <c r="A3102" s="83"/>
      <c r="B3102" s="84"/>
      <c r="C3102" s="84"/>
      <c r="D3102" s="116"/>
      <c r="E3102" s="116"/>
    </row>
    <row r="3103" spans="1:5" x14ac:dyDescent="0.25">
      <c r="A3103" s="83"/>
      <c r="B3103" s="84"/>
      <c r="C3103" s="84"/>
      <c r="D3103" s="116"/>
      <c r="E3103" s="116"/>
    </row>
    <row r="3104" spans="1:5" x14ac:dyDescent="0.25">
      <c r="A3104" s="83"/>
      <c r="B3104" s="84"/>
      <c r="C3104" s="84"/>
      <c r="D3104" s="116"/>
      <c r="E3104" s="116"/>
    </row>
    <row r="3105" spans="1:5" x14ac:dyDescent="0.25">
      <c r="A3105" s="83"/>
      <c r="B3105" s="84"/>
      <c r="C3105" s="84"/>
      <c r="D3105" s="116"/>
      <c r="E3105" s="116"/>
    </row>
    <row r="3106" spans="1:5" x14ac:dyDescent="0.25">
      <c r="A3106" s="83"/>
      <c r="B3106" s="84"/>
      <c r="C3106" s="84"/>
      <c r="D3106" s="116"/>
      <c r="E3106" s="116"/>
    </row>
    <row r="3107" spans="1:5" x14ac:dyDescent="0.25">
      <c r="A3107" s="83"/>
      <c r="B3107" s="84"/>
      <c r="C3107" s="84"/>
      <c r="D3107" s="116"/>
      <c r="E3107" s="116"/>
    </row>
    <row r="3108" spans="1:5" x14ac:dyDescent="0.25">
      <c r="A3108" s="83"/>
      <c r="B3108" s="84"/>
      <c r="C3108" s="84"/>
      <c r="D3108" s="116"/>
      <c r="E3108" s="116"/>
    </row>
    <row r="3109" spans="1:5" x14ac:dyDescent="0.25">
      <c r="A3109" s="83"/>
      <c r="B3109" s="84"/>
      <c r="C3109" s="84"/>
      <c r="D3109" s="116"/>
      <c r="E3109" s="116"/>
    </row>
    <row r="3110" spans="1:5" x14ac:dyDescent="0.25">
      <c r="A3110" s="83"/>
      <c r="B3110" s="84"/>
      <c r="C3110" s="84"/>
      <c r="D3110" s="116"/>
      <c r="E3110" s="116"/>
    </row>
    <row r="3111" spans="1:5" x14ac:dyDescent="0.25">
      <c r="A3111" s="83"/>
      <c r="B3111" s="84"/>
      <c r="C3111" s="84"/>
      <c r="D3111" s="116"/>
      <c r="E3111" s="116"/>
    </row>
    <row r="3112" spans="1:5" x14ac:dyDescent="0.25">
      <c r="A3112" s="83"/>
      <c r="B3112" s="84"/>
      <c r="C3112" s="84"/>
      <c r="D3112" s="116"/>
      <c r="E3112" s="116"/>
    </row>
    <row r="3113" spans="1:5" x14ac:dyDescent="0.25">
      <c r="A3113" s="83"/>
      <c r="B3113" s="84"/>
      <c r="C3113" s="84"/>
      <c r="D3113" s="116"/>
      <c r="E3113" s="116"/>
    </row>
    <row r="3114" spans="1:5" x14ac:dyDescent="0.25">
      <c r="A3114" s="83"/>
      <c r="B3114" s="84"/>
      <c r="C3114" s="84"/>
      <c r="D3114" s="116"/>
      <c r="E3114" s="116"/>
    </row>
    <row r="3115" spans="1:5" x14ac:dyDescent="0.25">
      <c r="A3115" s="83"/>
      <c r="B3115" s="84"/>
      <c r="C3115" s="84"/>
      <c r="D3115" s="116"/>
      <c r="E3115" s="116"/>
    </row>
    <row r="3116" spans="1:5" x14ac:dyDescent="0.25">
      <c r="A3116" s="83"/>
      <c r="B3116" s="84"/>
      <c r="C3116" s="84"/>
      <c r="D3116" s="116"/>
      <c r="E3116" s="116"/>
    </row>
    <row r="3117" spans="1:5" x14ac:dyDescent="0.25">
      <c r="A3117" s="83"/>
      <c r="B3117" s="84"/>
      <c r="C3117" s="84"/>
      <c r="D3117" s="116"/>
      <c r="E3117" s="116"/>
    </row>
    <row r="3118" spans="1:5" x14ac:dyDescent="0.25">
      <c r="A3118" s="83"/>
      <c r="B3118" s="84"/>
      <c r="C3118" s="84"/>
      <c r="D3118" s="116"/>
      <c r="E3118" s="116"/>
    </row>
    <row r="3119" spans="1:5" x14ac:dyDescent="0.25">
      <c r="A3119" s="83"/>
      <c r="B3119" s="84"/>
      <c r="C3119" s="84"/>
      <c r="D3119" s="116"/>
      <c r="E3119" s="116"/>
    </row>
    <row r="3120" spans="1:5" x14ac:dyDescent="0.25">
      <c r="A3120" s="83"/>
      <c r="B3120" s="84"/>
      <c r="C3120" s="84"/>
      <c r="D3120" s="116"/>
      <c r="E3120" s="116"/>
    </row>
    <row r="3121" spans="1:5" x14ac:dyDescent="0.25">
      <c r="A3121" s="83"/>
      <c r="B3121" s="84"/>
      <c r="C3121" s="84"/>
      <c r="D3121" s="116"/>
      <c r="E3121" s="116"/>
    </row>
    <row r="3122" spans="1:5" x14ac:dyDescent="0.25">
      <c r="A3122" s="83"/>
      <c r="B3122" s="84"/>
      <c r="C3122" s="84"/>
      <c r="D3122" s="116"/>
      <c r="E3122" s="116"/>
    </row>
    <row r="3123" spans="1:5" x14ac:dyDescent="0.25">
      <c r="A3123" s="83"/>
      <c r="B3123" s="84"/>
      <c r="C3123" s="84"/>
      <c r="D3123" s="116"/>
      <c r="E3123" s="116"/>
    </row>
    <row r="3124" spans="1:5" x14ac:dyDescent="0.25">
      <c r="A3124" s="83"/>
      <c r="B3124" s="84"/>
      <c r="C3124" s="84"/>
      <c r="D3124" s="116"/>
      <c r="E3124" s="116"/>
    </row>
    <row r="3125" spans="1:5" x14ac:dyDescent="0.25">
      <c r="A3125" s="83"/>
      <c r="B3125" s="84"/>
      <c r="C3125" s="84"/>
      <c r="D3125" s="116"/>
      <c r="E3125" s="116"/>
    </row>
    <row r="3126" spans="1:5" x14ac:dyDescent="0.25">
      <c r="A3126" s="83"/>
      <c r="B3126" s="84"/>
      <c r="C3126" s="84"/>
      <c r="D3126" s="116"/>
      <c r="E3126" s="116"/>
    </row>
    <row r="3127" spans="1:5" x14ac:dyDescent="0.25">
      <c r="A3127" s="83"/>
      <c r="B3127" s="84"/>
      <c r="C3127" s="84"/>
      <c r="D3127" s="116"/>
      <c r="E3127" s="116"/>
    </row>
    <row r="3128" spans="1:5" x14ac:dyDescent="0.25">
      <c r="A3128" s="83"/>
      <c r="B3128" s="84"/>
      <c r="C3128" s="84"/>
      <c r="D3128" s="116"/>
      <c r="E3128" s="116"/>
    </row>
    <row r="3129" spans="1:5" x14ac:dyDescent="0.25">
      <c r="A3129" s="83"/>
      <c r="B3129" s="84"/>
      <c r="C3129" s="84"/>
      <c r="D3129" s="116"/>
      <c r="E3129" s="116"/>
    </row>
    <row r="3130" spans="1:5" x14ac:dyDescent="0.25">
      <c r="A3130" s="83"/>
      <c r="B3130" s="84"/>
      <c r="C3130" s="84"/>
      <c r="D3130" s="116"/>
      <c r="E3130" s="116"/>
    </row>
    <row r="3131" spans="1:5" x14ac:dyDescent="0.25">
      <c r="A3131" s="83"/>
      <c r="B3131" s="84"/>
      <c r="C3131" s="84"/>
      <c r="D3131" s="116"/>
      <c r="E3131" s="116"/>
    </row>
    <row r="3132" spans="1:5" x14ac:dyDescent="0.25">
      <c r="A3132" s="83"/>
      <c r="B3132" s="84"/>
      <c r="C3132" s="84"/>
      <c r="D3132" s="116"/>
      <c r="E3132" s="116"/>
    </row>
    <row r="3133" spans="1:5" x14ac:dyDescent="0.25">
      <c r="A3133" s="83"/>
      <c r="B3133" s="84"/>
      <c r="C3133" s="84"/>
      <c r="D3133" s="116"/>
      <c r="E3133" s="116"/>
    </row>
    <row r="3134" spans="1:5" x14ac:dyDescent="0.25">
      <c r="A3134" s="83"/>
      <c r="B3134" s="84"/>
      <c r="C3134" s="84"/>
      <c r="D3134" s="116"/>
      <c r="E3134" s="116"/>
    </row>
    <row r="3135" spans="1:5" x14ac:dyDescent="0.25">
      <c r="A3135" s="83"/>
      <c r="B3135" s="84"/>
      <c r="C3135" s="84"/>
      <c r="D3135" s="116"/>
      <c r="E3135" s="116"/>
    </row>
    <row r="3136" spans="1:5" x14ac:dyDescent="0.25">
      <c r="A3136" s="83"/>
      <c r="B3136" s="84"/>
      <c r="C3136" s="84"/>
      <c r="D3136" s="116"/>
      <c r="E3136" s="116"/>
    </row>
    <row r="3137" spans="1:5" x14ac:dyDescent="0.25">
      <c r="A3137" s="83"/>
      <c r="B3137" s="84"/>
      <c r="C3137" s="84"/>
      <c r="D3137" s="116"/>
      <c r="E3137" s="116"/>
    </row>
    <row r="3138" spans="1:5" x14ac:dyDescent="0.25">
      <c r="A3138" s="83"/>
      <c r="B3138" s="84"/>
      <c r="C3138" s="84"/>
      <c r="D3138" s="116"/>
      <c r="E3138" s="116"/>
    </row>
    <row r="3139" spans="1:5" x14ac:dyDescent="0.25">
      <c r="A3139" s="83"/>
      <c r="B3139" s="84"/>
      <c r="C3139" s="84"/>
      <c r="D3139" s="116"/>
      <c r="E3139" s="116"/>
    </row>
    <row r="3140" spans="1:5" x14ac:dyDescent="0.25">
      <c r="A3140" s="83"/>
      <c r="B3140" s="84"/>
      <c r="C3140" s="84"/>
      <c r="D3140" s="116"/>
      <c r="E3140" s="116"/>
    </row>
    <row r="3141" spans="1:5" x14ac:dyDescent="0.25">
      <c r="A3141" s="83"/>
      <c r="B3141" s="84"/>
      <c r="C3141" s="84"/>
      <c r="D3141" s="116"/>
      <c r="E3141" s="116"/>
    </row>
    <row r="3142" spans="1:5" x14ac:dyDescent="0.25">
      <c r="A3142" s="83"/>
      <c r="B3142" s="84"/>
      <c r="C3142" s="84"/>
      <c r="D3142" s="116"/>
      <c r="E3142" s="116"/>
    </row>
    <row r="3143" spans="1:5" x14ac:dyDescent="0.25">
      <c r="A3143" s="83"/>
      <c r="B3143" s="84"/>
      <c r="C3143" s="84"/>
      <c r="D3143" s="116"/>
      <c r="E3143" s="116"/>
    </row>
    <row r="3144" spans="1:5" x14ac:dyDescent="0.25">
      <c r="A3144" s="83"/>
      <c r="B3144" s="84"/>
      <c r="C3144" s="84"/>
      <c r="D3144" s="116"/>
      <c r="E3144" s="116"/>
    </row>
    <row r="3145" spans="1:5" x14ac:dyDescent="0.25">
      <c r="A3145" s="83"/>
      <c r="B3145" s="84"/>
      <c r="C3145" s="84"/>
      <c r="D3145" s="116"/>
      <c r="E3145" s="116"/>
    </row>
    <row r="3146" spans="1:5" x14ac:dyDescent="0.25">
      <c r="A3146" s="83"/>
      <c r="B3146" s="84"/>
      <c r="C3146" s="84"/>
      <c r="D3146" s="116"/>
      <c r="E3146" s="116"/>
    </row>
    <row r="3147" spans="1:5" x14ac:dyDescent="0.25">
      <c r="A3147" s="83"/>
      <c r="B3147" s="84"/>
      <c r="C3147" s="84"/>
      <c r="D3147" s="116"/>
      <c r="E3147" s="116"/>
    </row>
    <row r="3148" spans="1:5" x14ac:dyDescent="0.25">
      <c r="A3148" s="83"/>
      <c r="B3148" s="84"/>
      <c r="C3148" s="84"/>
      <c r="D3148" s="116"/>
      <c r="E3148" s="116"/>
    </row>
    <row r="3149" spans="1:5" x14ac:dyDescent="0.25">
      <c r="A3149" s="83"/>
      <c r="B3149" s="84"/>
      <c r="C3149" s="84"/>
      <c r="D3149" s="116"/>
      <c r="E3149" s="116"/>
    </row>
    <row r="3150" spans="1:5" x14ac:dyDescent="0.25">
      <c r="A3150" s="83"/>
      <c r="B3150" s="84"/>
      <c r="C3150" s="84"/>
      <c r="D3150" s="116"/>
      <c r="E3150" s="116"/>
    </row>
    <row r="3151" spans="1:5" x14ac:dyDescent="0.25">
      <c r="A3151" s="83"/>
      <c r="B3151" s="84"/>
      <c r="C3151" s="84"/>
      <c r="D3151" s="116"/>
      <c r="E3151" s="116"/>
    </row>
    <row r="3152" spans="1:5" x14ac:dyDescent="0.25">
      <c r="A3152" s="83"/>
      <c r="B3152" s="84"/>
      <c r="C3152" s="84"/>
      <c r="D3152" s="116"/>
      <c r="E3152" s="116"/>
    </row>
    <row r="3153" spans="1:5" x14ac:dyDescent="0.25">
      <c r="A3153" s="83"/>
      <c r="B3153" s="84"/>
      <c r="C3153" s="84"/>
      <c r="D3153" s="116"/>
      <c r="E3153" s="116"/>
    </row>
    <row r="3154" spans="1:5" x14ac:dyDescent="0.25">
      <c r="A3154" s="83"/>
      <c r="B3154" s="84"/>
      <c r="C3154" s="84"/>
      <c r="D3154" s="116"/>
      <c r="E3154" s="116"/>
    </row>
    <row r="3155" spans="1:5" x14ac:dyDescent="0.25">
      <c r="A3155" s="83"/>
      <c r="B3155" s="84"/>
      <c r="C3155" s="84"/>
      <c r="D3155" s="116"/>
      <c r="E3155" s="116"/>
    </row>
    <row r="3156" spans="1:5" x14ac:dyDescent="0.25">
      <c r="A3156" s="83"/>
      <c r="B3156" s="84"/>
      <c r="C3156" s="84"/>
      <c r="D3156" s="116"/>
      <c r="E3156" s="116"/>
    </row>
    <row r="3157" spans="1:5" x14ac:dyDescent="0.25">
      <c r="A3157" s="83"/>
      <c r="B3157" s="84"/>
      <c r="C3157" s="84"/>
      <c r="D3157" s="116"/>
      <c r="E3157" s="116"/>
    </row>
    <row r="3158" spans="1:5" x14ac:dyDescent="0.25">
      <c r="A3158" s="83"/>
      <c r="B3158" s="84"/>
      <c r="C3158" s="84"/>
      <c r="D3158" s="116"/>
      <c r="E3158" s="116"/>
    </row>
    <row r="3159" spans="1:5" x14ac:dyDescent="0.25">
      <c r="A3159" s="83"/>
      <c r="B3159" s="84"/>
      <c r="C3159" s="84"/>
      <c r="D3159" s="116"/>
      <c r="E3159" s="116"/>
    </row>
    <row r="3160" spans="1:5" x14ac:dyDescent="0.25">
      <c r="A3160" s="83"/>
      <c r="B3160" s="84"/>
      <c r="C3160" s="84"/>
      <c r="D3160" s="116"/>
      <c r="E3160" s="116"/>
    </row>
    <row r="3161" spans="1:5" x14ac:dyDescent="0.25">
      <c r="A3161" s="83"/>
      <c r="B3161" s="84"/>
      <c r="C3161" s="84"/>
      <c r="D3161" s="116"/>
      <c r="E3161" s="116"/>
    </row>
    <row r="3162" spans="1:5" x14ac:dyDescent="0.25">
      <c r="A3162" s="83"/>
      <c r="B3162" s="84"/>
      <c r="C3162" s="84"/>
      <c r="D3162" s="116"/>
      <c r="E3162" s="116"/>
    </row>
    <row r="3163" spans="1:5" x14ac:dyDescent="0.25">
      <c r="A3163" s="83"/>
      <c r="B3163" s="84"/>
      <c r="C3163" s="84"/>
      <c r="D3163" s="116"/>
      <c r="E3163" s="116"/>
    </row>
    <row r="3164" spans="1:5" x14ac:dyDescent="0.25">
      <c r="A3164" s="83"/>
      <c r="B3164" s="84"/>
      <c r="C3164" s="84"/>
      <c r="D3164" s="116"/>
      <c r="E3164" s="116"/>
    </row>
    <row r="3165" spans="1:5" x14ac:dyDescent="0.25">
      <c r="A3165" s="83"/>
      <c r="B3165" s="84"/>
      <c r="C3165" s="84"/>
      <c r="D3165" s="116"/>
      <c r="E3165" s="116"/>
    </row>
    <row r="3166" spans="1:5" x14ac:dyDescent="0.25">
      <c r="A3166" s="83"/>
      <c r="B3166" s="84"/>
      <c r="C3166" s="84"/>
      <c r="D3166" s="116"/>
      <c r="E3166" s="116"/>
    </row>
    <row r="3167" spans="1:5" x14ac:dyDescent="0.25">
      <c r="A3167" s="83"/>
      <c r="B3167" s="84"/>
      <c r="C3167" s="84"/>
      <c r="D3167" s="116"/>
      <c r="E3167" s="116"/>
    </row>
    <row r="3168" spans="1:5" x14ac:dyDescent="0.25">
      <c r="A3168" s="83"/>
      <c r="B3168" s="84"/>
      <c r="C3168" s="84"/>
      <c r="D3168" s="116"/>
      <c r="E3168" s="116"/>
    </row>
    <row r="3169" spans="1:5" x14ac:dyDescent="0.25">
      <c r="A3169" s="83"/>
      <c r="B3169" s="84"/>
      <c r="C3169" s="84"/>
      <c r="D3169" s="116"/>
      <c r="E3169" s="116"/>
    </row>
    <row r="3170" spans="1:5" x14ac:dyDescent="0.25">
      <c r="A3170" s="83"/>
      <c r="B3170" s="84"/>
      <c r="C3170" s="84"/>
      <c r="D3170" s="116"/>
      <c r="E3170" s="116"/>
    </row>
    <row r="3171" spans="1:5" x14ac:dyDescent="0.25">
      <c r="A3171" s="83"/>
      <c r="B3171" s="84"/>
      <c r="C3171" s="84"/>
      <c r="D3171" s="116"/>
      <c r="E3171" s="116"/>
    </row>
    <row r="3172" spans="1:5" x14ac:dyDescent="0.25">
      <c r="A3172" s="83"/>
      <c r="B3172" s="84"/>
      <c r="C3172" s="84"/>
      <c r="D3172" s="116"/>
      <c r="E3172" s="116"/>
    </row>
    <row r="3173" spans="1:5" x14ac:dyDescent="0.25">
      <c r="A3173" s="83"/>
      <c r="B3173" s="84"/>
      <c r="C3173" s="84"/>
      <c r="D3173" s="116"/>
      <c r="E3173" s="116"/>
    </row>
    <row r="3174" spans="1:5" x14ac:dyDescent="0.25">
      <c r="A3174" s="83"/>
      <c r="B3174" s="84"/>
      <c r="C3174" s="84"/>
      <c r="D3174" s="116"/>
      <c r="E3174" s="116"/>
    </row>
    <row r="3175" spans="1:5" x14ac:dyDescent="0.25">
      <c r="A3175" s="83"/>
      <c r="B3175" s="84"/>
      <c r="C3175" s="84"/>
      <c r="D3175" s="116"/>
      <c r="E3175" s="116"/>
    </row>
    <row r="3176" spans="1:5" x14ac:dyDescent="0.25">
      <c r="A3176" s="83"/>
      <c r="B3176" s="84"/>
      <c r="C3176" s="84"/>
      <c r="D3176" s="116"/>
      <c r="E3176" s="116"/>
    </row>
    <row r="3177" spans="1:5" x14ac:dyDescent="0.25">
      <c r="A3177" s="83"/>
      <c r="B3177" s="84"/>
      <c r="C3177" s="84"/>
      <c r="D3177" s="116"/>
      <c r="E3177" s="116"/>
    </row>
    <row r="3178" spans="1:5" x14ac:dyDescent="0.25">
      <c r="A3178" s="83"/>
      <c r="B3178" s="84"/>
      <c r="C3178" s="84"/>
      <c r="D3178" s="116"/>
      <c r="E3178" s="116"/>
    </row>
    <row r="3179" spans="1:5" x14ac:dyDescent="0.25">
      <c r="A3179" s="83"/>
      <c r="B3179" s="84"/>
      <c r="C3179" s="84"/>
      <c r="D3179" s="116"/>
      <c r="E3179" s="116"/>
    </row>
    <row r="3180" spans="1:5" x14ac:dyDescent="0.25">
      <c r="A3180" s="83"/>
      <c r="B3180" s="84"/>
      <c r="C3180" s="84"/>
      <c r="D3180" s="116"/>
      <c r="E3180" s="116"/>
    </row>
    <row r="3181" spans="1:5" x14ac:dyDescent="0.25">
      <c r="A3181" s="83"/>
      <c r="B3181" s="84"/>
      <c r="C3181" s="84"/>
      <c r="D3181" s="116"/>
      <c r="E3181" s="116"/>
    </row>
    <row r="3182" spans="1:5" x14ac:dyDescent="0.25">
      <c r="A3182" s="83"/>
      <c r="B3182" s="84"/>
      <c r="C3182" s="84"/>
      <c r="D3182" s="116"/>
      <c r="E3182" s="116"/>
    </row>
    <row r="3183" spans="1:5" x14ac:dyDescent="0.25">
      <c r="A3183" s="83"/>
      <c r="B3183" s="84"/>
      <c r="C3183" s="84"/>
      <c r="D3183" s="116"/>
      <c r="E3183" s="116"/>
    </row>
    <row r="3184" spans="1:5" x14ac:dyDescent="0.25">
      <c r="A3184" s="83"/>
      <c r="B3184" s="84"/>
      <c r="C3184" s="84"/>
      <c r="D3184" s="116"/>
      <c r="E3184" s="116"/>
    </row>
    <row r="3185" spans="1:5" x14ac:dyDescent="0.25">
      <c r="A3185" s="83"/>
      <c r="B3185" s="84"/>
      <c r="C3185" s="84"/>
      <c r="D3185" s="116"/>
      <c r="E3185" s="116"/>
    </row>
    <row r="3186" spans="1:5" x14ac:dyDescent="0.25">
      <c r="A3186" s="83"/>
      <c r="B3186" s="84"/>
      <c r="C3186" s="84"/>
      <c r="D3186" s="116"/>
      <c r="E3186" s="116"/>
    </row>
    <row r="3187" spans="1:5" x14ac:dyDescent="0.25">
      <c r="A3187" s="83"/>
      <c r="B3187" s="84"/>
      <c r="C3187" s="84"/>
      <c r="D3187" s="116"/>
      <c r="E3187" s="116"/>
    </row>
    <row r="3188" spans="1:5" x14ac:dyDescent="0.25">
      <c r="A3188" s="83"/>
      <c r="B3188" s="84"/>
      <c r="C3188" s="84"/>
      <c r="D3188" s="116"/>
      <c r="E3188" s="116"/>
    </row>
    <row r="3189" spans="1:5" x14ac:dyDescent="0.25">
      <c r="A3189" s="83"/>
      <c r="B3189" s="84"/>
      <c r="C3189" s="84"/>
      <c r="D3189" s="116"/>
      <c r="E3189" s="116"/>
    </row>
    <row r="3190" spans="1:5" x14ac:dyDescent="0.25">
      <c r="A3190" s="83"/>
      <c r="B3190" s="84"/>
      <c r="C3190" s="84"/>
      <c r="D3190" s="116"/>
      <c r="E3190" s="116"/>
    </row>
    <row r="3191" spans="1:5" x14ac:dyDescent="0.25">
      <c r="A3191" s="83"/>
      <c r="B3191" s="84"/>
      <c r="C3191" s="84"/>
      <c r="D3191" s="116"/>
      <c r="E3191" s="116"/>
    </row>
    <row r="3192" spans="1:5" x14ac:dyDescent="0.25">
      <c r="A3192" s="83"/>
      <c r="B3192" s="84"/>
      <c r="C3192" s="84"/>
      <c r="D3192" s="116"/>
      <c r="E3192" s="116"/>
    </row>
    <row r="3193" spans="1:5" x14ac:dyDescent="0.25">
      <c r="A3193" s="83"/>
      <c r="B3193" s="84"/>
      <c r="C3193" s="84"/>
      <c r="D3193" s="116"/>
      <c r="E3193" s="116"/>
    </row>
    <row r="3194" spans="1:5" x14ac:dyDescent="0.25">
      <c r="A3194" s="83"/>
      <c r="B3194" s="84"/>
      <c r="C3194" s="84"/>
      <c r="D3194" s="116"/>
      <c r="E3194" s="116"/>
    </row>
    <row r="3195" spans="1:5" x14ac:dyDescent="0.25">
      <c r="A3195" s="83"/>
      <c r="B3195" s="84"/>
      <c r="C3195" s="84"/>
      <c r="D3195" s="116"/>
      <c r="E3195" s="116"/>
    </row>
    <row r="3196" spans="1:5" x14ac:dyDescent="0.25">
      <c r="A3196" s="83"/>
      <c r="B3196" s="84"/>
      <c r="C3196" s="84"/>
      <c r="D3196" s="116"/>
      <c r="E3196" s="116"/>
    </row>
    <row r="3197" spans="1:5" x14ac:dyDescent="0.25">
      <c r="A3197" s="83"/>
      <c r="B3197" s="84"/>
      <c r="C3197" s="84"/>
      <c r="D3197" s="116"/>
      <c r="E3197" s="116"/>
    </row>
    <row r="3198" spans="1:5" x14ac:dyDescent="0.25">
      <c r="A3198" s="83"/>
      <c r="B3198" s="84"/>
      <c r="C3198" s="84"/>
      <c r="D3198" s="116"/>
      <c r="E3198" s="116"/>
    </row>
    <row r="3199" spans="1:5" x14ac:dyDescent="0.25">
      <c r="A3199" s="83"/>
      <c r="B3199" s="84"/>
      <c r="C3199" s="84"/>
      <c r="D3199" s="116"/>
      <c r="E3199" s="116"/>
    </row>
    <row r="3200" spans="1:5" x14ac:dyDescent="0.25">
      <c r="A3200" s="83"/>
      <c r="B3200" s="84"/>
      <c r="C3200" s="84"/>
      <c r="D3200" s="116"/>
      <c r="E3200" s="116"/>
    </row>
    <row r="3201" spans="1:5" x14ac:dyDescent="0.25">
      <c r="A3201" s="83"/>
      <c r="B3201" s="84"/>
      <c r="C3201" s="84"/>
      <c r="D3201" s="116"/>
      <c r="E3201" s="116"/>
    </row>
    <row r="3202" spans="1:5" x14ac:dyDescent="0.25">
      <c r="A3202" s="83"/>
      <c r="B3202" s="84"/>
      <c r="C3202" s="84"/>
      <c r="D3202" s="116"/>
      <c r="E3202" s="116"/>
    </row>
    <row r="3203" spans="1:5" x14ac:dyDescent="0.25">
      <c r="A3203" s="83"/>
      <c r="B3203" s="84"/>
      <c r="C3203" s="84"/>
      <c r="D3203" s="116"/>
      <c r="E3203" s="116"/>
    </row>
    <row r="3204" spans="1:5" x14ac:dyDescent="0.25">
      <c r="A3204" s="83"/>
      <c r="B3204" s="84"/>
      <c r="C3204" s="84"/>
      <c r="D3204" s="116"/>
      <c r="E3204" s="116"/>
    </row>
    <row r="3205" spans="1:5" x14ac:dyDescent="0.25">
      <c r="A3205" s="83"/>
      <c r="B3205" s="84"/>
      <c r="C3205" s="84"/>
      <c r="D3205" s="116"/>
      <c r="E3205" s="116"/>
    </row>
    <row r="3206" spans="1:5" x14ac:dyDescent="0.25">
      <c r="A3206" s="83"/>
      <c r="B3206" s="84"/>
      <c r="C3206" s="84"/>
      <c r="D3206" s="116"/>
      <c r="E3206" s="116"/>
    </row>
    <row r="3207" spans="1:5" x14ac:dyDescent="0.25">
      <c r="A3207" s="83"/>
      <c r="B3207" s="84"/>
      <c r="C3207" s="84"/>
      <c r="D3207" s="116"/>
      <c r="E3207" s="116"/>
    </row>
    <row r="3208" spans="1:5" x14ac:dyDescent="0.25">
      <c r="A3208" s="83"/>
      <c r="B3208" s="84"/>
      <c r="C3208" s="84"/>
      <c r="D3208" s="116"/>
      <c r="E3208" s="116"/>
    </row>
    <row r="3209" spans="1:5" x14ac:dyDescent="0.25">
      <c r="A3209" s="83"/>
      <c r="B3209" s="84"/>
      <c r="C3209" s="84"/>
      <c r="D3209" s="116"/>
      <c r="E3209" s="116"/>
    </row>
    <row r="3210" spans="1:5" x14ac:dyDescent="0.25">
      <c r="A3210" s="83"/>
      <c r="B3210" s="84"/>
      <c r="C3210" s="84"/>
      <c r="D3210" s="116"/>
      <c r="E3210" s="116"/>
    </row>
    <row r="3211" spans="1:5" x14ac:dyDescent="0.25">
      <c r="A3211" s="83"/>
      <c r="B3211" s="84"/>
      <c r="C3211" s="84"/>
      <c r="D3211" s="116"/>
      <c r="E3211" s="116"/>
    </row>
    <row r="3212" spans="1:5" x14ac:dyDescent="0.25">
      <c r="A3212" s="83"/>
      <c r="B3212" s="84"/>
      <c r="C3212" s="84"/>
      <c r="D3212" s="116"/>
      <c r="E3212" s="116"/>
    </row>
    <row r="3213" spans="1:5" x14ac:dyDescent="0.25">
      <c r="A3213" s="83"/>
      <c r="B3213" s="84"/>
      <c r="C3213" s="84"/>
      <c r="D3213" s="116"/>
      <c r="E3213" s="116"/>
    </row>
    <row r="3214" spans="1:5" x14ac:dyDescent="0.25">
      <c r="A3214" s="83"/>
      <c r="B3214" s="84"/>
      <c r="C3214" s="84"/>
      <c r="D3214" s="116"/>
      <c r="E3214" s="116"/>
    </row>
    <row r="3215" spans="1:5" x14ac:dyDescent="0.25">
      <c r="A3215" s="83"/>
      <c r="B3215" s="84"/>
      <c r="C3215" s="84"/>
      <c r="D3215" s="116"/>
      <c r="E3215" s="116"/>
    </row>
    <row r="3216" spans="1:5" x14ac:dyDescent="0.25">
      <c r="A3216" s="83"/>
      <c r="B3216" s="84"/>
      <c r="C3216" s="84"/>
      <c r="D3216" s="116"/>
      <c r="E3216" s="116"/>
    </row>
    <row r="3217" spans="1:5" x14ac:dyDescent="0.25">
      <c r="A3217" s="83"/>
      <c r="B3217" s="84"/>
      <c r="C3217" s="84"/>
      <c r="D3217" s="116"/>
      <c r="E3217" s="116"/>
    </row>
    <row r="3218" spans="1:5" x14ac:dyDescent="0.25">
      <c r="A3218" s="83"/>
      <c r="B3218" s="84"/>
      <c r="C3218" s="84"/>
      <c r="D3218" s="116"/>
      <c r="E3218" s="116"/>
    </row>
    <row r="3219" spans="1:5" x14ac:dyDescent="0.25">
      <c r="A3219" s="83"/>
      <c r="B3219" s="84"/>
      <c r="C3219" s="84"/>
      <c r="D3219" s="116"/>
      <c r="E3219" s="116"/>
    </row>
    <row r="3220" spans="1:5" x14ac:dyDescent="0.25">
      <c r="A3220" s="83"/>
      <c r="B3220" s="84"/>
      <c r="C3220" s="84"/>
      <c r="D3220" s="116"/>
      <c r="E3220" s="116"/>
    </row>
    <row r="3221" spans="1:5" x14ac:dyDescent="0.25">
      <c r="A3221" s="83"/>
      <c r="B3221" s="84"/>
      <c r="C3221" s="84"/>
      <c r="D3221" s="116"/>
      <c r="E3221" s="116"/>
    </row>
    <row r="3222" spans="1:5" x14ac:dyDescent="0.25">
      <c r="A3222" s="83"/>
      <c r="B3222" s="84"/>
      <c r="C3222" s="84"/>
      <c r="D3222" s="116"/>
      <c r="E3222" s="116"/>
    </row>
    <row r="3223" spans="1:5" x14ac:dyDescent="0.25">
      <c r="A3223" s="83"/>
      <c r="B3223" s="84"/>
      <c r="C3223" s="84"/>
      <c r="D3223" s="116"/>
      <c r="E3223" s="116"/>
    </row>
    <row r="3224" spans="1:5" x14ac:dyDescent="0.25">
      <c r="A3224" s="83"/>
      <c r="B3224" s="84"/>
      <c r="C3224" s="84"/>
      <c r="D3224" s="116"/>
      <c r="E3224" s="116"/>
    </row>
    <row r="3225" spans="1:5" x14ac:dyDescent="0.25">
      <c r="A3225" s="83"/>
      <c r="B3225" s="84"/>
      <c r="C3225" s="84"/>
      <c r="D3225" s="116"/>
      <c r="E3225" s="116"/>
    </row>
    <row r="3226" spans="1:5" x14ac:dyDescent="0.25">
      <c r="A3226" s="83"/>
      <c r="B3226" s="84"/>
      <c r="C3226" s="84"/>
      <c r="D3226" s="116"/>
      <c r="E3226" s="116"/>
    </row>
    <row r="3227" spans="1:5" x14ac:dyDescent="0.25">
      <c r="A3227" s="83"/>
      <c r="B3227" s="84"/>
      <c r="C3227" s="84"/>
      <c r="D3227" s="116"/>
      <c r="E3227" s="116"/>
    </row>
    <row r="3228" spans="1:5" x14ac:dyDescent="0.25">
      <c r="A3228" s="83"/>
      <c r="B3228" s="84"/>
      <c r="C3228" s="84"/>
      <c r="D3228" s="116"/>
      <c r="E3228" s="116"/>
    </row>
    <row r="3229" spans="1:5" x14ac:dyDescent="0.25">
      <c r="A3229" s="83"/>
      <c r="B3229" s="84"/>
      <c r="C3229" s="84"/>
      <c r="D3229" s="116"/>
      <c r="E3229" s="116"/>
    </row>
    <row r="3230" spans="1:5" x14ac:dyDescent="0.25">
      <c r="A3230" s="83"/>
      <c r="B3230" s="84"/>
      <c r="C3230" s="84"/>
      <c r="D3230" s="116"/>
      <c r="E3230" s="116"/>
    </row>
    <row r="3231" spans="1:5" x14ac:dyDescent="0.25">
      <c r="A3231" s="83"/>
      <c r="B3231" s="84"/>
      <c r="C3231" s="84"/>
      <c r="D3231" s="116"/>
      <c r="E3231" s="116"/>
    </row>
    <row r="3232" spans="1:5" x14ac:dyDescent="0.25">
      <c r="A3232" s="83"/>
      <c r="B3232" s="84"/>
      <c r="C3232" s="84"/>
      <c r="D3232" s="116"/>
      <c r="E3232" s="116"/>
    </row>
    <row r="3233" spans="1:5" x14ac:dyDescent="0.25">
      <c r="A3233" s="83"/>
      <c r="B3233" s="84"/>
      <c r="C3233" s="84"/>
      <c r="D3233" s="116"/>
      <c r="E3233" s="116"/>
    </row>
    <row r="3234" spans="1:5" x14ac:dyDescent="0.25">
      <c r="A3234" s="83"/>
      <c r="B3234" s="84"/>
      <c r="C3234" s="84"/>
      <c r="D3234" s="116"/>
      <c r="E3234" s="116"/>
    </row>
    <row r="3235" spans="1:5" x14ac:dyDescent="0.25">
      <c r="A3235" s="83"/>
      <c r="B3235" s="84"/>
      <c r="C3235" s="84"/>
      <c r="D3235" s="116"/>
      <c r="E3235" s="116"/>
    </row>
    <row r="3236" spans="1:5" x14ac:dyDescent="0.25">
      <c r="A3236" s="83"/>
      <c r="B3236" s="84"/>
      <c r="C3236" s="84"/>
      <c r="D3236" s="116"/>
      <c r="E3236" s="116"/>
    </row>
    <row r="3237" spans="1:5" x14ac:dyDescent="0.25">
      <c r="A3237" s="83"/>
      <c r="B3237" s="84"/>
      <c r="C3237" s="84"/>
      <c r="D3237" s="116"/>
      <c r="E3237" s="116"/>
    </row>
    <row r="3238" spans="1:5" x14ac:dyDescent="0.25">
      <c r="A3238" s="83"/>
      <c r="B3238" s="84"/>
      <c r="C3238" s="84"/>
      <c r="D3238" s="116"/>
      <c r="E3238" s="116"/>
    </row>
    <row r="3239" spans="1:5" x14ac:dyDescent="0.25">
      <c r="A3239" s="83"/>
      <c r="B3239" s="84"/>
      <c r="C3239" s="84"/>
      <c r="D3239" s="116"/>
      <c r="E3239" s="116"/>
    </row>
    <row r="3240" spans="1:5" x14ac:dyDescent="0.25">
      <c r="A3240" s="83"/>
      <c r="B3240" s="84"/>
      <c r="C3240" s="84"/>
      <c r="D3240" s="116"/>
      <c r="E3240" s="116"/>
    </row>
    <row r="3241" spans="1:5" x14ac:dyDescent="0.25">
      <c r="A3241" s="83"/>
      <c r="B3241" s="84"/>
      <c r="C3241" s="84"/>
      <c r="D3241" s="116"/>
      <c r="E3241" s="116"/>
    </row>
    <row r="3242" spans="1:5" x14ac:dyDescent="0.25">
      <c r="A3242" s="83"/>
      <c r="B3242" s="84"/>
      <c r="C3242" s="84"/>
      <c r="D3242" s="116"/>
      <c r="E3242" s="116"/>
    </row>
    <row r="3243" spans="1:5" x14ac:dyDescent="0.25">
      <c r="A3243" s="83"/>
      <c r="B3243" s="84"/>
      <c r="C3243" s="84"/>
      <c r="D3243" s="116"/>
      <c r="E3243" s="116"/>
    </row>
    <row r="3244" spans="1:5" x14ac:dyDescent="0.25">
      <c r="A3244" s="83"/>
      <c r="B3244" s="84"/>
      <c r="C3244" s="84"/>
      <c r="D3244" s="116"/>
      <c r="E3244" s="116"/>
    </row>
    <row r="3245" spans="1:5" x14ac:dyDescent="0.25">
      <c r="A3245" s="83"/>
      <c r="B3245" s="84"/>
      <c r="C3245" s="84"/>
      <c r="D3245" s="116"/>
      <c r="E3245" s="116"/>
    </row>
    <row r="3246" spans="1:5" x14ac:dyDescent="0.25">
      <c r="A3246" s="83"/>
      <c r="B3246" s="84"/>
      <c r="C3246" s="84"/>
      <c r="D3246" s="116"/>
      <c r="E3246" s="116"/>
    </row>
    <row r="3247" spans="1:5" x14ac:dyDescent="0.25">
      <c r="A3247" s="83"/>
      <c r="B3247" s="84"/>
      <c r="C3247" s="84"/>
      <c r="D3247" s="116"/>
      <c r="E3247" s="116"/>
    </row>
    <row r="3248" spans="1:5" x14ac:dyDescent="0.25">
      <c r="A3248" s="83"/>
      <c r="B3248" s="84"/>
      <c r="C3248" s="84"/>
      <c r="D3248" s="116"/>
      <c r="E3248" s="116"/>
    </row>
    <row r="3249" spans="1:5" x14ac:dyDescent="0.25">
      <c r="A3249" s="83"/>
      <c r="B3249" s="84"/>
      <c r="C3249" s="84"/>
      <c r="D3249" s="116"/>
      <c r="E3249" s="116"/>
    </row>
    <row r="3250" spans="1:5" x14ac:dyDescent="0.25">
      <c r="A3250" s="83"/>
      <c r="B3250" s="84"/>
      <c r="C3250" s="84"/>
      <c r="D3250" s="116"/>
      <c r="E3250" s="116"/>
    </row>
    <row r="3251" spans="1:5" x14ac:dyDescent="0.25">
      <c r="A3251" s="83"/>
      <c r="B3251" s="84"/>
      <c r="C3251" s="84"/>
      <c r="D3251" s="116"/>
      <c r="E3251" s="116"/>
    </row>
    <row r="3252" spans="1:5" x14ac:dyDescent="0.25">
      <c r="A3252" s="83"/>
      <c r="B3252" s="84"/>
      <c r="C3252" s="84"/>
      <c r="D3252" s="116"/>
      <c r="E3252" s="116"/>
    </row>
    <row r="3253" spans="1:5" x14ac:dyDescent="0.25">
      <c r="A3253" s="83"/>
      <c r="B3253" s="84"/>
      <c r="C3253" s="84"/>
      <c r="D3253" s="116"/>
      <c r="E3253" s="116"/>
    </row>
    <row r="3254" spans="1:5" x14ac:dyDescent="0.25">
      <c r="A3254" s="83"/>
      <c r="B3254" s="84"/>
      <c r="C3254" s="84"/>
      <c r="D3254" s="116"/>
      <c r="E3254" s="116"/>
    </row>
    <row r="3255" spans="1:5" x14ac:dyDescent="0.25">
      <c r="A3255" s="83"/>
      <c r="B3255" s="84"/>
      <c r="C3255" s="84"/>
      <c r="D3255" s="116"/>
      <c r="E3255" s="116"/>
    </row>
    <row r="3256" spans="1:5" x14ac:dyDescent="0.25">
      <c r="A3256" s="83"/>
      <c r="B3256" s="84"/>
      <c r="C3256" s="84"/>
      <c r="D3256" s="116"/>
      <c r="E3256" s="116"/>
    </row>
    <row r="3257" spans="1:5" x14ac:dyDescent="0.25">
      <c r="A3257" s="83"/>
      <c r="B3257" s="84"/>
      <c r="C3257" s="84"/>
      <c r="D3257" s="116"/>
      <c r="E3257" s="116"/>
    </row>
    <row r="3258" spans="1:5" x14ac:dyDescent="0.25">
      <c r="A3258" s="83"/>
      <c r="B3258" s="84"/>
      <c r="C3258" s="84"/>
      <c r="D3258" s="116"/>
      <c r="E3258" s="116"/>
    </row>
    <row r="3259" spans="1:5" x14ac:dyDescent="0.25">
      <c r="A3259" s="83"/>
      <c r="B3259" s="84"/>
      <c r="C3259" s="84"/>
      <c r="D3259" s="116"/>
      <c r="E3259" s="116"/>
    </row>
    <row r="3260" spans="1:5" x14ac:dyDescent="0.25">
      <c r="A3260" s="83"/>
      <c r="B3260" s="84"/>
      <c r="C3260" s="84"/>
      <c r="D3260" s="116"/>
      <c r="E3260" s="116"/>
    </row>
    <row r="3261" spans="1:5" x14ac:dyDescent="0.25">
      <c r="A3261" s="83"/>
      <c r="B3261" s="84"/>
      <c r="C3261" s="84"/>
      <c r="D3261" s="116"/>
      <c r="E3261" s="116"/>
    </row>
    <row r="3262" spans="1:5" x14ac:dyDescent="0.25">
      <c r="A3262" s="83"/>
      <c r="B3262" s="84"/>
      <c r="C3262" s="84"/>
      <c r="D3262" s="116"/>
      <c r="E3262" s="116"/>
    </row>
    <row r="3263" spans="1:5" x14ac:dyDescent="0.25">
      <c r="A3263" s="83"/>
      <c r="B3263" s="84"/>
      <c r="C3263" s="84"/>
      <c r="D3263" s="116"/>
      <c r="E3263" s="116"/>
    </row>
    <row r="3264" spans="1:5" x14ac:dyDescent="0.25">
      <c r="A3264" s="83"/>
      <c r="B3264" s="84"/>
      <c r="C3264" s="84"/>
      <c r="D3264" s="116"/>
      <c r="E3264" s="116"/>
    </row>
    <row r="3265" spans="1:5" x14ac:dyDescent="0.25">
      <c r="A3265" s="83"/>
      <c r="B3265" s="84"/>
      <c r="C3265" s="84"/>
      <c r="D3265" s="116"/>
      <c r="E3265" s="116"/>
    </row>
    <row r="3266" spans="1:5" x14ac:dyDescent="0.25">
      <c r="A3266" s="83"/>
      <c r="B3266" s="84"/>
      <c r="C3266" s="84"/>
      <c r="D3266" s="116"/>
      <c r="E3266" s="116"/>
    </row>
    <row r="3267" spans="1:5" x14ac:dyDescent="0.25">
      <c r="A3267" s="83"/>
      <c r="B3267" s="84"/>
      <c r="C3267" s="84"/>
      <c r="D3267" s="116"/>
      <c r="E3267" s="116"/>
    </row>
    <row r="3268" spans="1:5" x14ac:dyDescent="0.25">
      <c r="A3268" s="83"/>
      <c r="B3268" s="84"/>
      <c r="C3268" s="84"/>
      <c r="D3268" s="116"/>
      <c r="E3268" s="116"/>
    </row>
    <row r="3269" spans="1:5" x14ac:dyDescent="0.25">
      <c r="A3269" s="83"/>
      <c r="B3269" s="84"/>
      <c r="C3269" s="84"/>
      <c r="D3269" s="116"/>
      <c r="E3269" s="116"/>
    </row>
    <row r="3270" spans="1:5" x14ac:dyDescent="0.25">
      <c r="A3270" s="83"/>
      <c r="B3270" s="84"/>
      <c r="C3270" s="84"/>
      <c r="D3270" s="116"/>
      <c r="E3270" s="116"/>
    </row>
    <row r="3271" spans="1:5" x14ac:dyDescent="0.25">
      <c r="A3271" s="83"/>
      <c r="B3271" s="84"/>
      <c r="C3271" s="84"/>
      <c r="D3271" s="116"/>
      <c r="E3271" s="116"/>
    </row>
    <row r="3272" spans="1:5" x14ac:dyDescent="0.25">
      <c r="A3272" s="83"/>
      <c r="B3272" s="84"/>
      <c r="C3272" s="84"/>
      <c r="D3272" s="116"/>
      <c r="E3272" s="116"/>
    </row>
    <row r="3273" spans="1:5" x14ac:dyDescent="0.25">
      <c r="A3273" s="83"/>
      <c r="B3273" s="84"/>
      <c r="C3273" s="84"/>
      <c r="D3273" s="116"/>
      <c r="E3273" s="116"/>
    </row>
    <row r="3274" spans="1:5" x14ac:dyDescent="0.25">
      <c r="A3274" s="83"/>
      <c r="B3274" s="84"/>
      <c r="C3274" s="84"/>
      <c r="D3274" s="116"/>
      <c r="E3274" s="116"/>
    </row>
    <row r="3275" spans="1:5" x14ac:dyDescent="0.25">
      <c r="A3275" s="83"/>
      <c r="B3275" s="84"/>
      <c r="C3275" s="84"/>
      <c r="D3275" s="116"/>
      <c r="E3275" s="116"/>
    </row>
    <row r="3276" spans="1:5" x14ac:dyDescent="0.25">
      <c r="A3276" s="83"/>
      <c r="B3276" s="84"/>
      <c r="C3276" s="84"/>
      <c r="D3276" s="116"/>
      <c r="E3276" s="116"/>
    </row>
    <row r="3277" spans="1:5" x14ac:dyDescent="0.25">
      <c r="A3277" s="83"/>
      <c r="B3277" s="84"/>
      <c r="C3277" s="84"/>
      <c r="D3277" s="116"/>
      <c r="E3277" s="116"/>
    </row>
    <row r="3278" spans="1:5" x14ac:dyDescent="0.25">
      <c r="A3278" s="83"/>
      <c r="B3278" s="84"/>
      <c r="C3278" s="84"/>
      <c r="D3278" s="116"/>
      <c r="E3278" s="116"/>
    </row>
    <row r="3279" spans="1:5" x14ac:dyDescent="0.25">
      <c r="A3279" s="83"/>
      <c r="B3279" s="84"/>
      <c r="C3279" s="84"/>
      <c r="D3279" s="116"/>
      <c r="E3279" s="116"/>
    </row>
    <row r="3280" spans="1:5" x14ac:dyDescent="0.25">
      <c r="A3280" s="83"/>
      <c r="B3280" s="84"/>
      <c r="C3280" s="84"/>
      <c r="D3280" s="116"/>
      <c r="E3280" s="116"/>
    </row>
    <row r="3281" spans="1:5" x14ac:dyDescent="0.25">
      <c r="A3281" s="83"/>
      <c r="B3281" s="84"/>
      <c r="C3281" s="84"/>
      <c r="D3281" s="116"/>
      <c r="E3281" s="116"/>
    </row>
    <row r="3282" spans="1:5" x14ac:dyDescent="0.25">
      <c r="A3282" s="83"/>
      <c r="B3282" s="84"/>
      <c r="C3282" s="84"/>
      <c r="D3282" s="116"/>
      <c r="E3282" s="116"/>
    </row>
    <row r="3283" spans="1:5" x14ac:dyDescent="0.25">
      <c r="A3283" s="83"/>
      <c r="B3283" s="84"/>
      <c r="C3283" s="84"/>
      <c r="D3283" s="116"/>
      <c r="E3283" s="116"/>
    </row>
    <row r="3284" spans="1:5" x14ac:dyDescent="0.25">
      <c r="A3284" s="83"/>
      <c r="B3284" s="84"/>
      <c r="C3284" s="84"/>
      <c r="D3284" s="116"/>
      <c r="E3284" s="116"/>
    </row>
    <row r="3285" spans="1:5" x14ac:dyDescent="0.25">
      <c r="A3285" s="83"/>
      <c r="B3285" s="84"/>
      <c r="C3285" s="84"/>
      <c r="D3285" s="116"/>
      <c r="E3285" s="116"/>
    </row>
    <row r="3286" spans="1:5" x14ac:dyDescent="0.25">
      <c r="A3286" s="83"/>
      <c r="B3286" s="84"/>
      <c r="C3286" s="84"/>
      <c r="D3286" s="116"/>
      <c r="E3286" s="116"/>
    </row>
    <row r="3287" spans="1:5" x14ac:dyDescent="0.25">
      <c r="A3287" s="83"/>
      <c r="B3287" s="84"/>
      <c r="C3287" s="84"/>
      <c r="D3287" s="116"/>
      <c r="E3287" s="116"/>
    </row>
    <row r="3288" spans="1:5" x14ac:dyDescent="0.25">
      <c r="A3288" s="83"/>
      <c r="B3288" s="84"/>
      <c r="C3288" s="84"/>
      <c r="D3288" s="116"/>
      <c r="E3288" s="116"/>
    </row>
    <row r="3289" spans="1:5" x14ac:dyDescent="0.25">
      <c r="A3289" s="83"/>
      <c r="B3289" s="84"/>
      <c r="C3289" s="84"/>
      <c r="D3289" s="116"/>
      <c r="E3289" s="116"/>
    </row>
    <row r="3290" spans="1:5" x14ac:dyDescent="0.25">
      <c r="A3290" s="83"/>
      <c r="B3290" s="84"/>
      <c r="C3290" s="84"/>
      <c r="D3290" s="116"/>
      <c r="E3290" s="116"/>
    </row>
    <row r="3291" spans="1:5" x14ac:dyDescent="0.25">
      <c r="A3291" s="83"/>
      <c r="B3291" s="84"/>
      <c r="C3291" s="84"/>
      <c r="D3291" s="116"/>
      <c r="E3291" s="116"/>
    </row>
    <row r="3292" spans="1:5" x14ac:dyDescent="0.25">
      <c r="A3292" s="83"/>
      <c r="B3292" s="84"/>
      <c r="C3292" s="84"/>
      <c r="D3292" s="116"/>
      <c r="E3292" s="116"/>
    </row>
    <row r="3293" spans="1:5" x14ac:dyDescent="0.25">
      <c r="A3293" s="83"/>
      <c r="B3293" s="84"/>
      <c r="C3293" s="84"/>
      <c r="D3293" s="116"/>
      <c r="E3293" s="116"/>
    </row>
    <row r="3294" spans="1:5" x14ac:dyDescent="0.25">
      <c r="A3294" s="83"/>
      <c r="B3294" s="84"/>
      <c r="C3294" s="84"/>
      <c r="D3294" s="116"/>
      <c r="E3294" s="116"/>
    </row>
    <row r="3295" spans="1:5" x14ac:dyDescent="0.25">
      <c r="A3295" s="83"/>
      <c r="B3295" s="84"/>
      <c r="C3295" s="84"/>
      <c r="D3295" s="116"/>
      <c r="E3295" s="116"/>
    </row>
    <row r="3296" spans="1:5" x14ac:dyDescent="0.25">
      <c r="A3296" s="83"/>
      <c r="B3296" s="84"/>
      <c r="C3296" s="84"/>
      <c r="D3296" s="116"/>
      <c r="E3296" s="116"/>
    </row>
    <row r="3297" spans="1:5" x14ac:dyDescent="0.25">
      <c r="A3297" s="83"/>
      <c r="B3297" s="84"/>
      <c r="C3297" s="84"/>
      <c r="D3297" s="116"/>
      <c r="E3297" s="116"/>
    </row>
    <row r="3298" spans="1:5" x14ac:dyDescent="0.25">
      <c r="A3298" s="83"/>
      <c r="B3298" s="84"/>
      <c r="C3298" s="84"/>
      <c r="D3298" s="116"/>
      <c r="E3298" s="116"/>
    </row>
    <row r="3299" spans="1:5" x14ac:dyDescent="0.25">
      <c r="A3299" s="83"/>
      <c r="B3299" s="84"/>
      <c r="C3299" s="84"/>
      <c r="D3299" s="116"/>
      <c r="E3299" s="116"/>
    </row>
    <row r="3300" spans="1:5" x14ac:dyDescent="0.25">
      <c r="A3300" s="83"/>
      <c r="B3300" s="84"/>
      <c r="C3300" s="84"/>
      <c r="D3300" s="116"/>
      <c r="E3300" s="116"/>
    </row>
    <row r="3301" spans="1:5" x14ac:dyDescent="0.25">
      <c r="A3301" s="83"/>
      <c r="B3301" s="84"/>
      <c r="C3301" s="84"/>
      <c r="D3301" s="116"/>
      <c r="E3301" s="116"/>
    </row>
    <row r="3302" spans="1:5" x14ac:dyDescent="0.25">
      <c r="A3302" s="83"/>
      <c r="B3302" s="84"/>
      <c r="C3302" s="84"/>
      <c r="D3302" s="116"/>
      <c r="E3302" s="116"/>
    </row>
    <row r="3303" spans="1:5" x14ac:dyDescent="0.25">
      <c r="A3303" s="83"/>
      <c r="B3303" s="84"/>
      <c r="C3303" s="84"/>
      <c r="D3303" s="116"/>
      <c r="E3303" s="116"/>
    </row>
    <row r="3304" spans="1:5" x14ac:dyDescent="0.25">
      <c r="A3304" s="83"/>
      <c r="B3304" s="84"/>
      <c r="C3304" s="84"/>
      <c r="D3304" s="116"/>
      <c r="E3304" s="116"/>
    </row>
    <row r="3305" spans="1:5" x14ac:dyDescent="0.25">
      <c r="A3305" s="83"/>
      <c r="B3305" s="84"/>
      <c r="C3305" s="84"/>
      <c r="D3305" s="116"/>
      <c r="E3305" s="116"/>
    </row>
    <row r="3306" spans="1:5" x14ac:dyDescent="0.25">
      <c r="A3306" s="83"/>
      <c r="B3306" s="84"/>
      <c r="C3306" s="84"/>
      <c r="D3306" s="116"/>
      <c r="E3306" s="116"/>
    </row>
    <row r="3307" spans="1:5" x14ac:dyDescent="0.25">
      <c r="A3307" s="83"/>
      <c r="B3307" s="84"/>
      <c r="C3307" s="84"/>
      <c r="D3307" s="116"/>
      <c r="E3307" s="116"/>
    </row>
    <row r="3308" spans="1:5" x14ac:dyDescent="0.25">
      <c r="A3308" s="83"/>
      <c r="B3308" s="84"/>
      <c r="C3308" s="84"/>
      <c r="D3308" s="116"/>
      <c r="E3308" s="116"/>
    </row>
    <row r="3309" spans="1:5" x14ac:dyDescent="0.25">
      <c r="A3309" s="83"/>
      <c r="B3309" s="84"/>
      <c r="C3309" s="84"/>
      <c r="D3309" s="116"/>
      <c r="E3309" s="116"/>
    </row>
    <row r="3310" spans="1:5" x14ac:dyDescent="0.25">
      <c r="A3310" s="83"/>
      <c r="B3310" s="84"/>
      <c r="C3310" s="84"/>
      <c r="D3310" s="116"/>
      <c r="E3310" s="116"/>
    </row>
    <row r="3311" spans="1:5" x14ac:dyDescent="0.25">
      <c r="A3311" s="83"/>
      <c r="B3311" s="84"/>
      <c r="C3311" s="84"/>
      <c r="D3311" s="116"/>
      <c r="E3311" s="116"/>
    </row>
    <row r="3312" spans="1:5" x14ac:dyDescent="0.25">
      <c r="A3312" s="83"/>
      <c r="B3312" s="84"/>
      <c r="C3312" s="84"/>
      <c r="D3312" s="116"/>
      <c r="E3312" s="116"/>
    </row>
    <row r="3313" spans="1:5" x14ac:dyDescent="0.25">
      <c r="A3313" s="83"/>
      <c r="B3313" s="84"/>
      <c r="C3313" s="84"/>
      <c r="D3313" s="116"/>
      <c r="E3313" s="116"/>
    </row>
    <row r="3314" spans="1:5" x14ac:dyDescent="0.25">
      <c r="A3314" s="83"/>
      <c r="B3314" s="84"/>
      <c r="C3314" s="84"/>
      <c r="D3314" s="116"/>
      <c r="E3314" s="116"/>
    </row>
    <row r="3315" spans="1:5" x14ac:dyDescent="0.25">
      <c r="A3315" s="83"/>
      <c r="B3315" s="84"/>
      <c r="C3315" s="84"/>
      <c r="D3315" s="116"/>
      <c r="E3315" s="116"/>
    </row>
    <row r="3316" spans="1:5" x14ac:dyDescent="0.25">
      <c r="A3316" s="83"/>
      <c r="B3316" s="84"/>
      <c r="C3316" s="84"/>
      <c r="D3316" s="116"/>
      <c r="E3316" s="116"/>
    </row>
    <row r="3317" spans="1:5" x14ac:dyDescent="0.25">
      <c r="A3317" s="83"/>
      <c r="B3317" s="84"/>
      <c r="C3317" s="84"/>
      <c r="D3317" s="116"/>
      <c r="E3317" s="116"/>
    </row>
    <row r="3318" spans="1:5" x14ac:dyDescent="0.25">
      <c r="A3318" s="83"/>
      <c r="B3318" s="84"/>
      <c r="C3318" s="84"/>
      <c r="D3318" s="116"/>
      <c r="E3318" s="116"/>
    </row>
    <row r="3319" spans="1:5" x14ac:dyDescent="0.25">
      <c r="A3319" s="83"/>
      <c r="B3319" s="84"/>
      <c r="C3319" s="84"/>
      <c r="D3319" s="116"/>
      <c r="E3319" s="116"/>
    </row>
    <row r="3320" spans="1:5" x14ac:dyDescent="0.25">
      <c r="A3320" s="83"/>
      <c r="B3320" s="84"/>
      <c r="C3320" s="84"/>
      <c r="D3320" s="116"/>
      <c r="E3320" s="116"/>
    </row>
    <row r="3321" spans="1:5" x14ac:dyDescent="0.25">
      <c r="A3321" s="83"/>
      <c r="B3321" s="84"/>
      <c r="C3321" s="84"/>
      <c r="D3321" s="116"/>
      <c r="E3321" s="116"/>
    </row>
    <row r="3322" spans="1:5" x14ac:dyDescent="0.25">
      <c r="A3322" s="83"/>
      <c r="B3322" s="84"/>
      <c r="C3322" s="84"/>
      <c r="D3322" s="116"/>
      <c r="E3322" s="116"/>
    </row>
    <row r="3323" spans="1:5" x14ac:dyDescent="0.25">
      <c r="A3323" s="83"/>
      <c r="B3323" s="84"/>
      <c r="C3323" s="84"/>
      <c r="D3323" s="116"/>
      <c r="E3323" s="116"/>
    </row>
    <row r="3324" spans="1:5" x14ac:dyDescent="0.25">
      <c r="A3324" s="83"/>
      <c r="B3324" s="84"/>
      <c r="C3324" s="84"/>
      <c r="D3324" s="116"/>
      <c r="E3324" s="116"/>
    </row>
    <row r="3325" spans="1:5" x14ac:dyDescent="0.25">
      <c r="A3325" s="83"/>
      <c r="B3325" s="84"/>
      <c r="C3325" s="84"/>
      <c r="D3325" s="116"/>
      <c r="E3325" s="116"/>
    </row>
    <row r="3326" spans="1:5" x14ac:dyDescent="0.25">
      <c r="A3326" s="83"/>
      <c r="B3326" s="84"/>
      <c r="C3326" s="84"/>
      <c r="D3326" s="116"/>
      <c r="E3326" s="116"/>
    </row>
    <row r="3327" spans="1:5" x14ac:dyDescent="0.25">
      <c r="A3327" s="83"/>
      <c r="B3327" s="84"/>
      <c r="C3327" s="84"/>
      <c r="D3327" s="116"/>
      <c r="E3327" s="116"/>
    </row>
    <row r="3328" spans="1:5" x14ac:dyDescent="0.25">
      <c r="A3328" s="83"/>
      <c r="B3328" s="84"/>
      <c r="C3328" s="84"/>
      <c r="D3328" s="116"/>
      <c r="E3328" s="116"/>
    </row>
    <row r="3329" spans="1:5" x14ac:dyDescent="0.25">
      <c r="A3329" s="83"/>
      <c r="B3329" s="84"/>
      <c r="C3329" s="84"/>
      <c r="D3329" s="116"/>
      <c r="E3329" s="116"/>
    </row>
    <row r="3330" spans="1:5" x14ac:dyDescent="0.25">
      <c r="A3330" s="83"/>
      <c r="B3330" s="84"/>
      <c r="C3330" s="84"/>
      <c r="D3330" s="116"/>
      <c r="E3330" s="116"/>
    </row>
    <row r="3331" spans="1:5" x14ac:dyDescent="0.25">
      <c r="A3331" s="83"/>
      <c r="B3331" s="84"/>
      <c r="C3331" s="84"/>
      <c r="D3331" s="116"/>
      <c r="E3331" s="116"/>
    </row>
    <row r="3332" spans="1:5" x14ac:dyDescent="0.25">
      <c r="A3332" s="83"/>
      <c r="B3332" s="84"/>
      <c r="C3332" s="84"/>
      <c r="D3332" s="116"/>
      <c r="E3332" s="116"/>
    </row>
    <row r="3333" spans="1:5" x14ac:dyDescent="0.25">
      <c r="A3333" s="83"/>
      <c r="B3333" s="84"/>
      <c r="C3333" s="84"/>
      <c r="D3333" s="116"/>
      <c r="E3333" s="116"/>
    </row>
    <row r="3334" spans="1:5" x14ac:dyDescent="0.25">
      <c r="A3334" s="83"/>
      <c r="B3334" s="84"/>
      <c r="C3334" s="84"/>
      <c r="D3334" s="116"/>
      <c r="E3334" s="116"/>
    </row>
    <row r="3335" spans="1:5" x14ac:dyDescent="0.25">
      <c r="A3335" s="83"/>
      <c r="B3335" s="84"/>
      <c r="C3335" s="84"/>
      <c r="D3335" s="116"/>
      <c r="E3335" s="116"/>
    </row>
    <row r="3336" spans="1:5" x14ac:dyDescent="0.25">
      <c r="A3336" s="83"/>
      <c r="B3336" s="84"/>
      <c r="C3336" s="84"/>
      <c r="D3336" s="116"/>
      <c r="E3336" s="116"/>
    </row>
    <row r="3337" spans="1:5" x14ac:dyDescent="0.25">
      <c r="A3337" s="83"/>
      <c r="B3337" s="84"/>
      <c r="C3337" s="84"/>
      <c r="D3337" s="116"/>
      <c r="E3337" s="116"/>
    </row>
    <row r="3338" spans="1:5" x14ac:dyDescent="0.25">
      <c r="A3338" s="83"/>
      <c r="B3338" s="84"/>
      <c r="C3338" s="84"/>
      <c r="D3338" s="116"/>
      <c r="E3338" s="116"/>
    </row>
    <row r="3339" spans="1:5" x14ac:dyDescent="0.25">
      <c r="A3339" s="83"/>
      <c r="B3339" s="84"/>
      <c r="C3339" s="84"/>
      <c r="D3339" s="116"/>
      <c r="E3339" s="116"/>
    </row>
    <row r="3340" spans="1:5" x14ac:dyDescent="0.25">
      <c r="A3340" s="83"/>
      <c r="B3340" s="84"/>
      <c r="C3340" s="84"/>
      <c r="D3340" s="116"/>
      <c r="E3340" s="116"/>
    </row>
    <row r="3341" spans="1:5" x14ac:dyDescent="0.25">
      <c r="A3341" s="83"/>
      <c r="B3341" s="84"/>
      <c r="C3341" s="84"/>
      <c r="D3341" s="116"/>
      <c r="E3341" s="116"/>
    </row>
    <row r="3342" spans="1:5" x14ac:dyDescent="0.25">
      <c r="A3342" s="83"/>
      <c r="B3342" s="84"/>
      <c r="C3342" s="84"/>
      <c r="D3342" s="116"/>
      <c r="E3342" s="116"/>
    </row>
    <row r="3343" spans="1:5" x14ac:dyDescent="0.25">
      <c r="A3343" s="83"/>
      <c r="B3343" s="84"/>
      <c r="C3343" s="84"/>
      <c r="D3343" s="116"/>
      <c r="E3343" s="116"/>
    </row>
    <row r="3344" spans="1:5" x14ac:dyDescent="0.25">
      <c r="A3344" s="83"/>
      <c r="B3344" s="84"/>
      <c r="C3344" s="84"/>
      <c r="D3344" s="116"/>
      <c r="E3344" s="116"/>
    </row>
    <row r="3345" spans="1:5" x14ac:dyDescent="0.25">
      <c r="A3345" s="83"/>
      <c r="B3345" s="84"/>
      <c r="C3345" s="84"/>
      <c r="D3345" s="116"/>
      <c r="E3345" s="116"/>
    </row>
    <row r="3346" spans="1:5" x14ac:dyDescent="0.25">
      <c r="A3346" s="83"/>
      <c r="B3346" s="84"/>
      <c r="C3346" s="84"/>
      <c r="D3346" s="116"/>
      <c r="E3346" s="116"/>
    </row>
    <row r="3347" spans="1:5" x14ac:dyDescent="0.25">
      <c r="A3347" s="83"/>
      <c r="B3347" s="84"/>
      <c r="C3347" s="84"/>
      <c r="D3347" s="116"/>
      <c r="E3347" s="116"/>
    </row>
    <row r="3348" spans="1:5" x14ac:dyDescent="0.25">
      <c r="A3348" s="83"/>
      <c r="B3348" s="84"/>
      <c r="C3348" s="84"/>
      <c r="D3348" s="116"/>
      <c r="E3348" s="116"/>
    </row>
    <row r="3349" spans="1:5" x14ac:dyDescent="0.25">
      <c r="A3349" s="83"/>
      <c r="B3349" s="84"/>
      <c r="C3349" s="84"/>
      <c r="D3349" s="116"/>
      <c r="E3349" s="116"/>
    </row>
    <row r="3350" spans="1:5" x14ac:dyDescent="0.25">
      <c r="A3350" s="83"/>
      <c r="B3350" s="84"/>
      <c r="C3350" s="84"/>
      <c r="D3350" s="116"/>
      <c r="E3350" s="116"/>
    </row>
    <row r="3351" spans="1:5" x14ac:dyDescent="0.25">
      <c r="A3351" s="83"/>
      <c r="B3351" s="84"/>
      <c r="C3351" s="84"/>
      <c r="D3351" s="116"/>
      <c r="E3351" s="116"/>
    </row>
    <row r="3352" spans="1:5" x14ac:dyDescent="0.25">
      <c r="A3352" s="83"/>
      <c r="B3352" s="84"/>
      <c r="C3352" s="84"/>
      <c r="D3352" s="116"/>
      <c r="E3352" s="116"/>
    </row>
    <row r="3353" spans="1:5" x14ac:dyDescent="0.25">
      <c r="A3353" s="83"/>
      <c r="B3353" s="84"/>
      <c r="C3353" s="84"/>
      <c r="D3353" s="116"/>
      <c r="E3353" s="116"/>
    </row>
    <row r="3354" spans="1:5" x14ac:dyDescent="0.25">
      <c r="A3354" s="83"/>
      <c r="B3354" s="84"/>
      <c r="C3354" s="84"/>
      <c r="D3354" s="116"/>
      <c r="E3354" s="116"/>
    </row>
    <row r="3355" spans="1:5" x14ac:dyDescent="0.25">
      <c r="A3355" s="83"/>
      <c r="B3355" s="84"/>
      <c r="C3355" s="84"/>
      <c r="D3355" s="116"/>
      <c r="E3355" s="116"/>
    </row>
    <row r="3356" spans="1:5" x14ac:dyDescent="0.25">
      <c r="A3356" s="83"/>
      <c r="B3356" s="84"/>
      <c r="C3356" s="84"/>
      <c r="D3356" s="116"/>
      <c r="E3356" s="116"/>
    </row>
    <row r="3357" spans="1:5" x14ac:dyDescent="0.25">
      <c r="A3357" s="83"/>
      <c r="B3357" s="84"/>
      <c r="C3357" s="84"/>
      <c r="D3357" s="116"/>
      <c r="E3357" s="116"/>
    </row>
    <row r="3358" spans="1:5" x14ac:dyDescent="0.25">
      <c r="A3358" s="83"/>
      <c r="B3358" s="84"/>
      <c r="C3358" s="84"/>
      <c r="D3358" s="116"/>
      <c r="E3358" s="116"/>
    </row>
    <row r="3359" spans="1:5" x14ac:dyDescent="0.25">
      <c r="A3359" s="83"/>
      <c r="B3359" s="84"/>
      <c r="C3359" s="84"/>
      <c r="D3359" s="116"/>
      <c r="E3359" s="116"/>
    </row>
    <row r="3360" spans="1:5" x14ac:dyDescent="0.25">
      <c r="A3360" s="83"/>
      <c r="B3360" s="84"/>
      <c r="C3360" s="84"/>
      <c r="D3360" s="116"/>
      <c r="E3360" s="116"/>
    </row>
    <row r="3361" spans="1:5" x14ac:dyDescent="0.25">
      <c r="A3361" s="83"/>
      <c r="B3361" s="84"/>
      <c r="C3361" s="84"/>
      <c r="D3361" s="116"/>
      <c r="E3361" s="116"/>
    </row>
    <row r="3362" spans="1:5" x14ac:dyDescent="0.25">
      <c r="A3362" s="83"/>
      <c r="B3362" s="84"/>
      <c r="C3362" s="84"/>
      <c r="D3362" s="116"/>
      <c r="E3362" s="116"/>
    </row>
    <row r="3363" spans="1:5" x14ac:dyDescent="0.25">
      <c r="A3363" s="83"/>
      <c r="B3363" s="84"/>
      <c r="C3363" s="84"/>
      <c r="D3363" s="116"/>
      <c r="E3363" s="116"/>
    </row>
    <row r="3364" spans="1:5" x14ac:dyDescent="0.25">
      <c r="A3364" s="83"/>
      <c r="B3364" s="84"/>
      <c r="C3364" s="84"/>
      <c r="D3364" s="116"/>
      <c r="E3364" s="116"/>
    </row>
    <row r="3365" spans="1:5" x14ac:dyDescent="0.25">
      <c r="A3365" s="83"/>
      <c r="B3365" s="84"/>
      <c r="C3365" s="84"/>
      <c r="D3365" s="116"/>
      <c r="E3365" s="116"/>
    </row>
    <row r="3366" spans="1:5" x14ac:dyDescent="0.25">
      <c r="A3366" s="83"/>
      <c r="B3366" s="84"/>
      <c r="C3366" s="84"/>
      <c r="D3366" s="116"/>
      <c r="E3366" s="116"/>
    </row>
    <row r="3367" spans="1:5" x14ac:dyDescent="0.25">
      <c r="A3367" s="83"/>
      <c r="B3367" s="84"/>
      <c r="C3367" s="84"/>
      <c r="D3367" s="116"/>
      <c r="E3367" s="116"/>
    </row>
    <row r="3368" spans="1:5" x14ac:dyDescent="0.25">
      <c r="A3368" s="83"/>
      <c r="B3368" s="84"/>
      <c r="C3368" s="84"/>
      <c r="D3368" s="116"/>
      <c r="E3368" s="116"/>
    </row>
    <row r="3369" spans="1:5" x14ac:dyDescent="0.25">
      <c r="A3369" s="83"/>
      <c r="B3369" s="84"/>
      <c r="C3369" s="84"/>
      <c r="D3369" s="116"/>
      <c r="E3369" s="116"/>
    </row>
    <row r="3370" spans="1:5" x14ac:dyDescent="0.25">
      <c r="A3370" s="83"/>
      <c r="B3370" s="84"/>
      <c r="C3370" s="84"/>
      <c r="D3370" s="116"/>
      <c r="E3370" s="116"/>
    </row>
    <row r="3371" spans="1:5" x14ac:dyDescent="0.25">
      <c r="A3371" s="83"/>
      <c r="B3371" s="84"/>
      <c r="C3371" s="84"/>
      <c r="D3371" s="116"/>
      <c r="E3371" s="116"/>
    </row>
    <row r="3372" spans="1:5" x14ac:dyDescent="0.25">
      <c r="A3372" s="83"/>
      <c r="B3372" s="84"/>
      <c r="C3372" s="84"/>
      <c r="D3372" s="116"/>
      <c r="E3372" s="116"/>
    </row>
    <row r="3373" spans="1:5" x14ac:dyDescent="0.25">
      <c r="A3373" s="83"/>
      <c r="B3373" s="84"/>
      <c r="C3373" s="84"/>
      <c r="D3373" s="116"/>
      <c r="E3373" s="116"/>
    </row>
    <row r="3374" spans="1:5" x14ac:dyDescent="0.25">
      <c r="A3374" s="83"/>
      <c r="B3374" s="84"/>
      <c r="C3374" s="84"/>
      <c r="D3374" s="116"/>
      <c r="E3374" s="116"/>
    </row>
    <row r="3375" spans="1:5" x14ac:dyDescent="0.25">
      <c r="A3375" s="83"/>
      <c r="B3375" s="84"/>
      <c r="C3375" s="84"/>
      <c r="D3375" s="116"/>
      <c r="E3375" s="116"/>
    </row>
    <row r="3376" spans="1:5" x14ac:dyDescent="0.25">
      <c r="A3376" s="83"/>
      <c r="B3376" s="84"/>
      <c r="C3376" s="84"/>
      <c r="D3376" s="116"/>
      <c r="E3376" s="116"/>
    </row>
    <row r="3377" spans="1:5" x14ac:dyDescent="0.25">
      <c r="A3377" s="83"/>
      <c r="B3377" s="84"/>
      <c r="C3377" s="84"/>
      <c r="D3377" s="116"/>
      <c r="E3377" s="116"/>
    </row>
    <row r="3378" spans="1:5" x14ac:dyDescent="0.25">
      <c r="A3378" s="83"/>
      <c r="B3378" s="84"/>
      <c r="C3378" s="84"/>
      <c r="D3378" s="116"/>
      <c r="E3378" s="116"/>
    </row>
    <row r="3379" spans="1:5" x14ac:dyDescent="0.25">
      <c r="A3379" s="83"/>
      <c r="B3379" s="84"/>
      <c r="C3379" s="84"/>
      <c r="D3379" s="116"/>
      <c r="E3379" s="116"/>
    </row>
    <row r="3380" spans="1:5" x14ac:dyDescent="0.25">
      <c r="A3380" s="83"/>
      <c r="B3380" s="84"/>
      <c r="C3380" s="84"/>
      <c r="D3380" s="116"/>
      <c r="E3380" s="116"/>
    </row>
    <row r="3381" spans="1:5" x14ac:dyDescent="0.25">
      <c r="A3381" s="83"/>
      <c r="B3381" s="84"/>
      <c r="C3381" s="84"/>
      <c r="D3381" s="116"/>
      <c r="E3381" s="116"/>
    </row>
    <row r="3382" spans="1:5" x14ac:dyDescent="0.25">
      <c r="A3382" s="83"/>
      <c r="B3382" s="84"/>
      <c r="C3382" s="84"/>
      <c r="D3382" s="116"/>
      <c r="E3382" s="116"/>
    </row>
    <row r="3383" spans="1:5" x14ac:dyDescent="0.25">
      <c r="A3383" s="83"/>
      <c r="B3383" s="84"/>
      <c r="C3383" s="84"/>
      <c r="D3383" s="116"/>
      <c r="E3383" s="116"/>
    </row>
    <row r="3384" spans="1:5" x14ac:dyDescent="0.25">
      <c r="A3384" s="83"/>
      <c r="B3384" s="84"/>
      <c r="C3384" s="84"/>
      <c r="D3384" s="116"/>
      <c r="E3384" s="116"/>
    </row>
    <row r="3385" spans="1:5" x14ac:dyDescent="0.25">
      <c r="A3385" s="83"/>
      <c r="B3385" s="84"/>
      <c r="C3385" s="84"/>
      <c r="D3385" s="116"/>
      <c r="E3385" s="116"/>
    </row>
    <row r="3386" spans="1:5" x14ac:dyDescent="0.25">
      <c r="A3386" s="83"/>
      <c r="B3386" s="84"/>
      <c r="C3386" s="84"/>
      <c r="D3386" s="116"/>
      <c r="E3386" s="116"/>
    </row>
    <row r="3387" spans="1:5" x14ac:dyDescent="0.25">
      <c r="A3387" s="83"/>
      <c r="B3387" s="84"/>
      <c r="C3387" s="84"/>
      <c r="D3387" s="116"/>
      <c r="E3387" s="116"/>
    </row>
    <row r="3388" spans="1:5" x14ac:dyDescent="0.25">
      <c r="A3388" s="83"/>
      <c r="B3388" s="84"/>
      <c r="C3388" s="84"/>
      <c r="D3388" s="116"/>
      <c r="E3388" s="116"/>
    </row>
    <row r="3389" spans="1:5" x14ac:dyDescent="0.25">
      <c r="A3389" s="83"/>
      <c r="B3389" s="84"/>
      <c r="C3389" s="84"/>
      <c r="D3389" s="116"/>
      <c r="E3389" s="116"/>
    </row>
    <row r="3390" spans="1:5" x14ac:dyDescent="0.25">
      <c r="A3390" s="83"/>
      <c r="B3390" s="84"/>
      <c r="C3390" s="84"/>
      <c r="D3390" s="116"/>
      <c r="E3390" s="116"/>
    </row>
    <row r="3391" spans="1:5" x14ac:dyDescent="0.25">
      <c r="A3391" s="83"/>
      <c r="B3391" s="84"/>
      <c r="C3391" s="84"/>
      <c r="D3391" s="116"/>
      <c r="E3391" s="116"/>
    </row>
    <row r="3392" spans="1:5" x14ac:dyDescent="0.25">
      <c r="A3392" s="83"/>
      <c r="B3392" s="84"/>
      <c r="C3392" s="84"/>
      <c r="D3392" s="116"/>
      <c r="E3392" s="116"/>
    </row>
    <row r="3393" spans="1:5" x14ac:dyDescent="0.25">
      <c r="A3393" s="83"/>
      <c r="B3393" s="84"/>
      <c r="C3393" s="84"/>
      <c r="D3393" s="116"/>
      <c r="E3393" s="116"/>
    </row>
    <row r="3394" spans="1:5" x14ac:dyDescent="0.25">
      <c r="A3394" s="83"/>
      <c r="B3394" s="84"/>
      <c r="C3394" s="84"/>
      <c r="D3394" s="116"/>
      <c r="E3394" s="116"/>
    </row>
    <row r="3395" spans="1:5" x14ac:dyDescent="0.25">
      <c r="A3395" s="83"/>
      <c r="B3395" s="84"/>
      <c r="C3395" s="84"/>
      <c r="D3395" s="116"/>
      <c r="E3395" s="116"/>
    </row>
    <row r="3396" spans="1:5" x14ac:dyDescent="0.25">
      <c r="A3396" s="83"/>
      <c r="B3396" s="84"/>
      <c r="C3396" s="84"/>
      <c r="D3396" s="116"/>
      <c r="E3396" s="116"/>
    </row>
    <row r="3397" spans="1:5" x14ac:dyDescent="0.25">
      <c r="A3397" s="83"/>
      <c r="B3397" s="84"/>
      <c r="C3397" s="84"/>
      <c r="D3397" s="116"/>
      <c r="E3397" s="116"/>
    </row>
    <row r="3398" spans="1:5" x14ac:dyDescent="0.25">
      <c r="A3398" s="83"/>
      <c r="B3398" s="84"/>
      <c r="C3398" s="84"/>
      <c r="D3398" s="116"/>
      <c r="E3398" s="116"/>
    </row>
    <row r="3399" spans="1:5" x14ac:dyDescent="0.25">
      <c r="A3399" s="83"/>
      <c r="B3399" s="84"/>
      <c r="C3399" s="84"/>
      <c r="D3399" s="116"/>
      <c r="E3399" s="116"/>
    </row>
    <row r="3400" spans="1:5" x14ac:dyDescent="0.25">
      <c r="A3400" s="83"/>
      <c r="B3400" s="84"/>
      <c r="C3400" s="84"/>
      <c r="D3400" s="116"/>
      <c r="E3400" s="116"/>
    </row>
    <row r="3401" spans="1:5" x14ac:dyDescent="0.25">
      <c r="A3401" s="83"/>
      <c r="B3401" s="84"/>
      <c r="C3401" s="84"/>
      <c r="D3401" s="116"/>
      <c r="E3401" s="116"/>
    </row>
    <row r="3402" spans="1:5" x14ac:dyDescent="0.25">
      <c r="A3402" s="83"/>
      <c r="B3402" s="84"/>
      <c r="C3402" s="84"/>
      <c r="D3402" s="116"/>
      <c r="E3402" s="116"/>
    </row>
    <row r="3403" spans="1:5" x14ac:dyDescent="0.25">
      <c r="A3403" s="83"/>
      <c r="B3403" s="84"/>
      <c r="C3403" s="84"/>
      <c r="D3403" s="116"/>
      <c r="E3403" s="116"/>
    </row>
    <row r="3404" spans="1:5" x14ac:dyDescent="0.25">
      <c r="A3404" s="83"/>
      <c r="B3404" s="84"/>
      <c r="C3404" s="84"/>
      <c r="D3404" s="116"/>
      <c r="E3404" s="116"/>
    </row>
    <row r="3405" spans="1:5" x14ac:dyDescent="0.25">
      <c r="A3405" s="83"/>
      <c r="B3405" s="84"/>
      <c r="C3405" s="84"/>
      <c r="D3405" s="116"/>
      <c r="E3405" s="116"/>
    </row>
    <row r="3406" spans="1:5" x14ac:dyDescent="0.25">
      <c r="A3406" s="83"/>
      <c r="B3406" s="84"/>
      <c r="C3406" s="84"/>
      <c r="D3406" s="116"/>
      <c r="E3406" s="116"/>
    </row>
    <row r="3407" spans="1:5" x14ac:dyDescent="0.25">
      <c r="A3407" s="83"/>
      <c r="B3407" s="84"/>
      <c r="C3407" s="84"/>
      <c r="D3407" s="116"/>
      <c r="E3407" s="116"/>
    </row>
    <row r="3408" spans="1:5" x14ac:dyDescent="0.25">
      <c r="A3408" s="83"/>
      <c r="B3408" s="84"/>
      <c r="C3408" s="84"/>
      <c r="D3408" s="116"/>
      <c r="E3408" s="116"/>
    </row>
    <row r="3409" spans="1:5" x14ac:dyDescent="0.25">
      <c r="A3409" s="83"/>
      <c r="B3409" s="84"/>
      <c r="C3409" s="84"/>
      <c r="D3409" s="116"/>
      <c r="E3409" s="116"/>
    </row>
    <row r="3410" spans="1:5" x14ac:dyDescent="0.25">
      <c r="A3410" s="83"/>
      <c r="B3410" s="84"/>
      <c r="C3410" s="84"/>
      <c r="D3410" s="116"/>
      <c r="E3410" s="116"/>
    </row>
    <row r="3411" spans="1:5" x14ac:dyDescent="0.25">
      <c r="A3411" s="83"/>
      <c r="B3411" s="84"/>
      <c r="C3411" s="84"/>
      <c r="D3411" s="116"/>
      <c r="E3411" s="116"/>
    </row>
    <row r="3412" spans="1:5" x14ac:dyDescent="0.25">
      <c r="A3412" s="83"/>
      <c r="B3412" s="84"/>
      <c r="C3412" s="84"/>
      <c r="D3412" s="116"/>
      <c r="E3412" s="116"/>
    </row>
    <row r="3413" spans="1:5" x14ac:dyDescent="0.25">
      <c r="A3413" s="83"/>
      <c r="B3413" s="84"/>
      <c r="C3413" s="84"/>
      <c r="D3413" s="116"/>
      <c r="E3413" s="116"/>
    </row>
    <row r="3414" spans="1:5" x14ac:dyDescent="0.25">
      <c r="A3414" s="83"/>
      <c r="B3414" s="84"/>
      <c r="C3414" s="84"/>
      <c r="D3414" s="116"/>
      <c r="E3414" s="116"/>
    </row>
    <row r="3415" spans="1:5" x14ac:dyDescent="0.25">
      <c r="A3415" s="83"/>
      <c r="B3415" s="84"/>
      <c r="C3415" s="84"/>
      <c r="D3415" s="116"/>
      <c r="E3415" s="116"/>
    </row>
    <row r="3416" spans="1:5" x14ac:dyDescent="0.25">
      <c r="A3416" s="83"/>
      <c r="B3416" s="84"/>
      <c r="C3416" s="84"/>
      <c r="D3416" s="116"/>
      <c r="E3416" s="116"/>
    </row>
    <row r="3417" spans="1:5" x14ac:dyDescent="0.25">
      <c r="A3417" s="83"/>
      <c r="B3417" s="84"/>
      <c r="C3417" s="84"/>
      <c r="D3417" s="116"/>
      <c r="E3417" s="116"/>
    </row>
    <row r="3418" spans="1:5" x14ac:dyDescent="0.25">
      <c r="A3418" s="83"/>
      <c r="B3418" s="84"/>
      <c r="C3418" s="84"/>
      <c r="D3418" s="116"/>
      <c r="E3418" s="116"/>
    </row>
    <row r="3419" spans="1:5" x14ac:dyDescent="0.25">
      <c r="A3419" s="83"/>
      <c r="B3419" s="84"/>
      <c r="C3419" s="84"/>
      <c r="D3419" s="116"/>
      <c r="E3419" s="116"/>
    </row>
    <row r="3420" spans="1:5" x14ac:dyDescent="0.25">
      <c r="A3420" s="83"/>
      <c r="B3420" s="84"/>
      <c r="C3420" s="84"/>
      <c r="D3420" s="116"/>
      <c r="E3420" s="116"/>
    </row>
    <row r="3421" spans="1:5" x14ac:dyDescent="0.25">
      <c r="A3421" s="83"/>
      <c r="B3421" s="84"/>
      <c r="C3421" s="84"/>
      <c r="D3421" s="116"/>
      <c r="E3421" s="116"/>
    </row>
    <row r="3422" spans="1:5" x14ac:dyDescent="0.25">
      <c r="A3422" s="83"/>
      <c r="B3422" s="84"/>
      <c r="C3422" s="84"/>
      <c r="D3422" s="116"/>
      <c r="E3422" s="116"/>
    </row>
    <row r="3423" spans="1:5" x14ac:dyDescent="0.25">
      <c r="A3423" s="83"/>
      <c r="B3423" s="84"/>
      <c r="C3423" s="84"/>
      <c r="D3423" s="116"/>
      <c r="E3423" s="116"/>
    </row>
    <row r="3424" spans="1:5" x14ac:dyDescent="0.25">
      <c r="A3424" s="83"/>
      <c r="B3424" s="84"/>
      <c r="C3424" s="84"/>
      <c r="D3424" s="116"/>
      <c r="E3424" s="116"/>
    </row>
    <row r="3425" spans="1:5" x14ac:dyDescent="0.25">
      <c r="A3425" s="83"/>
      <c r="B3425" s="84"/>
      <c r="C3425" s="84"/>
      <c r="D3425" s="116"/>
      <c r="E3425" s="116"/>
    </row>
    <row r="3426" spans="1:5" x14ac:dyDescent="0.25">
      <c r="A3426" s="83"/>
      <c r="B3426" s="84"/>
      <c r="C3426" s="84"/>
      <c r="D3426" s="116"/>
      <c r="E3426" s="116"/>
    </row>
    <row r="3427" spans="1:5" x14ac:dyDescent="0.25">
      <c r="A3427" s="83"/>
      <c r="B3427" s="84"/>
      <c r="C3427" s="84"/>
      <c r="D3427" s="116"/>
      <c r="E3427" s="116"/>
    </row>
    <row r="3428" spans="1:5" x14ac:dyDescent="0.25">
      <c r="A3428" s="83"/>
      <c r="B3428" s="84"/>
      <c r="C3428" s="84"/>
      <c r="D3428" s="116"/>
      <c r="E3428" s="116"/>
    </row>
    <row r="3429" spans="1:5" x14ac:dyDescent="0.25">
      <c r="A3429" s="83"/>
      <c r="B3429" s="84"/>
      <c r="C3429" s="84"/>
      <c r="D3429" s="116"/>
      <c r="E3429" s="116"/>
    </row>
    <row r="3430" spans="1:5" x14ac:dyDescent="0.25">
      <c r="A3430" s="83"/>
      <c r="B3430" s="84"/>
      <c r="C3430" s="84"/>
      <c r="D3430" s="116"/>
      <c r="E3430" s="116"/>
    </row>
    <row r="3431" spans="1:5" x14ac:dyDescent="0.25">
      <c r="A3431" s="83"/>
      <c r="B3431" s="84"/>
      <c r="C3431" s="84"/>
      <c r="D3431" s="116"/>
      <c r="E3431" s="116"/>
    </row>
    <row r="3432" spans="1:5" x14ac:dyDescent="0.25">
      <c r="A3432" s="83"/>
      <c r="B3432" s="84"/>
      <c r="C3432" s="84"/>
      <c r="D3432" s="116"/>
      <c r="E3432" s="116"/>
    </row>
    <row r="3433" spans="1:5" x14ac:dyDescent="0.25">
      <c r="A3433" s="83"/>
      <c r="B3433" s="84"/>
      <c r="C3433" s="84"/>
      <c r="D3433" s="116"/>
      <c r="E3433" s="116"/>
    </row>
    <row r="3434" spans="1:5" x14ac:dyDescent="0.25">
      <c r="A3434" s="83"/>
      <c r="B3434" s="84"/>
      <c r="C3434" s="84"/>
      <c r="D3434" s="116"/>
      <c r="E3434" s="116"/>
    </row>
    <row r="3435" spans="1:5" x14ac:dyDescent="0.25">
      <c r="A3435" s="83"/>
      <c r="B3435" s="84"/>
      <c r="C3435" s="84"/>
      <c r="D3435" s="116"/>
      <c r="E3435" s="116"/>
    </row>
    <row r="3436" spans="1:5" x14ac:dyDescent="0.25">
      <c r="A3436" s="83"/>
      <c r="B3436" s="84"/>
      <c r="C3436" s="84"/>
      <c r="D3436" s="116"/>
      <c r="E3436" s="116"/>
    </row>
    <row r="3437" spans="1:5" x14ac:dyDescent="0.25">
      <c r="A3437" s="83"/>
      <c r="B3437" s="84"/>
      <c r="C3437" s="84"/>
      <c r="D3437" s="116"/>
      <c r="E3437" s="116"/>
    </row>
    <row r="3438" spans="1:5" x14ac:dyDescent="0.25">
      <c r="A3438" s="83"/>
      <c r="B3438" s="84"/>
      <c r="C3438" s="84"/>
      <c r="D3438" s="116"/>
      <c r="E3438" s="116"/>
    </row>
    <row r="3439" spans="1:5" x14ac:dyDescent="0.25">
      <c r="A3439" s="83"/>
      <c r="B3439" s="84"/>
      <c r="C3439" s="84"/>
      <c r="D3439" s="116"/>
      <c r="E3439" s="116"/>
    </row>
    <row r="3440" spans="1:5" x14ac:dyDescent="0.25">
      <c r="A3440" s="83"/>
      <c r="B3440" s="84"/>
      <c r="C3440" s="84"/>
      <c r="D3440" s="116"/>
      <c r="E3440" s="116"/>
    </row>
    <row r="3441" spans="1:5" x14ac:dyDescent="0.25">
      <c r="A3441" s="83"/>
      <c r="B3441" s="84"/>
      <c r="C3441" s="84"/>
      <c r="D3441" s="116"/>
      <c r="E3441" s="116"/>
    </row>
    <row r="3442" spans="1:5" x14ac:dyDescent="0.25">
      <c r="A3442" s="83"/>
      <c r="B3442" s="84"/>
      <c r="C3442" s="84"/>
      <c r="D3442" s="116"/>
      <c r="E3442" s="116"/>
    </row>
    <row r="3443" spans="1:5" x14ac:dyDescent="0.25">
      <c r="A3443" s="83"/>
      <c r="B3443" s="84"/>
      <c r="C3443" s="84"/>
      <c r="D3443" s="116"/>
      <c r="E3443" s="116"/>
    </row>
    <row r="3444" spans="1:5" x14ac:dyDescent="0.25">
      <c r="A3444" s="83"/>
      <c r="B3444" s="84"/>
      <c r="C3444" s="84"/>
      <c r="D3444" s="116"/>
      <c r="E3444" s="116"/>
    </row>
    <row r="3445" spans="1:5" x14ac:dyDescent="0.25">
      <c r="A3445" s="83"/>
      <c r="B3445" s="84"/>
      <c r="C3445" s="84"/>
      <c r="D3445" s="116"/>
      <c r="E3445" s="116"/>
    </row>
    <row r="3446" spans="1:5" x14ac:dyDescent="0.25">
      <c r="A3446" s="83"/>
      <c r="B3446" s="84"/>
      <c r="C3446" s="84"/>
      <c r="D3446" s="116"/>
      <c r="E3446" s="116"/>
    </row>
    <row r="3447" spans="1:5" x14ac:dyDescent="0.25">
      <c r="A3447" s="83"/>
      <c r="B3447" s="84"/>
      <c r="C3447" s="84"/>
      <c r="D3447" s="116"/>
      <c r="E3447" s="116"/>
    </row>
    <row r="3448" spans="1:5" x14ac:dyDescent="0.25">
      <c r="A3448" s="83"/>
      <c r="B3448" s="84"/>
      <c r="C3448" s="84"/>
      <c r="D3448" s="116"/>
      <c r="E3448" s="116"/>
    </row>
    <row r="3449" spans="1:5" x14ac:dyDescent="0.25">
      <c r="A3449" s="83"/>
      <c r="B3449" s="84"/>
      <c r="C3449" s="84"/>
      <c r="D3449" s="116"/>
      <c r="E3449" s="116"/>
    </row>
    <row r="3450" spans="1:5" x14ac:dyDescent="0.25">
      <c r="A3450" s="83"/>
      <c r="B3450" s="84"/>
      <c r="C3450" s="84"/>
      <c r="D3450" s="116"/>
      <c r="E3450" s="116"/>
    </row>
    <row r="3451" spans="1:5" x14ac:dyDescent="0.25">
      <c r="A3451" s="83"/>
      <c r="B3451" s="84"/>
      <c r="C3451" s="84"/>
      <c r="D3451" s="116"/>
      <c r="E3451" s="116"/>
    </row>
    <row r="3452" spans="1:5" x14ac:dyDescent="0.25">
      <c r="A3452" s="83"/>
      <c r="B3452" s="84"/>
      <c r="C3452" s="84"/>
      <c r="D3452" s="116"/>
      <c r="E3452" s="116"/>
    </row>
    <row r="3453" spans="1:5" x14ac:dyDescent="0.25">
      <c r="A3453" s="83"/>
      <c r="B3453" s="84"/>
      <c r="C3453" s="84"/>
      <c r="D3453" s="116"/>
      <c r="E3453" s="116"/>
    </row>
    <row r="3454" spans="1:5" x14ac:dyDescent="0.25">
      <c r="A3454" s="83"/>
      <c r="B3454" s="84"/>
      <c r="C3454" s="84"/>
      <c r="D3454" s="116"/>
      <c r="E3454" s="116"/>
    </row>
    <row r="3455" spans="1:5" x14ac:dyDescent="0.25">
      <c r="A3455" s="83"/>
      <c r="B3455" s="84"/>
      <c r="C3455" s="84"/>
      <c r="D3455" s="116"/>
      <c r="E3455" s="116"/>
    </row>
    <row r="3456" spans="1:5" x14ac:dyDescent="0.25">
      <c r="A3456" s="83"/>
      <c r="B3456" s="84"/>
      <c r="C3456" s="84"/>
      <c r="D3456" s="116"/>
      <c r="E3456" s="116"/>
    </row>
    <row r="3457" spans="1:5" x14ac:dyDescent="0.25">
      <c r="A3457" s="83"/>
      <c r="B3457" s="84"/>
      <c r="C3457" s="84"/>
      <c r="D3457" s="116"/>
      <c r="E3457" s="116"/>
    </row>
    <row r="3458" spans="1:5" x14ac:dyDescent="0.25">
      <c r="A3458" s="83"/>
      <c r="B3458" s="84"/>
      <c r="C3458" s="84"/>
      <c r="D3458" s="116"/>
      <c r="E3458" s="116"/>
    </row>
    <row r="3459" spans="1:5" x14ac:dyDescent="0.25">
      <c r="A3459" s="83"/>
      <c r="B3459" s="84"/>
      <c r="C3459" s="84"/>
      <c r="D3459" s="116"/>
      <c r="E3459" s="116"/>
    </row>
    <row r="3460" spans="1:5" x14ac:dyDescent="0.25">
      <c r="A3460" s="83"/>
      <c r="B3460" s="84"/>
      <c r="C3460" s="84"/>
      <c r="D3460" s="116"/>
      <c r="E3460" s="116"/>
    </row>
    <row r="3461" spans="1:5" x14ac:dyDescent="0.25">
      <c r="A3461" s="83"/>
      <c r="B3461" s="84"/>
      <c r="C3461" s="84"/>
      <c r="D3461" s="116"/>
      <c r="E3461" s="116"/>
    </row>
    <row r="3462" spans="1:5" x14ac:dyDescent="0.25">
      <c r="A3462" s="83"/>
      <c r="B3462" s="84"/>
      <c r="C3462" s="84"/>
      <c r="D3462" s="116"/>
      <c r="E3462" s="116"/>
    </row>
    <row r="3463" spans="1:5" x14ac:dyDescent="0.25">
      <c r="A3463" s="83"/>
      <c r="B3463" s="84"/>
      <c r="C3463" s="84"/>
      <c r="D3463" s="116"/>
      <c r="E3463" s="116"/>
    </row>
    <row r="3464" spans="1:5" x14ac:dyDescent="0.25">
      <c r="A3464" s="83"/>
      <c r="B3464" s="84"/>
      <c r="C3464" s="84"/>
      <c r="D3464" s="116"/>
      <c r="E3464" s="116"/>
    </row>
    <row r="3465" spans="1:5" x14ac:dyDescent="0.25">
      <c r="A3465" s="83"/>
      <c r="B3465" s="84"/>
      <c r="C3465" s="84"/>
      <c r="D3465" s="116"/>
      <c r="E3465" s="116"/>
    </row>
    <row r="3466" spans="1:5" x14ac:dyDescent="0.25">
      <c r="A3466" s="83"/>
      <c r="B3466" s="84"/>
      <c r="C3466" s="84"/>
      <c r="D3466" s="116"/>
      <c r="E3466" s="116"/>
    </row>
    <row r="3467" spans="1:5" x14ac:dyDescent="0.25">
      <c r="A3467" s="83"/>
      <c r="B3467" s="84"/>
      <c r="C3467" s="84"/>
      <c r="D3467" s="116"/>
      <c r="E3467" s="116"/>
    </row>
    <row r="3468" spans="1:5" x14ac:dyDescent="0.25">
      <c r="A3468" s="83"/>
      <c r="B3468" s="84"/>
      <c r="C3468" s="84"/>
      <c r="D3468" s="116"/>
      <c r="E3468" s="116"/>
    </row>
    <row r="3469" spans="1:5" x14ac:dyDescent="0.25">
      <c r="A3469" s="83"/>
      <c r="B3469" s="84"/>
      <c r="C3469" s="84"/>
      <c r="D3469" s="116"/>
      <c r="E3469" s="116"/>
    </row>
    <row r="3470" spans="1:5" x14ac:dyDescent="0.25">
      <c r="A3470" s="83"/>
      <c r="B3470" s="84"/>
      <c r="C3470" s="84"/>
      <c r="D3470" s="116"/>
      <c r="E3470" s="116"/>
    </row>
    <row r="3471" spans="1:5" x14ac:dyDescent="0.25">
      <c r="A3471" s="83"/>
      <c r="B3471" s="84"/>
      <c r="C3471" s="84"/>
      <c r="D3471" s="116"/>
      <c r="E3471" s="116"/>
    </row>
    <row r="3472" spans="1:5" x14ac:dyDescent="0.25">
      <c r="A3472" s="83"/>
      <c r="B3472" s="84"/>
      <c r="C3472" s="84"/>
      <c r="D3472" s="116"/>
      <c r="E3472" s="116"/>
    </row>
    <row r="3473" spans="1:5" x14ac:dyDescent="0.25">
      <c r="A3473" s="83"/>
      <c r="B3473" s="84"/>
      <c r="C3473" s="84"/>
      <c r="D3473" s="116"/>
      <c r="E3473" s="116"/>
    </row>
    <row r="3474" spans="1:5" x14ac:dyDescent="0.25">
      <c r="A3474" s="83"/>
      <c r="B3474" s="84"/>
      <c r="C3474" s="84"/>
      <c r="D3474" s="116"/>
      <c r="E3474" s="116"/>
    </row>
    <row r="3475" spans="1:5" x14ac:dyDescent="0.25">
      <c r="A3475" s="83"/>
      <c r="B3475" s="84"/>
      <c r="C3475" s="84"/>
      <c r="D3475" s="116"/>
      <c r="E3475" s="116"/>
    </row>
    <row r="3476" spans="1:5" x14ac:dyDescent="0.25">
      <c r="A3476" s="83"/>
      <c r="B3476" s="84"/>
      <c r="C3476" s="84"/>
      <c r="D3476" s="116"/>
      <c r="E3476" s="116"/>
    </row>
    <row r="3477" spans="1:5" x14ac:dyDescent="0.25">
      <c r="A3477" s="83"/>
      <c r="B3477" s="84"/>
      <c r="C3477" s="84"/>
      <c r="D3477" s="116"/>
      <c r="E3477" s="116"/>
    </row>
    <row r="3478" spans="1:5" x14ac:dyDescent="0.25">
      <c r="A3478" s="83"/>
      <c r="B3478" s="84"/>
      <c r="C3478" s="84"/>
      <c r="D3478" s="116"/>
      <c r="E3478" s="116"/>
    </row>
    <row r="3479" spans="1:5" x14ac:dyDescent="0.25">
      <c r="A3479" s="83"/>
      <c r="B3479" s="84"/>
      <c r="C3479" s="84"/>
      <c r="D3479" s="116"/>
      <c r="E3479" s="116"/>
    </row>
    <row r="3480" spans="1:5" x14ac:dyDescent="0.25">
      <c r="A3480" s="83"/>
      <c r="B3480" s="84"/>
      <c r="C3480" s="84"/>
      <c r="D3480" s="116"/>
      <c r="E3480" s="116"/>
    </row>
    <row r="3481" spans="1:5" x14ac:dyDescent="0.25">
      <c r="A3481" s="83"/>
      <c r="B3481" s="84"/>
      <c r="C3481" s="84"/>
      <c r="D3481" s="116"/>
      <c r="E3481" s="116"/>
    </row>
    <row r="3482" spans="1:5" x14ac:dyDescent="0.25">
      <c r="A3482" s="83"/>
      <c r="B3482" s="84"/>
      <c r="C3482" s="84"/>
      <c r="D3482" s="116"/>
      <c r="E3482" s="116"/>
    </row>
    <row r="3483" spans="1:5" x14ac:dyDescent="0.25">
      <c r="A3483" s="83"/>
      <c r="B3483" s="84"/>
      <c r="C3483" s="84"/>
      <c r="D3483" s="116"/>
      <c r="E3483" s="116"/>
    </row>
    <row r="3484" spans="1:5" x14ac:dyDescent="0.25">
      <c r="A3484" s="83"/>
      <c r="B3484" s="84"/>
      <c r="C3484" s="84"/>
      <c r="D3484" s="116"/>
      <c r="E3484" s="116"/>
    </row>
    <row r="3485" spans="1:5" x14ac:dyDescent="0.25">
      <c r="A3485" s="83"/>
      <c r="B3485" s="84"/>
      <c r="C3485" s="84"/>
      <c r="D3485" s="116"/>
      <c r="E3485" s="116"/>
    </row>
    <row r="3486" spans="1:5" x14ac:dyDescent="0.25">
      <c r="A3486" s="83"/>
      <c r="B3486" s="84"/>
      <c r="C3486" s="84"/>
      <c r="D3486" s="116"/>
      <c r="E3486" s="116"/>
    </row>
    <row r="3487" spans="1:5" x14ac:dyDescent="0.25">
      <c r="A3487" s="83"/>
      <c r="B3487" s="84"/>
      <c r="C3487" s="84"/>
      <c r="D3487" s="116"/>
      <c r="E3487" s="116"/>
    </row>
    <row r="3488" spans="1:5" x14ac:dyDescent="0.25">
      <c r="A3488" s="83"/>
      <c r="B3488" s="84"/>
      <c r="C3488" s="84"/>
      <c r="D3488" s="116"/>
      <c r="E3488" s="116"/>
    </row>
    <row r="3489" spans="1:5" x14ac:dyDescent="0.25">
      <c r="A3489" s="83"/>
      <c r="B3489" s="84"/>
      <c r="C3489" s="84"/>
      <c r="D3489" s="116"/>
      <c r="E3489" s="116"/>
    </row>
    <row r="3490" spans="1:5" x14ac:dyDescent="0.25">
      <c r="A3490" s="83"/>
      <c r="B3490" s="84"/>
      <c r="C3490" s="84"/>
      <c r="D3490" s="116"/>
      <c r="E3490" s="116"/>
    </row>
    <row r="3491" spans="1:5" x14ac:dyDescent="0.25">
      <c r="A3491" s="83"/>
      <c r="B3491" s="84"/>
      <c r="C3491" s="84"/>
      <c r="D3491" s="116"/>
      <c r="E3491" s="116"/>
    </row>
    <row r="3492" spans="1:5" x14ac:dyDescent="0.25">
      <c r="A3492" s="83"/>
      <c r="B3492" s="84"/>
      <c r="C3492" s="84"/>
      <c r="D3492" s="116"/>
      <c r="E3492" s="116"/>
    </row>
    <row r="3493" spans="1:5" x14ac:dyDescent="0.25">
      <c r="A3493" s="83"/>
      <c r="B3493" s="84"/>
      <c r="C3493" s="84"/>
      <c r="D3493" s="116"/>
      <c r="E3493" s="116"/>
    </row>
    <row r="3494" spans="1:5" x14ac:dyDescent="0.25">
      <c r="A3494" s="83"/>
      <c r="B3494" s="84"/>
      <c r="C3494" s="84"/>
      <c r="D3494" s="116"/>
      <c r="E3494" s="116"/>
    </row>
    <row r="3495" spans="1:5" x14ac:dyDescent="0.25">
      <c r="A3495" s="83"/>
      <c r="B3495" s="84"/>
      <c r="C3495" s="84"/>
      <c r="D3495" s="116"/>
      <c r="E3495" s="116"/>
    </row>
    <row r="3496" spans="1:5" x14ac:dyDescent="0.25">
      <c r="A3496" s="83"/>
      <c r="B3496" s="84"/>
      <c r="C3496" s="84"/>
      <c r="D3496" s="116"/>
      <c r="E3496" s="116"/>
    </row>
    <row r="3497" spans="1:5" x14ac:dyDescent="0.25">
      <c r="A3497" s="83"/>
      <c r="B3497" s="84"/>
      <c r="C3497" s="84"/>
      <c r="D3497" s="116"/>
      <c r="E3497" s="116"/>
    </row>
    <row r="3498" spans="1:5" x14ac:dyDescent="0.25">
      <c r="A3498" s="83"/>
      <c r="B3498" s="84"/>
      <c r="C3498" s="84"/>
      <c r="D3498" s="116"/>
      <c r="E3498" s="116"/>
    </row>
    <row r="3499" spans="1:5" x14ac:dyDescent="0.25">
      <c r="A3499" s="83"/>
      <c r="B3499" s="84"/>
      <c r="C3499" s="84"/>
      <c r="D3499" s="116"/>
      <c r="E3499" s="116"/>
    </row>
    <row r="3500" spans="1:5" x14ac:dyDescent="0.25">
      <c r="A3500" s="83"/>
      <c r="B3500" s="84"/>
      <c r="C3500" s="84"/>
      <c r="D3500" s="116"/>
      <c r="E3500" s="116"/>
    </row>
    <row r="3501" spans="1:5" x14ac:dyDescent="0.25">
      <c r="A3501" s="83"/>
      <c r="B3501" s="84"/>
      <c r="C3501" s="84"/>
      <c r="D3501" s="116"/>
      <c r="E3501" s="116"/>
    </row>
    <row r="3502" spans="1:5" x14ac:dyDescent="0.25">
      <c r="A3502" s="83"/>
      <c r="B3502" s="84"/>
      <c r="C3502" s="84"/>
      <c r="D3502" s="116"/>
      <c r="E3502" s="116"/>
    </row>
    <row r="3503" spans="1:5" x14ac:dyDescent="0.25">
      <c r="A3503" s="83"/>
      <c r="B3503" s="84"/>
      <c r="C3503" s="84"/>
      <c r="D3503" s="116"/>
      <c r="E3503" s="116"/>
    </row>
    <row r="3504" spans="1:5" x14ac:dyDescent="0.25">
      <c r="A3504" s="83"/>
      <c r="B3504" s="84"/>
      <c r="C3504" s="84"/>
      <c r="D3504" s="116"/>
      <c r="E3504" s="116"/>
    </row>
    <row r="3505" spans="1:5" x14ac:dyDescent="0.25">
      <c r="A3505" s="83"/>
      <c r="B3505" s="84"/>
      <c r="C3505" s="84"/>
      <c r="D3505" s="116"/>
      <c r="E3505" s="116"/>
    </row>
    <row r="3506" spans="1:5" x14ac:dyDescent="0.25">
      <c r="A3506" s="83"/>
      <c r="B3506" s="84"/>
      <c r="C3506" s="84"/>
      <c r="D3506" s="116"/>
      <c r="E3506" s="116"/>
    </row>
    <row r="3507" spans="1:5" x14ac:dyDescent="0.25">
      <c r="A3507" s="83"/>
      <c r="B3507" s="84"/>
      <c r="C3507" s="84"/>
      <c r="D3507" s="116"/>
      <c r="E3507" s="116"/>
    </row>
    <row r="3508" spans="1:5" x14ac:dyDescent="0.25">
      <c r="A3508" s="83"/>
      <c r="B3508" s="84"/>
      <c r="C3508" s="84"/>
      <c r="D3508" s="116"/>
      <c r="E3508" s="116"/>
    </row>
    <row r="3509" spans="1:5" x14ac:dyDescent="0.25">
      <c r="A3509" s="83"/>
      <c r="B3509" s="84"/>
      <c r="C3509" s="84"/>
      <c r="D3509" s="116"/>
      <c r="E3509" s="116"/>
    </row>
    <row r="3510" spans="1:5" x14ac:dyDescent="0.25">
      <c r="A3510" s="83"/>
      <c r="B3510" s="84"/>
      <c r="C3510" s="84"/>
      <c r="D3510" s="116"/>
      <c r="E3510" s="116"/>
    </row>
    <row r="3511" spans="1:5" x14ac:dyDescent="0.25">
      <c r="A3511" s="83"/>
      <c r="B3511" s="84"/>
      <c r="C3511" s="84"/>
      <c r="D3511" s="116"/>
      <c r="E3511" s="116"/>
    </row>
    <row r="3512" spans="1:5" x14ac:dyDescent="0.25">
      <c r="A3512" s="83"/>
      <c r="B3512" s="84"/>
      <c r="C3512" s="84"/>
      <c r="D3512" s="116"/>
      <c r="E3512" s="116"/>
    </row>
    <row r="3513" spans="1:5" x14ac:dyDescent="0.25">
      <c r="A3513" s="83"/>
      <c r="B3513" s="84"/>
      <c r="C3513" s="84"/>
      <c r="D3513" s="116"/>
      <c r="E3513" s="116"/>
    </row>
    <row r="3514" spans="1:5" x14ac:dyDescent="0.25">
      <c r="A3514" s="83"/>
      <c r="B3514" s="84"/>
      <c r="C3514" s="84"/>
      <c r="D3514" s="116"/>
      <c r="E3514" s="116"/>
    </row>
    <row r="3515" spans="1:5" x14ac:dyDescent="0.25">
      <c r="A3515" s="83"/>
      <c r="B3515" s="84"/>
      <c r="C3515" s="84"/>
      <c r="D3515" s="116"/>
      <c r="E3515" s="116"/>
    </row>
    <row r="3516" spans="1:5" x14ac:dyDescent="0.25">
      <c r="A3516" s="83"/>
      <c r="B3516" s="84"/>
      <c r="C3516" s="84"/>
      <c r="D3516" s="116"/>
      <c r="E3516" s="116"/>
    </row>
    <row r="3517" spans="1:5" x14ac:dyDescent="0.25">
      <c r="A3517" s="83"/>
      <c r="B3517" s="84"/>
      <c r="C3517" s="84"/>
      <c r="D3517" s="116"/>
      <c r="E3517" s="116"/>
    </row>
    <row r="3518" spans="1:5" x14ac:dyDescent="0.25">
      <c r="A3518" s="83"/>
      <c r="B3518" s="84"/>
      <c r="C3518" s="84"/>
      <c r="D3518" s="116"/>
      <c r="E3518" s="116"/>
    </row>
    <row r="3519" spans="1:5" x14ac:dyDescent="0.25">
      <c r="A3519" s="83"/>
      <c r="B3519" s="84"/>
      <c r="C3519" s="84"/>
      <c r="D3519" s="116"/>
      <c r="E3519" s="116"/>
    </row>
    <row r="3520" spans="1:5" x14ac:dyDescent="0.25">
      <c r="A3520" s="83"/>
      <c r="B3520" s="84"/>
      <c r="C3520" s="84"/>
      <c r="D3520" s="116"/>
      <c r="E3520" s="116"/>
    </row>
    <row r="3521" spans="1:5" x14ac:dyDescent="0.25">
      <c r="A3521" s="83"/>
      <c r="B3521" s="84"/>
      <c r="C3521" s="84"/>
      <c r="D3521" s="116"/>
      <c r="E3521" s="116"/>
    </row>
    <row r="3522" spans="1:5" x14ac:dyDescent="0.25">
      <c r="A3522" s="83"/>
      <c r="B3522" s="84"/>
      <c r="C3522" s="84"/>
      <c r="D3522" s="116"/>
      <c r="E3522" s="116"/>
    </row>
    <row r="3523" spans="1:5" x14ac:dyDescent="0.25">
      <c r="A3523" s="83"/>
      <c r="B3523" s="84"/>
      <c r="C3523" s="84"/>
      <c r="D3523" s="116"/>
      <c r="E3523" s="116"/>
    </row>
    <row r="3524" spans="1:5" x14ac:dyDescent="0.25">
      <c r="A3524" s="83"/>
      <c r="B3524" s="84"/>
      <c r="C3524" s="84"/>
      <c r="D3524" s="116"/>
      <c r="E3524" s="116"/>
    </row>
    <row r="3525" spans="1:5" x14ac:dyDescent="0.25">
      <c r="A3525" s="83"/>
      <c r="B3525" s="84"/>
      <c r="C3525" s="84"/>
      <c r="D3525" s="116"/>
      <c r="E3525" s="116"/>
    </row>
    <row r="3526" spans="1:5" x14ac:dyDescent="0.25">
      <c r="A3526" s="83"/>
      <c r="B3526" s="84"/>
      <c r="C3526" s="84"/>
      <c r="D3526" s="116"/>
      <c r="E3526" s="116"/>
    </row>
    <row r="3527" spans="1:5" x14ac:dyDescent="0.25">
      <c r="A3527" s="83"/>
      <c r="B3527" s="84"/>
      <c r="C3527" s="84"/>
      <c r="D3527" s="116"/>
      <c r="E3527" s="116"/>
    </row>
    <row r="3528" spans="1:5" x14ac:dyDescent="0.25">
      <c r="A3528" s="83"/>
      <c r="B3528" s="84"/>
      <c r="C3528" s="84"/>
      <c r="D3528" s="116"/>
      <c r="E3528" s="116"/>
    </row>
    <row r="3529" spans="1:5" x14ac:dyDescent="0.25">
      <c r="A3529" s="83"/>
      <c r="B3529" s="84"/>
      <c r="C3529" s="84"/>
      <c r="D3529" s="116"/>
      <c r="E3529" s="116"/>
    </row>
    <row r="3530" spans="1:5" x14ac:dyDescent="0.25">
      <c r="A3530" s="83"/>
      <c r="B3530" s="84"/>
      <c r="C3530" s="84"/>
      <c r="D3530" s="116"/>
      <c r="E3530" s="116"/>
    </row>
    <row r="3531" spans="1:5" x14ac:dyDescent="0.25">
      <c r="A3531" s="83"/>
      <c r="B3531" s="84"/>
      <c r="C3531" s="84"/>
      <c r="D3531" s="116"/>
      <c r="E3531" s="116"/>
    </row>
    <row r="3532" spans="1:5" x14ac:dyDescent="0.25">
      <c r="A3532" s="83"/>
      <c r="B3532" s="84"/>
      <c r="C3532" s="84"/>
      <c r="D3532" s="116"/>
      <c r="E3532" s="116"/>
    </row>
    <row r="3533" spans="1:5" x14ac:dyDescent="0.25">
      <c r="A3533" s="83"/>
      <c r="B3533" s="84"/>
      <c r="C3533" s="84"/>
      <c r="D3533" s="116"/>
      <c r="E3533" s="116"/>
    </row>
    <row r="3534" spans="1:5" x14ac:dyDescent="0.25">
      <c r="A3534" s="83"/>
      <c r="B3534" s="84"/>
      <c r="C3534" s="84"/>
      <c r="D3534" s="116"/>
      <c r="E3534" s="116"/>
    </row>
    <row r="3535" spans="1:5" x14ac:dyDescent="0.25">
      <c r="A3535" s="83"/>
      <c r="B3535" s="84"/>
      <c r="C3535" s="84"/>
      <c r="D3535" s="116"/>
      <c r="E3535" s="116"/>
    </row>
    <row r="3536" spans="1:5" x14ac:dyDescent="0.25">
      <c r="A3536" s="83"/>
      <c r="B3536" s="84"/>
      <c r="C3536" s="84"/>
      <c r="D3536" s="116"/>
      <c r="E3536" s="116"/>
    </row>
    <row r="3537" spans="1:5" x14ac:dyDescent="0.25">
      <c r="A3537" s="83"/>
      <c r="B3537" s="84"/>
      <c r="C3537" s="84"/>
      <c r="D3537" s="116"/>
      <c r="E3537" s="116"/>
    </row>
    <row r="3538" spans="1:5" x14ac:dyDescent="0.25">
      <c r="A3538" s="83"/>
      <c r="B3538" s="84"/>
      <c r="C3538" s="84"/>
      <c r="D3538" s="116"/>
      <c r="E3538" s="116"/>
    </row>
    <row r="3539" spans="1:5" x14ac:dyDescent="0.25">
      <c r="A3539" s="83"/>
      <c r="B3539" s="84"/>
      <c r="C3539" s="84"/>
      <c r="D3539" s="116"/>
      <c r="E3539" s="116"/>
    </row>
    <row r="3540" spans="1:5" x14ac:dyDescent="0.25">
      <c r="A3540" s="83"/>
      <c r="B3540" s="84"/>
      <c r="C3540" s="84"/>
      <c r="D3540" s="116"/>
      <c r="E3540" s="116"/>
    </row>
    <row r="3541" spans="1:5" x14ac:dyDescent="0.25">
      <c r="A3541" s="83"/>
      <c r="B3541" s="84"/>
      <c r="C3541" s="84"/>
      <c r="D3541" s="116"/>
      <c r="E3541" s="116"/>
    </row>
    <row r="3542" spans="1:5" x14ac:dyDescent="0.25">
      <c r="A3542" s="83"/>
      <c r="B3542" s="84"/>
      <c r="C3542" s="84"/>
      <c r="D3542" s="116"/>
      <c r="E3542" s="116"/>
    </row>
    <row r="3543" spans="1:5" x14ac:dyDescent="0.25">
      <c r="A3543" s="83"/>
      <c r="B3543" s="84"/>
      <c r="C3543" s="84"/>
      <c r="D3543" s="116"/>
      <c r="E3543" s="116"/>
    </row>
    <row r="3544" spans="1:5" x14ac:dyDescent="0.25">
      <c r="A3544" s="83"/>
      <c r="B3544" s="84"/>
      <c r="C3544" s="84"/>
      <c r="D3544" s="116"/>
      <c r="E3544" s="116"/>
    </row>
    <row r="3545" spans="1:5" x14ac:dyDescent="0.25">
      <c r="A3545" s="83"/>
      <c r="B3545" s="84"/>
      <c r="C3545" s="84"/>
      <c r="D3545" s="116"/>
      <c r="E3545" s="116"/>
    </row>
    <row r="3546" spans="1:5" x14ac:dyDescent="0.25">
      <c r="A3546" s="83"/>
      <c r="B3546" s="84"/>
      <c r="C3546" s="84"/>
      <c r="D3546" s="116"/>
      <c r="E3546" s="116"/>
    </row>
    <row r="3547" spans="1:5" x14ac:dyDescent="0.25">
      <c r="A3547" s="83"/>
      <c r="B3547" s="84"/>
      <c r="C3547" s="84"/>
      <c r="D3547" s="116"/>
      <c r="E3547" s="116"/>
    </row>
    <row r="3548" spans="1:5" x14ac:dyDescent="0.25">
      <c r="A3548" s="83"/>
      <c r="B3548" s="84"/>
      <c r="C3548" s="84"/>
      <c r="D3548" s="116"/>
      <c r="E3548" s="116"/>
    </row>
    <row r="3549" spans="1:5" x14ac:dyDescent="0.25">
      <c r="A3549" s="83"/>
      <c r="B3549" s="84"/>
      <c r="C3549" s="84"/>
      <c r="D3549" s="116"/>
      <c r="E3549" s="116"/>
    </row>
    <row r="3550" spans="1:5" x14ac:dyDescent="0.25">
      <c r="A3550" s="83"/>
      <c r="B3550" s="84"/>
      <c r="C3550" s="84"/>
      <c r="D3550" s="116"/>
      <c r="E3550" s="116"/>
    </row>
    <row r="3551" spans="1:5" x14ac:dyDescent="0.25">
      <c r="A3551" s="83"/>
      <c r="B3551" s="84"/>
      <c r="C3551" s="84"/>
      <c r="D3551" s="116"/>
      <c r="E3551" s="116"/>
    </row>
    <row r="3552" spans="1:5" x14ac:dyDescent="0.25">
      <c r="A3552" s="83"/>
      <c r="B3552" s="84"/>
      <c r="C3552" s="84"/>
      <c r="D3552" s="116"/>
      <c r="E3552" s="116"/>
    </row>
    <row r="3553" spans="1:5" x14ac:dyDescent="0.25">
      <c r="A3553" s="83"/>
      <c r="B3553" s="84"/>
      <c r="C3553" s="84"/>
      <c r="D3553" s="116"/>
      <c r="E3553" s="116"/>
    </row>
    <row r="3554" spans="1:5" x14ac:dyDescent="0.25">
      <c r="A3554" s="83"/>
      <c r="B3554" s="84"/>
      <c r="C3554" s="84"/>
      <c r="D3554" s="116"/>
      <c r="E3554" s="116"/>
    </row>
    <row r="3555" spans="1:5" x14ac:dyDescent="0.25">
      <c r="A3555" s="83"/>
      <c r="B3555" s="84"/>
      <c r="C3555" s="84"/>
      <c r="D3555" s="116"/>
      <c r="E3555" s="116"/>
    </row>
    <row r="3556" spans="1:5" x14ac:dyDescent="0.25">
      <c r="A3556" s="83"/>
      <c r="B3556" s="84"/>
      <c r="C3556" s="84"/>
      <c r="D3556" s="116"/>
      <c r="E3556" s="116"/>
    </row>
    <row r="3557" spans="1:5" x14ac:dyDescent="0.25">
      <c r="A3557" s="83"/>
      <c r="B3557" s="84"/>
      <c r="C3557" s="84"/>
      <c r="D3557" s="116"/>
      <c r="E3557" s="116"/>
    </row>
    <row r="3558" spans="1:5" x14ac:dyDescent="0.25">
      <c r="A3558" s="83"/>
      <c r="B3558" s="84"/>
      <c r="C3558" s="84"/>
      <c r="D3558" s="116"/>
      <c r="E3558" s="116"/>
    </row>
    <row r="3559" spans="1:5" x14ac:dyDescent="0.25">
      <c r="A3559" s="83"/>
      <c r="B3559" s="84"/>
      <c r="C3559" s="84"/>
      <c r="D3559" s="116"/>
      <c r="E3559" s="116"/>
    </row>
    <row r="3560" spans="1:5" x14ac:dyDescent="0.25">
      <c r="A3560" s="83"/>
      <c r="B3560" s="84"/>
      <c r="C3560" s="84"/>
      <c r="D3560" s="116"/>
      <c r="E3560" s="116"/>
    </row>
    <row r="3561" spans="1:5" x14ac:dyDescent="0.25">
      <c r="A3561" s="83"/>
      <c r="B3561" s="84"/>
      <c r="C3561" s="84"/>
      <c r="D3561" s="116"/>
      <c r="E3561" s="116"/>
    </row>
    <row r="3562" spans="1:5" x14ac:dyDescent="0.25">
      <c r="A3562" s="83"/>
      <c r="B3562" s="84"/>
      <c r="C3562" s="84"/>
      <c r="D3562" s="116"/>
      <c r="E3562" s="116"/>
    </row>
    <row r="3563" spans="1:5" x14ac:dyDescent="0.25">
      <c r="A3563" s="83"/>
      <c r="B3563" s="84"/>
      <c r="C3563" s="84"/>
      <c r="D3563" s="116"/>
      <c r="E3563" s="116"/>
    </row>
    <row r="3564" spans="1:5" x14ac:dyDescent="0.25">
      <c r="A3564" s="83"/>
      <c r="B3564" s="84"/>
      <c r="C3564" s="84"/>
      <c r="D3564" s="116"/>
      <c r="E3564" s="116"/>
    </row>
    <row r="3565" spans="1:5" x14ac:dyDescent="0.25">
      <c r="A3565" s="83"/>
      <c r="B3565" s="84"/>
      <c r="C3565" s="84"/>
      <c r="D3565" s="116"/>
      <c r="E3565" s="116"/>
    </row>
    <row r="3566" spans="1:5" x14ac:dyDescent="0.25">
      <c r="A3566" s="83"/>
      <c r="B3566" s="84"/>
      <c r="C3566" s="84"/>
      <c r="D3566" s="116"/>
      <c r="E3566" s="116"/>
    </row>
    <row r="3567" spans="1:5" x14ac:dyDescent="0.25">
      <c r="A3567" s="83"/>
      <c r="B3567" s="84"/>
      <c r="C3567" s="84"/>
      <c r="D3567" s="116"/>
      <c r="E3567" s="116"/>
    </row>
    <row r="3568" spans="1:5" x14ac:dyDescent="0.25">
      <c r="A3568" s="83"/>
      <c r="B3568" s="84"/>
      <c r="C3568" s="84"/>
      <c r="D3568" s="116"/>
      <c r="E3568" s="116"/>
    </row>
    <row r="3569" spans="1:5" x14ac:dyDescent="0.25">
      <c r="A3569" s="83"/>
      <c r="B3569" s="84"/>
      <c r="C3569" s="84"/>
      <c r="D3569" s="116"/>
      <c r="E3569" s="116"/>
    </row>
    <row r="3570" spans="1:5" x14ac:dyDescent="0.25">
      <c r="A3570" s="83"/>
      <c r="B3570" s="84"/>
      <c r="C3570" s="84"/>
      <c r="D3570" s="116"/>
      <c r="E3570" s="116"/>
    </row>
    <row r="3571" spans="1:5" x14ac:dyDescent="0.25">
      <c r="A3571" s="83"/>
      <c r="B3571" s="84"/>
      <c r="C3571" s="84"/>
      <c r="D3571" s="116"/>
      <c r="E3571" s="116"/>
    </row>
    <row r="3572" spans="1:5" x14ac:dyDescent="0.25">
      <c r="A3572" s="83"/>
      <c r="B3572" s="84"/>
      <c r="C3572" s="84"/>
      <c r="D3572" s="116"/>
      <c r="E3572" s="116"/>
    </row>
    <row r="3573" spans="1:5" x14ac:dyDescent="0.25">
      <c r="A3573" s="83"/>
      <c r="B3573" s="84"/>
      <c r="C3573" s="84"/>
      <c r="D3573" s="116"/>
      <c r="E3573" s="116"/>
    </row>
    <row r="3574" spans="1:5" x14ac:dyDescent="0.25">
      <c r="A3574" s="83"/>
      <c r="B3574" s="84"/>
      <c r="C3574" s="84"/>
      <c r="D3574" s="116"/>
      <c r="E3574" s="116"/>
    </row>
    <row r="3575" spans="1:5" x14ac:dyDescent="0.25">
      <c r="A3575" s="83"/>
      <c r="B3575" s="84"/>
      <c r="C3575" s="84"/>
      <c r="D3575" s="116"/>
      <c r="E3575" s="116"/>
    </row>
    <row r="3576" spans="1:5" x14ac:dyDescent="0.25">
      <c r="A3576" s="83"/>
      <c r="B3576" s="84"/>
      <c r="C3576" s="84"/>
      <c r="D3576" s="116"/>
      <c r="E3576" s="116"/>
    </row>
    <row r="3577" spans="1:5" x14ac:dyDescent="0.25">
      <c r="A3577" s="83"/>
      <c r="B3577" s="84"/>
      <c r="C3577" s="84"/>
      <c r="D3577" s="116"/>
      <c r="E3577" s="116"/>
    </row>
    <row r="3578" spans="1:5" x14ac:dyDescent="0.25">
      <c r="A3578" s="83"/>
      <c r="B3578" s="84"/>
      <c r="C3578" s="84"/>
      <c r="D3578" s="116"/>
      <c r="E3578" s="116"/>
    </row>
    <row r="3579" spans="1:5" x14ac:dyDescent="0.25">
      <c r="A3579" s="83"/>
      <c r="B3579" s="84"/>
      <c r="C3579" s="84"/>
      <c r="D3579" s="116"/>
      <c r="E3579" s="116"/>
    </row>
    <row r="3580" spans="1:5" x14ac:dyDescent="0.25">
      <c r="A3580" s="83"/>
      <c r="B3580" s="84"/>
      <c r="C3580" s="84"/>
      <c r="D3580" s="116"/>
      <c r="E3580" s="116"/>
    </row>
    <row r="3581" spans="1:5" x14ac:dyDescent="0.25">
      <c r="A3581" s="83"/>
      <c r="B3581" s="84"/>
      <c r="C3581" s="84"/>
      <c r="D3581" s="116"/>
      <c r="E3581" s="116"/>
    </row>
    <row r="3582" spans="1:5" x14ac:dyDescent="0.25">
      <c r="A3582" s="83"/>
      <c r="B3582" s="84"/>
      <c r="C3582" s="84"/>
      <c r="D3582" s="116"/>
      <c r="E3582" s="116"/>
    </row>
    <row r="3583" spans="1:5" x14ac:dyDescent="0.25">
      <c r="A3583" s="83"/>
      <c r="B3583" s="84"/>
      <c r="C3583" s="84"/>
      <c r="D3583" s="116"/>
      <c r="E3583" s="116"/>
    </row>
    <row r="3584" spans="1:5" x14ac:dyDescent="0.25">
      <c r="A3584" s="83"/>
      <c r="B3584" s="84"/>
      <c r="C3584" s="84"/>
      <c r="D3584" s="116"/>
      <c r="E3584" s="116"/>
    </row>
    <row r="3585" spans="1:5" x14ac:dyDescent="0.25">
      <c r="A3585" s="83"/>
      <c r="B3585" s="84"/>
      <c r="C3585" s="84"/>
      <c r="D3585" s="116"/>
      <c r="E3585" s="116"/>
    </row>
    <row r="3586" spans="1:5" x14ac:dyDescent="0.25">
      <c r="A3586" s="83"/>
      <c r="B3586" s="84"/>
      <c r="C3586" s="84"/>
      <c r="D3586" s="116"/>
      <c r="E3586" s="116"/>
    </row>
    <row r="3587" spans="1:5" x14ac:dyDescent="0.25">
      <c r="A3587" s="83"/>
      <c r="B3587" s="84"/>
      <c r="C3587" s="84"/>
      <c r="D3587" s="116"/>
      <c r="E3587" s="116"/>
    </row>
    <row r="3588" spans="1:5" x14ac:dyDescent="0.25">
      <c r="A3588" s="83"/>
      <c r="B3588" s="84"/>
      <c r="C3588" s="84"/>
      <c r="D3588" s="116"/>
      <c r="E3588" s="116"/>
    </row>
    <row r="3589" spans="1:5" x14ac:dyDescent="0.25">
      <c r="A3589" s="83"/>
      <c r="B3589" s="84"/>
      <c r="C3589" s="84"/>
      <c r="D3589" s="116"/>
      <c r="E3589" s="116"/>
    </row>
    <row r="3590" spans="1:5" x14ac:dyDescent="0.25">
      <c r="A3590" s="83"/>
      <c r="B3590" s="84"/>
      <c r="C3590" s="84"/>
      <c r="D3590" s="116"/>
      <c r="E3590" s="116"/>
    </row>
    <row r="3591" spans="1:5" x14ac:dyDescent="0.25">
      <c r="A3591" s="83"/>
      <c r="B3591" s="84"/>
      <c r="C3591" s="84"/>
      <c r="D3591" s="116"/>
      <c r="E3591" s="116"/>
    </row>
    <row r="3592" spans="1:5" x14ac:dyDescent="0.25">
      <c r="A3592" s="83"/>
      <c r="B3592" s="84"/>
      <c r="C3592" s="84"/>
      <c r="D3592" s="116"/>
      <c r="E3592" s="116"/>
    </row>
    <row r="3593" spans="1:5" x14ac:dyDescent="0.25">
      <c r="A3593" s="83"/>
      <c r="B3593" s="84"/>
      <c r="C3593" s="84"/>
      <c r="D3593" s="116"/>
      <c r="E3593" s="116"/>
    </row>
    <row r="3594" spans="1:5" x14ac:dyDescent="0.25">
      <c r="A3594" s="83"/>
      <c r="B3594" s="84"/>
      <c r="C3594" s="84"/>
      <c r="D3594" s="116"/>
      <c r="E3594" s="116"/>
    </row>
    <row r="3595" spans="1:5" x14ac:dyDescent="0.25">
      <c r="A3595" s="83"/>
      <c r="B3595" s="84"/>
      <c r="C3595" s="84"/>
      <c r="D3595" s="116"/>
      <c r="E3595" s="116"/>
    </row>
    <row r="3596" spans="1:5" x14ac:dyDescent="0.25">
      <c r="A3596" s="83"/>
      <c r="B3596" s="84"/>
      <c r="C3596" s="84"/>
      <c r="D3596" s="116"/>
      <c r="E3596" s="116"/>
    </row>
    <row r="3597" spans="1:5" x14ac:dyDescent="0.25">
      <c r="A3597" s="83"/>
      <c r="B3597" s="84"/>
      <c r="C3597" s="84"/>
      <c r="D3597" s="116"/>
      <c r="E3597" s="116"/>
    </row>
    <row r="3598" spans="1:5" x14ac:dyDescent="0.25">
      <c r="A3598" s="83"/>
      <c r="B3598" s="84"/>
      <c r="C3598" s="84"/>
      <c r="D3598" s="116"/>
      <c r="E3598" s="116"/>
    </row>
    <row r="3599" spans="1:5" x14ac:dyDescent="0.25">
      <c r="A3599" s="83"/>
      <c r="B3599" s="84"/>
      <c r="C3599" s="84"/>
      <c r="D3599" s="116"/>
      <c r="E3599" s="116"/>
    </row>
    <row r="3600" spans="1:5" x14ac:dyDescent="0.25">
      <c r="A3600" s="83"/>
      <c r="B3600" s="84"/>
      <c r="C3600" s="84"/>
      <c r="D3600" s="116"/>
      <c r="E3600" s="116"/>
    </row>
    <row r="3601" spans="1:5" x14ac:dyDescent="0.25">
      <c r="A3601" s="83"/>
      <c r="B3601" s="84"/>
      <c r="C3601" s="84"/>
      <c r="D3601" s="116"/>
      <c r="E3601" s="116"/>
    </row>
    <row r="3602" spans="1:5" x14ac:dyDescent="0.25">
      <c r="A3602" s="83"/>
      <c r="B3602" s="84"/>
      <c r="C3602" s="84"/>
      <c r="D3602" s="116"/>
      <c r="E3602" s="116"/>
    </row>
    <row r="3603" spans="1:5" x14ac:dyDescent="0.25">
      <c r="A3603" s="83"/>
      <c r="B3603" s="84"/>
      <c r="C3603" s="84"/>
      <c r="D3603" s="116"/>
      <c r="E3603" s="116"/>
    </row>
    <row r="3604" spans="1:5" x14ac:dyDescent="0.25">
      <c r="A3604" s="83"/>
      <c r="B3604" s="84"/>
      <c r="C3604" s="84"/>
      <c r="D3604" s="116"/>
      <c r="E3604" s="116"/>
    </row>
    <row r="3605" spans="1:5" x14ac:dyDescent="0.25">
      <c r="A3605" s="83"/>
      <c r="B3605" s="84"/>
      <c r="C3605" s="84"/>
      <c r="D3605" s="116"/>
      <c r="E3605" s="116"/>
    </row>
    <row r="3606" spans="1:5" x14ac:dyDescent="0.25">
      <c r="A3606" s="83"/>
      <c r="B3606" s="84"/>
      <c r="C3606" s="84"/>
      <c r="D3606" s="116"/>
      <c r="E3606" s="116"/>
    </row>
    <row r="3607" spans="1:5" x14ac:dyDescent="0.25">
      <c r="A3607" s="83"/>
      <c r="B3607" s="84"/>
      <c r="C3607" s="84"/>
      <c r="D3607" s="116"/>
      <c r="E3607" s="116"/>
    </row>
    <row r="3608" spans="1:5" x14ac:dyDescent="0.25">
      <c r="A3608" s="83"/>
      <c r="B3608" s="84"/>
      <c r="C3608" s="84"/>
      <c r="D3608" s="116"/>
      <c r="E3608" s="116"/>
    </row>
    <row r="3609" spans="1:5" x14ac:dyDescent="0.25">
      <c r="A3609" s="83"/>
      <c r="B3609" s="84"/>
      <c r="C3609" s="84"/>
      <c r="D3609" s="116"/>
      <c r="E3609" s="116"/>
    </row>
    <row r="3610" spans="1:5" x14ac:dyDescent="0.25">
      <c r="A3610" s="83"/>
      <c r="B3610" s="84"/>
      <c r="C3610" s="84"/>
      <c r="D3610" s="116"/>
      <c r="E3610" s="116"/>
    </row>
    <row r="3611" spans="1:5" x14ac:dyDescent="0.25">
      <c r="A3611" s="83"/>
      <c r="B3611" s="84"/>
      <c r="C3611" s="84"/>
      <c r="D3611" s="116"/>
      <c r="E3611" s="116"/>
    </row>
    <row r="3612" spans="1:5" x14ac:dyDescent="0.25">
      <c r="A3612" s="83"/>
      <c r="B3612" s="84"/>
      <c r="C3612" s="84"/>
      <c r="D3612" s="116"/>
      <c r="E3612" s="116"/>
    </row>
    <row r="3613" spans="1:5" x14ac:dyDescent="0.25">
      <c r="A3613" s="83"/>
      <c r="B3613" s="84"/>
      <c r="C3613" s="84"/>
      <c r="D3613" s="116"/>
      <c r="E3613" s="116"/>
    </row>
    <row r="3614" spans="1:5" x14ac:dyDescent="0.25">
      <c r="A3614" s="83"/>
      <c r="B3614" s="84"/>
      <c r="C3614" s="84"/>
      <c r="D3614" s="116"/>
      <c r="E3614" s="116"/>
    </row>
    <row r="3615" spans="1:5" x14ac:dyDescent="0.25">
      <c r="A3615" s="83"/>
      <c r="B3615" s="84"/>
      <c r="C3615" s="84"/>
      <c r="D3615" s="116"/>
      <c r="E3615" s="116"/>
    </row>
    <row r="3616" spans="1:5" x14ac:dyDescent="0.25">
      <c r="A3616" s="83"/>
      <c r="B3616" s="84"/>
      <c r="C3616" s="84"/>
      <c r="D3616" s="116"/>
      <c r="E3616" s="116"/>
    </row>
    <row r="3617" spans="1:5" x14ac:dyDescent="0.25">
      <c r="A3617" s="83"/>
      <c r="B3617" s="84"/>
      <c r="C3617" s="84"/>
      <c r="D3617" s="116"/>
      <c r="E3617" s="116"/>
    </row>
    <row r="3618" spans="1:5" x14ac:dyDescent="0.25">
      <c r="A3618" s="83"/>
      <c r="B3618" s="84"/>
      <c r="C3618" s="84"/>
      <c r="D3618" s="116"/>
      <c r="E3618" s="116"/>
    </row>
    <row r="3619" spans="1:5" x14ac:dyDescent="0.25">
      <c r="A3619" s="83"/>
      <c r="B3619" s="84"/>
      <c r="C3619" s="84"/>
      <c r="D3619" s="116"/>
      <c r="E3619" s="116"/>
    </row>
    <row r="3620" spans="1:5" x14ac:dyDescent="0.25">
      <c r="A3620" s="83"/>
      <c r="B3620" s="84"/>
      <c r="C3620" s="84"/>
      <c r="D3620" s="116"/>
      <c r="E3620" s="116"/>
    </row>
    <row r="3621" spans="1:5" x14ac:dyDescent="0.25">
      <c r="A3621" s="83"/>
      <c r="B3621" s="84"/>
      <c r="C3621" s="84"/>
      <c r="D3621" s="116"/>
      <c r="E3621" s="116"/>
    </row>
    <row r="3622" spans="1:5" x14ac:dyDescent="0.25">
      <c r="A3622" s="83"/>
      <c r="B3622" s="84"/>
      <c r="C3622" s="84"/>
      <c r="D3622" s="116"/>
      <c r="E3622" s="116"/>
    </row>
    <row r="3623" spans="1:5" x14ac:dyDescent="0.25">
      <c r="A3623" s="83"/>
      <c r="B3623" s="84"/>
      <c r="C3623" s="84"/>
      <c r="D3623" s="116"/>
      <c r="E3623" s="116"/>
    </row>
    <row r="3624" spans="1:5" x14ac:dyDescent="0.25">
      <c r="A3624" s="83"/>
      <c r="B3624" s="84"/>
      <c r="C3624" s="84"/>
      <c r="D3624" s="116"/>
      <c r="E3624" s="116"/>
    </row>
    <row r="3625" spans="1:5" x14ac:dyDescent="0.25">
      <c r="A3625" s="83"/>
      <c r="B3625" s="84"/>
      <c r="C3625" s="84"/>
      <c r="D3625" s="116"/>
      <c r="E3625" s="116"/>
    </row>
    <row r="3626" spans="1:5" x14ac:dyDescent="0.25">
      <c r="A3626" s="83"/>
      <c r="B3626" s="84"/>
      <c r="C3626" s="84"/>
      <c r="D3626" s="116"/>
      <c r="E3626" s="116"/>
    </row>
    <row r="3627" spans="1:5" x14ac:dyDescent="0.25">
      <c r="A3627" s="83"/>
      <c r="B3627" s="84"/>
      <c r="C3627" s="84"/>
      <c r="D3627" s="116"/>
      <c r="E3627" s="116"/>
    </row>
    <row r="3628" spans="1:5" x14ac:dyDescent="0.25">
      <c r="A3628" s="83"/>
      <c r="B3628" s="84"/>
      <c r="C3628" s="84"/>
      <c r="D3628" s="116"/>
      <c r="E3628" s="116"/>
    </row>
    <row r="3629" spans="1:5" x14ac:dyDescent="0.25">
      <c r="A3629" s="83"/>
      <c r="B3629" s="84"/>
      <c r="C3629" s="84"/>
      <c r="D3629" s="116"/>
      <c r="E3629" s="116"/>
    </row>
    <row r="3630" spans="1:5" x14ac:dyDescent="0.25">
      <c r="A3630" s="83"/>
      <c r="B3630" s="84"/>
      <c r="C3630" s="84"/>
      <c r="D3630" s="116"/>
      <c r="E3630" s="116"/>
    </row>
    <row r="3631" spans="1:5" x14ac:dyDescent="0.25">
      <c r="A3631" s="83"/>
      <c r="B3631" s="84"/>
      <c r="C3631" s="84"/>
      <c r="D3631" s="116"/>
      <c r="E3631" s="116"/>
    </row>
    <row r="3632" spans="1:5" x14ac:dyDescent="0.25">
      <c r="A3632" s="83"/>
      <c r="B3632" s="84"/>
      <c r="C3632" s="84"/>
      <c r="D3632" s="116"/>
      <c r="E3632" s="116"/>
    </row>
    <row r="3633" spans="1:5" x14ac:dyDescent="0.25">
      <c r="A3633" s="83"/>
      <c r="B3633" s="84"/>
      <c r="C3633" s="84"/>
      <c r="D3633" s="116"/>
      <c r="E3633" s="116"/>
    </row>
    <row r="3634" spans="1:5" x14ac:dyDescent="0.25">
      <c r="A3634" s="83"/>
      <c r="B3634" s="84"/>
      <c r="C3634" s="84"/>
      <c r="D3634" s="116"/>
      <c r="E3634" s="116"/>
    </row>
    <row r="3635" spans="1:5" x14ac:dyDescent="0.25">
      <c r="A3635" s="83"/>
      <c r="B3635" s="84"/>
      <c r="C3635" s="84"/>
      <c r="D3635" s="116"/>
      <c r="E3635" s="116"/>
    </row>
    <row r="3636" spans="1:5" x14ac:dyDescent="0.25">
      <c r="A3636" s="83"/>
      <c r="B3636" s="84"/>
      <c r="C3636" s="84"/>
      <c r="D3636" s="116"/>
      <c r="E3636" s="116"/>
    </row>
    <row r="3637" spans="1:5" x14ac:dyDescent="0.25">
      <c r="A3637" s="83"/>
      <c r="B3637" s="84"/>
      <c r="C3637" s="84"/>
      <c r="D3637" s="116"/>
      <c r="E3637" s="116"/>
    </row>
    <row r="3638" spans="1:5" x14ac:dyDescent="0.25">
      <c r="A3638" s="83"/>
      <c r="B3638" s="84"/>
      <c r="C3638" s="84"/>
      <c r="D3638" s="116"/>
      <c r="E3638" s="116"/>
    </row>
    <row r="3639" spans="1:5" x14ac:dyDescent="0.25">
      <c r="A3639" s="83"/>
      <c r="B3639" s="84"/>
      <c r="C3639" s="84"/>
      <c r="D3639" s="116"/>
      <c r="E3639" s="116"/>
    </row>
    <row r="3640" spans="1:5" x14ac:dyDescent="0.25">
      <c r="A3640" s="83"/>
      <c r="B3640" s="84"/>
      <c r="C3640" s="84"/>
      <c r="D3640" s="116"/>
      <c r="E3640" s="116"/>
    </row>
    <row r="3641" spans="1:5" x14ac:dyDescent="0.25">
      <c r="A3641" s="83"/>
      <c r="B3641" s="84"/>
      <c r="C3641" s="84"/>
      <c r="D3641" s="116"/>
      <c r="E3641" s="116"/>
    </row>
    <row r="3642" spans="1:5" x14ac:dyDescent="0.25">
      <c r="A3642" s="83"/>
      <c r="B3642" s="84"/>
      <c r="C3642" s="84"/>
      <c r="D3642" s="116"/>
      <c r="E3642" s="116"/>
    </row>
    <row r="3643" spans="1:5" x14ac:dyDescent="0.25">
      <c r="A3643" s="83"/>
      <c r="B3643" s="84"/>
      <c r="C3643" s="84"/>
      <c r="D3643" s="116"/>
      <c r="E3643" s="116"/>
    </row>
    <row r="3644" spans="1:5" x14ac:dyDescent="0.25">
      <c r="A3644" s="83"/>
      <c r="B3644" s="84"/>
      <c r="C3644" s="84"/>
      <c r="D3644" s="116"/>
      <c r="E3644" s="116"/>
    </row>
    <row r="3645" spans="1:5" x14ac:dyDescent="0.25">
      <c r="A3645" s="83"/>
      <c r="B3645" s="84"/>
      <c r="C3645" s="84"/>
      <c r="D3645" s="116"/>
      <c r="E3645" s="116"/>
    </row>
    <row r="3646" spans="1:5" x14ac:dyDescent="0.25">
      <c r="A3646" s="83"/>
      <c r="B3646" s="84"/>
      <c r="C3646" s="84"/>
      <c r="D3646" s="116"/>
      <c r="E3646" s="116"/>
    </row>
    <row r="3647" spans="1:5" x14ac:dyDescent="0.25">
      <c r="A3647" s="83"/>
      <c r="B3647" s="84"/>
      <c r="C3647" s="84"/>
      <c r="D3647" s="116"/>
      <c r="E3647" s="116"/>
    </row>
    <row r="3648" spans="1:5" x14ac:dyDescent="0.25">
      <c r="A3648" s="83"/>
      <c r="B3648" s="84"/>
      <c r="C3648" s="84"/>
      <c r="D3648" s="116"/>
      <c r="E3648" s="116"/>
    </row>
    <row r="3649" spans="1:5" x14ac:dyDescent="0.25">
      <c r="A3649" s="83"/>
      <c r="B3649" s="84"/>
      <c r="C3649" s="84"/>
      <c r="D3649" s="116"/>
      <c r="E3649" s="116"/>
    </row>
    <row r="3650" spans="1:5" x14ac:dyDescent="0.25">
      <c r="A3650" s="83"/>
      <c r="B3650" s="84"/>
      <c r="C3650" s="84"/>
      <c r="D3650" s="116"/>
      <c r="E3650" s="116"/>
    </row>
    <row r="3651" spans="1:5" x14ac:dyDescent="0.25">
      <c r="A3651" s="83"/>
      <c r="B3651" s="84"/>
      <c r="C3651" s="84"/>
      <c r="D3651" s="116"/>
      <c r="E3651" s="116"/>
    </row>
    <row r="3652" spans="1:5" x14ac:dyDescent="0.25">
      <c r="A3652" s="83"/>
      <c r="B3652" s="84"/>
      <c r="C3652" s="84"/>
      <c r="D3652" s="116"/>
      <c r="E3652" s="116"/>
    </row>
    <row r="3653" spans="1:5" x14ac:dyDescent="0.25">
      <c r="A3653" s="83"/>
      <c r="B3653" s="84"/>
      <c r="C3653" s="84"/>
      <c r="D3653" s="116"/>
      <c r="E3653" s="116"/>
    </row>
    <row r="3654" spans="1:5" x14ac:dyDescent="0.25">
      <c r="A3654" s="83"/>
      <c r="B3654" s="84"/>
      <c r="C3654" s="84"/>
      <c r="D3654" s="116"/>
      <c r="E3654" s="116"/>
    </row>
    <row r="3655" spans="1:5" x14ac:dyDescent="0.25">
      <c r="A3655" s="83"/>
      <c r="B3655" s="84"/>
      <c r="C3655" s="84"/>
      <c r="D3655" s="116"/>
      <c r="E3655" s="116"/>
    </row>
    <row r="3656" spans="1:5" x14ac:dyDescent="0.25">
      <c r="A3656" s="83"/>
      <c r="B3656" s="84"/>
      <c r="C3656" s="84"/>
      <c r="D3656" s="116"/>
      <c r="E3656" s="116"/>
    </row>
    <row r="3657" spans="1:5" x14ac:dyDescent="0.25">
      <c r="A3657" s="83"/>
      <c r="B3657" s="84"/>
      <c r="C3657" s="84"/>
      <c r="D3657" s="116"/>
      <c r="E3657" s="116"/>
    </row>
    <row r="3658" spans="1:5" x14ac:dyDescent="0.25">
      <c r="A3658" s="83"/>
      <c r="B3658" s="84"/>
      <c r="C3658" s="84"/>
      <c r="D3658" s="116"/>
      <c r="E3658" s="116"/>
    </row>
    <row r="3659" spans="1:5" x14ac:dyDescent="0.25">
      <c r="A3659" s="83"/>
      <c r="B3659" s="84"/>
      <c r="C3659" s="84"/>
      <c r="D3659" s="116"/>
      <c r="E3659" s="116"/>
    </row>
    <row r="3660" spans="1:5" x14ac:dyDescent="0.25">
      <c r="A3660" s="83"/>
      <c r="B3660" s="84"/>
      <c r="C3660" s="84"/>
      <c r="D3660" s="116"/>
      <c r="E3660" s="116"/>
    </row>
    <row r="3661" spans="1:5" x14ac:dyDescent="0.25">
      <c r="A3661" s="83"/>
      <c r="B3661" s="84"/>
      <c r="C3661" s="84"/>
      <c r="D3661" s="116"/>
      <c r="E3661" s="116"/>
    </row>
    <row r="3662" spans="1:5" x14ac:dyDescent="0.25">
      <c r="A3662" s="83"/>
      <c r="B3662" s="84"/>
      <c r="C3662" s="84"/>
      <c r="D3662" s="116"/>
      <c r="E3662" s="116"/>
    </row>
    <row r="3663" spans="1:5" x14ac:dyDescent="0.25">
      <c r="A3663" s="83"/>
      <c r="B3663" s="84"/>
      <c r="C3663" s="84"/>
      <c r="D3663" s="116"/>
      <c r="E3663" s="116"/>
    </row>
    <row r="3664" spans="1:5" x14ac:dyDescent="0.25">
      <c r="A3664" s="83"/>
      <c r="B3664" s="84"/>
      <c r="C3664" s="84"/>
      <c r="D3664" s="116"/>
      <c r="E3664" s="116"/>
    </row>
    <row r="3665" spans="1:5" x14ac:dyDescent="0.25">
      <c r="A3665" s="83"/>
      <c r="B3665" s="84"/>
      <c r="C3665" s="84"/>
      <c r="D3665" s="116"/>
      <c r="E3665" s="116"/>
    </row>
    <row r="3666" spans="1:5" x14ac:dyDescent="0.25">
      <c r="A3666" s="83"/>
      <c r="B3666" s="84"/>
      <c r="C3666" s="84"/>
      <c r="D3666" s="116"/>
      <c r="E3666" s="116"/>
    </row>
    <row r="3667" spans="1:5" x14ac:dyDescent="0.25">
      <c r="A3667" s="83"/>
      <c r="B3667" s="84"/>
      <c r="C3667" s="84"/>
      <c r="D3667" s="116"/>
      <c r="E3667" s="116"/>
    </row>
    <row r="3668" spans="1:5" x14ac:dyDescent="0.25">
      <c r="A3668" s="83"/>
      <c r="B3668" s="84"/>
      <c r="C3668" s="84"/>
      <c r="D3668" s="116"/>
      <c r="E3668" s="116"/>
    </row>
    <row r="3669" spans="1:5" x14ac:dyDescent="0.25">
      <c r="A3669" s="83"/>
      <c r="B3669" s="84"/>
      <c r="C3669" s="84"/>
      <c r="D3669" s="116"/>
      <c r="E3669" s="116"/>
    </row>
    <row r="3670" spans="1:5" x14ac:dyDescent="0.25">
      <c r="A3670" s="83"/>
      <c r="B3670" s="84"/>
      <c r="C3670" s="84"/>
      <c r="D3670" s="116"/>
      <c r="E3670" s="116"/>
    </row>
    <row r="3671" spans="1:5" x14ac:dyDescent="0.25">
      <c r="A3671" s="83"/>
      <c r="B3671" s="84"/>
      <c r="C3671" s="84"/>
      <c r="D3671" s="116"/>
      <c r="E3671" s="116"/>
    </row>
    <row r="3672" spans="1:5" x14ac:dyDescent="0.25">
      <c r="A3672" s="83"/>
      <c r="B3672" s="84"/>
      <c r="C3672" s="84"/>
      <c r="D3672" s="116"/>
      <c r="E3672" s="116"/>
    </row>
    <row r="3673" spans="1:5" x14ac:dyDescent="0.25">
      <c r="A3673" s="83"/>
      <c r="B3673" s="84"/>
      <c r="C3673" s="84"/>
      <c r="D3673" s="116"/>
      <c r="E3673" s="116"/>
    </row>
    <row r="3674" spans="1:5" x14ac:dyDescent="0.25">
      <c r="A3674" s="83"/>
      <c r="B3674" s="84"/>
      <c r="C3674" s="84"/>
      <c r="D3674" s="116"/>
      <c r="E3674" s="116"/>
    </row>
    <row r="3675" spans="1:5" x14ac:dyDescent="0.25">
      <c r="A3675" s="83"/>
      <c r="B3675" s="84"/>
      <c r="C3675" s="84"/>
      <c r="D3675" s="116"/>
      <c r="E3675" s="116"/>
    </row>
    <row r="3676" spans="1:5" x14ac:dyDescent="0.25">
      <c r="A3676" s="83"/>
      <c r="B3676" s="84"/>
      <c r="C3676" s="84"/>
      <c r="D3676" s="116"/>
      <c r="E3676" s="116"/>
    </row>
    <row r="3677" spans="1:5" x14ac:dyDescent="0.25">
      <c r="A3677" s="83"/>
      <c r="B3677" s="84"/>
      <c r="C3677" s="84"/>
      <c r="D3677" s="116"/>
      <c r="E3677" s="116"/>
    </row>
    <row r="3678" spans="1:5" x14ac:dyDescent="0.25">
      <c r="A3678" s="83"/>
      <c r="B3678" s="84"/>
      <c r="C3678" s="84"/>
      <c r="D3678" s="116"/>
      <c r="E3678" s="116"/>
    </row>
    <row r="3679" spans="1:5" x14ac:dyDescent="0.25">
      <c r="A3679" s="83"/>
      <c r="B3679" s="84"/>
      <c r="C3679" s="84"/>
      <c r="D3679" s="116"/>
      <c r="E3679" s="116"/>
    </row>
    <row r="3680" spans="1:5" x14ac:dyDescent="0.25">
      <c r="A3680" s="83"/>
      <c r="B3680" s="84"/>
      <c r="C3680" s="84"/>
      <c r="D3680" s="116"/>
      <c r="E3680" s="116"/>
    </row>
    <row r="3681" spans="1:5" x14ac:dyDescent="0.25">
      <c r="A3681" s="83"/>
      <c r="B3681" s="84"/>
      <c r="C3681" s="84"/>
      <c r="D3681" s="116"/>
      <c r="E3681" s="116"/>
    </row>
    <row r="3682" spans="1:5" x14ac:dyDescent="0.25">
      <c r="A3682" s="83"/>
      <c r="B3682" s="84"/>
      <c r="C3682" s="84"/>
      <c r="D3682" s="116"/>
      <c r="E3682" s="116"/>
    </row>
    <row r="3683" spans="1:5" x14ac:dyDescent="0.25">
      <c r="A3683" s="83"/>
      <c r="B3683" s="84"/>
      <c r="C3683" s="84"/>
      <c r="D3683" s="116"/>
      <c r="E3683" s="116"/>
    </row>
    <row r="3684" spans="1:5" x14ac:dyDescent="0.25">
      <c r="A3684" s="83"/>
      <c r="B3684" s="84"/>
      <c r="C3684" s="84"/>
      <c r="D3684" s="116"/>
      <c r="E3684" s="116"/>
    </row>
    <row r="3685" spans="1:5" x14ac:dyDescent="0.25">
      <c r="A3685" s="83"/>
      <c r="B3685" s="84"/>
      <c r="C3685" s="84"/>
      <c r="D3685" s="116"/>
      <c r="E3685" s="116"/>
    </row>
    <row r="3686" spans="1:5" x14ac:dyDescent="0.25">
      <c r="A3686" s="83"/>
      <c r="B3686" s="84"/>
      <c r="C3686" s="84"/>
      <c r="D3686" s="116"/>
      <c r="E3686" s="116"/>
    </row>
    <row r="3687" spans="1:5" x14ac:dyDescent="0.25">
      <c r="A3687" s="83"/>
      <c r="B3687" s="84"/>
      <c r="C3687" s="84"/>
      <c r="D3687" s="116"/>
      <c r="E3687" s="116"/>
    </row>
    <row r="3688" spans="1:5" x14ac:dyDescent="0.25">
      <c r="A3688" s="83"/>
      <c r="B3688" s="84"/>
      <c r="C3688" s="84"/>
      <c r="D3688" s="116"/>
      <c r="E3688" s="116"/>
    </row>
    <row r="3689" spans="1:5" x14ac:dyDescent="0.25">
      <c r="A3689" s="83"/>
      <c r="B3689" s="84"/>
      <c r="C3689" s="84"/>
      <c r="D3689" s="116"/>
      <c r="E3689" s="116"/>
    </row>
    <row r="3690" spans="1:5" x14ac:dyDescent="0.25">
      <c r="A3690" s="83"/>
      <c r="B3690" s="84"/>
      <c r="C3690" s="84"/>
      <c r="D3690" s="116"/>
      <c r="E3690" s="116"/>
    </row>
    <row r="3691" spans="1:5" x14ac:dyDescent="0.25">
      <c r="A3691" s="83"/>
      <c r="B3691" s="84"/>
      <c r="C3691" s="84"/>
      <c r="D3691" s="116"/>
      <c r="E3691" s="116"/>
    </row>
    <row r="3692" spans="1:5" x14ac:dyDescent="0.25">
      <c r="A3692" s="83"/>
      <c r="B3692" s="84"/>
      <c r="C3692" s="84"/>
      <c r="D3692" s="116"/>
      <c r="E3692" s="116"/>
    </row>
    <row r="3693" spans="1:5" x14ac:dyDescent="0.25">
      <c r="A3693" s="83"/>
      <c r="B3693" s="84"/>
      <c r="C3693" s="84"/>
      <c r="D3693" s="116"/>
      <c r="E3693" s="116"/>
    </row>
    <row r="3694" spans="1:5" x14ac:dyDescent="0.25">
      <c r="A3694" s="83"/>
      <c r="B3694" s="84"/>
      <c r="C3694" s="84"/>
      <c r="D3694" s="116"/>
      <c r="E3694" s="116"/>
    </row>
    <row r="3695" spans="1:5" x14ac:dyDescent="0.25">
      <c r="A3695" s="83"/>
      <c r="B3695" s="84"/>
      <c r="C3695" s="84"/>
      <c r="D3695" s="116"/>
      <c r="E3695" s="116"/>
    </row>
    <row r="3696" spans="1:5" x14ac:dyDescent="0.25">
      <c r="A3696" s="83"/>
      <c r="B3696" s="84"/>
      <c r="C3696" s="84"/>
      <c r="D3696" s="116"/>
      <c r="E3696" s="116"/>
    </row>
    <row r="3697" spans="1:5" x14ac:dyDescent="0.25">
      <c r="A3697" s="83"/>
      <c r="B3697" s="84"/>
      <c r="C3697" s="84"/>
      <c r="D3697" s="116"/>
      <c r="E3697" s="116"/>
    </row>
    <row r="3698" spans="1:5" x14ac:dyDescent="0.25">
      <c r="A3698" s="83"/>
      <c r="B3698" s="84"/>
      <c r="C3698" s="84"/>
      <c r="D3698" s="116"/>
      <c r="E3698" s="116"/>
    </row>
    <row r="3699" spans="1:5" x14ac:dyDescent="0.25">
      <c r="A3699" s="83"/>
      <c r="B3699" s="84"/>
      <c r="C3699" s="84"/>
      <c r="D3699" s="116"/>
      <c r="E3699" s="116"/>
    </row>
    <row r="3700" spans="1:5" x14ac:dyDescent="0.25">
      <c r="A3700" s="83"/>
      <c r="B3700" s="84"/>
      <c r="C3700" s="84"/>
      <c r="D3700" s="116"/>
      <c r="E3700" s="116"/>
    </row>
    <row r="3701" spans="1:5" x14ac:dyDescent="0.25">
      <c r="A3701" s="83"/>
      <c r="B3701" s="84"/>
      <c r="C3701" s="84"/>
      <c r="D3701" s="116"/>
      <c r="E3701" s="116"/>
    </row>
    <row r="3702" spans="1:5" x14ac:dyDescent="0.25">
      <c r="A3702" s="83"/>
      <c r="B3702" s="84"/>
      <c r="C3702" s="84"/>
      <c r="D3702" s="116"/>
      <c r="E3702" s="116"/>
    </row>
    <row r="3703" spans="1:5" x14ac:dyDescent="0.25">
      <c r="A3703" s="83"/>
      <c r="B3703" s="84"/>
      <c r="C3703" s="84"/>
      <c r="D3703" s="116"/>
      <c r="E3703" s="116"/>
    </row>
    <row r="3704" spans="1:5" x14ac:dyDescent="0.25">
      <c r="A3704" s="83"/>
      <c r="B3704" s="84"/>
      <c r="C3704" s="84"/>
      <c r="D3704" s="116"/>
      <c r="E3704" s="116"/>
    </row>
    <row r="3705" spans="1:5" x14ac:dyDescent="0.25">
      <c r="A3705" s="83"/>
      <c r="B3705" s="84"/>
      <c r="C3705" s="84"/>
      <c r="D3705" s="116"/>
      <c r="E3705" s="116"/>
    </row>
    <row r="3706" spans="1:5" x14ac:dyDescent="0.25">
      <c r="A3706" s="83"/>
      <c r="B3706" s="84"/>
      <c r="C3706" s="84"/>
      <c r="D3706" s="116"/>
      <c r="E3706" s="116"/>
    </row>
    <row r="3707" spans="1:5" x14ac:dyDescent="0.25">
      <c r="A3707" s="83"/>
      <c r="B3707" s="84"/>
      <c r="C3707" s="84"/>
      <c r="D3707" s="116"/>
      <c r="E3707" s="116"/>
    </row>
    <row r="3708" spans="1:5" x14ac:dyDescent="0.25">
      <c r="A3708" s="83"/>
      <c r="B3708" s="84"/>
      <c r="C3708" s="84"/>
      <c r="D3708" s="116"/>
      <c r="E3708" s="116"/>
    </row>
    <row r="3709" spans="1:5" x14ac:dyDescent="0.25">
      <c r="A3709" s="83"/>
      <c r="B3709" s="84"/>
      <c r="C3709" s="84"/>
      <c r="D3709" s="116"/>
      <c r="E3709" s="116"/>
    </row>
    <row r="3710" spans="1:5" x14ac:dyDescent="0.25">
      <c r="A3710" s="83"/>
      <c r="B3710" s="84"/>
      <c r="C3710" s="84"/>
      <c r="D3710" s="116"/>
      <c r="E3710" s="116"/>
    </row>
    <row r="3711" spans="1:5" x14ac:dyDescent="0.25">
      <c r="A3711" s="83"/>
      <c r="B3711" s="84"/>
      <c r="C3711" s="84"/>
      <c r="D3711" s="116"/>
      <c r="E3711" s="116"/>
    </row>
    <row r="3712" spans="1:5" x14ac:dyDescent="0.25">
      <c r="A3712" s="83"/>
      <c r="B3712" s="84"/>
      <c r="C3712" s="84"/>
      <c r="D3712" s="116"/>
      <c r="E3712" s="116"/>
    </row>
    <row r="3713" spans="1:5" x14ac:dyDescent="0.25">
      <c r="A3713" s="83"/>
      <c r="B3713" s="84"/>
      <c r="C3713" s="84"/>
      <c r="D3713" s="116"/>
      <c r="E3713" s="116"/>
    </row>
    <row r="3714" spans="1:5" x14ac:dyDescent="0.25">
      <c r="A3714" s="83"/>
      <c r="B3714" s="84"/>
      <c r="C3714" s="84"/>
      <c r="D3714" s="116"/>
      <c r="E3714" s="116"/>
    </row>
    <row r="3715" spans="1:5" x14ac:dyDescent="0.25">
      <c r="A3715" s="83"/>
      <c r="B3715" s="84"/>
      <c r="C3715" s="84"/>
      <c r="D3715" s="116"/>
      <c r="E3715" s="116"/>
    </row>
    <row r="3716" spans="1:5" x14ac:dyDescent="0.25">
      <c r="A3716" s="83"/>
      <c r="B3716" s="84"/>
      <c r="C3716" s="84"/>
      <c r="D3716" s="116"/>
      <c r="E3716" s="116"/>
    </row>
    <row r="3717" spans="1:5" x14ac:dyDescent="0.25">
      <c r="A3717" s="83"/>
      <c r="B3717" s="84"/>
      <c r="C3717" s="84"/>
      <c r="D3717" s="116"/>
      <c r="E3717" s="116"/>
    </row>
    <row r="3718" spans="1:5" x14ac:dyDescent="0.25">
      <c r="A3718" s="83"/>
      <c r="B3718" s="84"/>
      <c r="C3718" s="84"/>
      <c r="D3718" s="116"/>
      <c r="E3718" s="116"/>
    </row>
    <row r="3719" spans="1:5" x14ac:dyDescent="0.25">
      <c r="A3719" s="83"/>
      <c r="B3719" s="84"/>
      <c r="C3719" s="84"/>
      <c r="D3719" s="116"/>
      <c r="E3719" s="116"/>
    </row>
    <row r="3720" spans="1:5" x14ac:dyDescent="0.25">
      <c r="A3720" s="83"/>
      <c r="B3720" s="84"/>
      <c r="C3720" s="84"/>
      <c r="D3720" s="116"/>
      <c r="E3720" s="116"/>
    </row>
    <row r="3721" spans="1:5" x14ac:dyDescent="0.25">
      <c r="A3721" s="83"/>
      <c r="B3721" s="84"/>
      <c r="C3721" s="84"/>
      <c r="D3721" s="116"/>
      <c r="E3721" s="116"/>
    </row>
    <row r="3722" spans="1:5" x14ac:dyDescent="0.25">
      <c r="A3722" s="83"/>
      <c r="B3722" s="84"/>
      <c r="C3722" s="84"/>
      <c r="D3722" s="116"/>
      <c r="E3722" s="116"/>
    </row>
    <row r="3723" spans="1:5" x14ac:dyDescent="0.25">
      <c r="A3723" s="83"/>
      <c r="B3723" s="84"/>
      <c r="C3723" s="84"/>
      <c r="D3723" s="116"/>
      <c r="E3723" s="116"/>
    </row>
    <row r="3724" spans="1:5" x14ac:dyDescent="0.25">
      <c r="A3724" s="83"/>
      <c r="B3724" s="84"/>
      <c r="C3724" s="84"/>
      <c r="D3724" s="116"/>
      <c r="E3724" s="116"/>
    </row>
    <row r="3725" spans="1:5" x14ac:dyDescent="0.25">
      <c r="A3725" s="83"/>
      <c r="B3725" s="84"/>
      <c r="C3725" s="84"/>
      <c r="D3725" s="116"/>
      <c r="E3725" s="116"/>
    </row>
    <row r="3726" spans="1:5" x14ac:dyDescent="0.25">
      <c r="A3726" s="83"/>
      <c r="B3726" s="84"/>
      <c r="C3726" s="84"/>
      <c r="D3726" s="116"/>
      <c r="E3726" s="116"/>
    </row>
    <row r="3727" spans="1:5" x14ac:dyDescent="0.25">
      <c r="A3727" s="83"/>
      <c r="B3727" s="84"/>
      <c r="C3727" s="84"/>
      <c r="D3727" s="116"/>
      <c r="E3727" s="116"/>
    </row>
    <row r="3728" spans="1:5" x14ac:dyDescent="0.25">
      <c r="A3728" s="83"/>
      <c r="B3728" s="84"/>
      <c r="C3728" s="84"/>
      <c r="D3728" s="116"/>
      <c r="E3728" s="116"/>
    </row>
    <row r="3729" spans="1:5" x14ac:dyDescent="0.25">
      <c r="A3729" s="83"/>
      <c r="B3729" s="84"/>
      <c r="C3729" s="84"/>
      <c r="D3729" s="116"/>
      <c r="E3729" s="116"/>
    </row>
    <row r="3730" spans="1:5" x14ac:dyDescent="0.25">
      <c r="A3730" s="83"/>
      <c r="B3730" s="84"/>
      <c r="C3730" s="84"/>
      <c r="D3730" s="116"/>
      <c r="E3730" s="116"/>
    </row>
    <row r="3731" spans="1:5" x14ac:dyDescent="0.25">
      <c r="A3731" s="83"/>
      <c r="B3731" s="84"/>
      <c r="C3731" s="84"/>
      <c r="D3731" s="116"/>
      <c r="E3731" s="116"/>
    </row>
    <row r="3732" spans="1:5" x14ac:dyDescent="0.25">
      <c r="A3732" s="83"/>
      <c r="B3732" s="84"/>
      <c r="C3732" s="84"/>
      <c r="D3732" s="116"/>
      <c r="E3732" s="116"/>
    </row>
    <row r="3733" spans="1:5" x14ac:dyDescent="0.25">
      <c r="A3733" s="83"/>
      <c r="B3733" s="84"/>
      <c r="C3733" s="84"/>
      <c r="D3733" s="116"/>
      <c r="E3733" s="116"/>
    </row>
    <row r="3734" spans="1:5" x14ac:dyDescent="0.25">
      <c r="A3734" s="83"/>
      <c r="B3734" s="84"/>
      <c r="C3734" s="84"/>
      <c r="D3734" s="116"/>
      <c r="E3734" s="116"/>
    </row>
    <row r="3735" spans="1:5" x14ac:dyDescent="0.25">
      <c r="A3735" s="83"/>
      <c r="B3735" s="84"/>
      <c r="C3735" s="84"/>
      <c r="D3735" s="116"/>
      <c r="E3735" s="116"/>
    </row>
    <row r="3736" spans="1:5" x14ac:dyDescent="0.25">
      <c r="A3736" s="83"/>
      <c r="B3736" s="84"/>
      <c r="C3736" s="84"/>
      <c r="D3736" s="116"/>
      <c r="E3736" s="116"/>
    </row>
    <row r="3737" spans="1:5" x14ac:dyDescent="0.25">
      <c r="A3737" s="83"/>
      <c r="B3737" s="84"/>
      <c r="C3737" s="84"/>
      <c r="D3737" s="116"/>
      <c r="E3737" s="116"/>
    </row>
    <row r="3738" spans="1:5" x14ac:dyDescent="0.25">
      <c r="A3738" s="83"/>
      <c r="B3738" s="84"/>
      <c r="C3738" s="84"/>
      <c r="D3738" s="116"/>
      <c r="E3738" s="116"/>
    </row>
    <row r="3739" spans="1:5" x14ac:dyDescent="0.25">
      <c r="A3739" s="83"/>
      <c r="B3739" s="84"/>
      <c r="C3739" s="84"/>
      <c r="D3739" s="116"/>
      <c r="E3739" s="116"/>
    </row>
    <row r="3740" spans="1:5" x14ac:dyDescent="0.25">
      <c r="A3740" s="83"/>
      <c r="B3740" s="84"/>
      <c r="C3740" s="84"/>
      <c r="D3740" s="116"/>
      <c r="E3740" s="116"/>
    </row>
    <row r="3741" spans="1:5" x14ac:dyDescent="0.25">
      <c r="A3741" s="83"/>
      <c r="B3741" s="84"/>
      <c r="C3741" s="84"/>
      <c r="D3741" s="116"/>
      <c r="E3741" s="116"/>
    </row>
    <row r="3742" spans="1:5" x14ac:dyDescent="0.25">
      <c r="A3742" s="83"/>
      <c r="B3742" s="84"/>
      <c r="C3742" s="84"/>
      <c r="D3742" s="116"/>
      <c r="E3742" s="116"/>
    </row>
    <row r="3743" spans="1:5" x14ac:dyDescent="0.25">
      <c r="A3743" s="83"/>
      <c r="B3743" s="84"/>
      <c r="C3743" s="84"/>
      <c r="D3743" s="116"/>
      <c r="E3743" s="116"/>
    </row>
    <row r="3744" spans="1:5" x14ac:dyDescent="0.25">
      <c r="A3744" s="83"/>
      <c r="B3744" s="84"/>
      <c r="C3744" s="84"/>
      <c r="D3744" s="116"/>
      <c r="E3744" s="116"/>
    </row>
    <row r="3745" spans="1:5" x14ac:dyDescent="0.25">
      <c r="A3745" s="83"/>
      <c r="B3745" s="84"/>
      <c r="C3745" s="84"/>
      <c r="D3745" s="116"/>
      <c r="E3745" s="116"/>
    </row>
    <row r="3746" spans="1:5" x14ac:dyDescent="0.25">
      <c r="A3746" s="83"/>
      <c r="B3746" s="84"/>
      <c r="C3746" s="84"/>
      <c r="D3746" s="116"/>
      <c r="E3746" s="116"/>
    </row>
    <row r="3747" spans="1:5" x14ac:dyDescent="0.25">
      <c r="A3747" s="83"/>
      <c r="B3747" s="84"/>
      <c r="C3747" s="84"/>
      <c r="D3747" s="116"/>
      <c r="E3747" s="116"/>
    </row>
    <row r="3748" spans="1:5" x14ac:dyDescent="0.25">
      <c r="A3748" s="83"/>
      <c r="B3748" s="84"/>
      <c r="C3748" s="84"/>
      <c r="D3748" s="116"/>
      <c r="E3748" s="116"/>
    </row>
    <row r="3749" spans="1:5" x14ac:dyDescent="0.25">
      <c r="A3749" s="83"/>
      <c r="B3749" s="84"/>
      <c r="C3749" s="84"/>
      <c r="D3749" s="116"/>
      <c r="E3749" s="116"/>
    </row>
    <row r="3750" spans="1:5" x14ac:dyDescent="0.25">
      <c r="A3750" s="83"/>
      <c r="B3750" s="84"/>
      <c r="C3750" s="84"/>
      <c r="D3750" s="116"/>
      <c r="E3750" s="116"/>
    </row>
    <row r="3751" spans="1:5" x14ac:dyDescent="0.25">
      <c r="A3751" s="83"/>
      <c r="B3751" s="84"/>
      <c r="C3751" s="84"/>
      <c r="D3751" s="116"/>
      <c r="E3751" s="116"/>
    </row>
    <row r="3752" spans="1:5" x14ac:dyDescent="0.25">
      <c r="A3752" s="83"/>
      <c r="B3752" s="84"/>
      <c r="C3752" s="84"/>
      <c r="D3752" s="116"/>
      <c r="E3752" s="116"/>
    </row>
    <row r="3753" spans="1:5" x14ac:dyDescent="0.25">
      <c r="A3753" s="83"/>
      <c r="B3753" s="84"/>
      <c r="C3753" s="84"/>
      <c r="D3753" s="116"/>
      <c r="E3753" s="116"/>
    </row>
    <row r="3754" spans="1:5" x14ac:dyDescent="0.25">
      <c r="A3754" s="83"/>
      <c r="B3754" s="84"/>
      <c r="C3754" s="84"/>
      <c r="D3754" s="116"/>
      <c r="E3754" s="116"/>
    </row>
    <row r="3755" spans="1:5" x14ac:dyDescent="0.25">
      <c r="A3755" s="83"/>
      <c r="B3755" s="84"/>
      <c r="C3755" s="84"/>
      <c r="D3755" s="116"/>
      <c r="E3755" s="116"/>
    </row>
    <row r="3756" spans="1:5" x14ac:dyDescent="0.25">
      <c r="A3756" s="83"/>
      <c r="B3756" s="84"/>
      <c r="C3756" s="84"/>
      <c r="D3756" s="116"/>
      <c r="E3756" s="116"/>
    </row>
    <row r="3757" spans="1:5" x14ac:dyDescent="0.25">
      <c r="A3757" s="83"/>
      <c r="B3757" s="84"/>
      <c r="C3757" s="84"/>
      <c r="D3757" s="116"/>
      <c r="E3757" s="116"/>
    </row>
    <row r="3758" spans="1:5" x14ac:dyDescent="0.25">
      <c r="A3758" s="83"/>
      <c r="B3758" s="84"/>
      <c r="C3758" s="84"/>
      <c r="D3758" s="116"/>
      <c r="E3758" s="116"/>
    </row>
    <row r="3759" spans="1:5" x14ac:dyDescent="0.25">
      <c r="A3759" s="83"/>
      <c r="B3759" s="84"/>
      <c r="C3759" s="84"/>
      <c r="D3759" s="116"/>
      <c r="E3759" s="116"/>
    </row>
    <row r="3760" spans="1:5" x14ac:dyDescent="0.25">
      <c r="A3760" s="83"/>
      <c r="B3760" s="84"/>
      <c r="C3760" s="84"/>
      <c r="D3760" s="116"/>
      <c r="E3760" s="116"/>
    </row>
    <row r="3761" spans="1:5" x14ac:dyDescent="0.25">
      <c r="A3761" s="83"/>
      <c r="B3761" s="84"/>
      <c r="C3761" s="84"/>
      <c r="D3761" s="116"/>
      <c r="E3761" s="116"/>
    </row>
    <row r="3762" spans="1:5" x14ac:dyDescent="0.25">
      <c r="A3762" s="83"/>
      <c r="B3762" s="84"/>
      <c r="C3762" s="84"/>
      <c r="D3762" s="116"/>
      <c r="E3762" s="116"/>
    </row>
    <row r="3763" spans="1:5" x14ac:dyDescent="0.25">
      <c r="A3763" s="83"/>
      <c r="B3763" s="84"/>
      <c r="C3763" s="84"/>
      <c r="D3763" s="116"/>
      <c r="E3763" s="116"/>
    </row>
    <row r="3764" spans="1:5" x14ac:dyDescent="0.25">
      <c r="A3764" s="83"/>
      <c r="B3764" s="84"/>
      <c r="C3764" s="84"/>
      <c r="D3764" s="116"/>
      <c r="E3764" s="116"/>
    </row>
    <row r="3765" spans="1:5" x14ac:dyDescent="0.25">
      <c r="A3765" s="83"/>
      <c r="B3765" s="84"/>
      <c r="C3765" s="84"/>
      <c r="D3765" s="116"/>
      <c r="E3765" s="116"/>
    </row>
    <row r="3766" spans="1:5" x14ac:dyDescent="0.25">
      <c r="A3766" s="83"/>
      <c r="B3766" s="84"/>
      <c r="C3766" s="84"/>
      <c r="D3766" s="116"/>
      <c r="E3766" s="116"/>
    </row>
    <row r="3767" spans="1:5" x14ac:dyDescent="0.25">
      <c r="A3767" s="83"/>
      <c r="B3767" s="84"/>
      <c r="C3767" s="84"/>
      <c r="D3767" s="116"/>
      <c r="E3767" s="116"/>
    </row>
    <row r="3768" spans="1:5" x14ac:dyDescent="0.25">
      <c r="A3768" s="83"/>
      <c r="B3768" s="84"/>
      <c r="C3768" s="84"/>
      <c r="D3768" s="116"/>
      <c r="E3768" s="116"/>
    </row>
    <row r="3769" spans="1:5" x14ac:dyDescent="0.25">
      <c r="A3769" s="83"/>
      <c r="B3769" s="84"/>
      <c r="C3769" s="84"/>
      <c r="D3769" s="116"/>
      <c r="E3769" s="116"/>
    </row>
    <row r="3770" spans="1:5" x14ac:dyDescent="0.25">
      <c r="A3770" s="83"/>
      <c r="B3770" s="84"/>
      <c r="C3770" s="84"/>
      <c r="D3770" s="116"/>
      <c r="E3770" s="116"/>
    </row>
    <row r="3771" spans="1:5" x14ac:dyDescent="0.25">
      <c r="A3771" s="83"/>
      <c r="B3771" s="84"/>
      <c r="C3771" s="84"/>
      <c r="D3771" s="116"/>
      <c r="E3771" s="116"/>
    </row>
    <row r="3772" spans="1:5" x14ac:dyDescent="0.25">
      <c r="A3772" s="83"/>
      <c r="B3772" s="84"/>
      <c r="C3772" s="84"/>
      <c r="D3772" s="116"/>
      <c r="E3772" s="116"/>
    </row>
    <row r="3773" spans="1:5" x14ac:dyDescent="0.25">
      <c r="A3773" s="83"/>
      <c r="B3773" s="84"/>
      <c r="C3773" s="84"/>
      <c r="D3773" s="116"/>
      <c r="E3773" s="116"/>
    </row>
    <row r="3774" spans="1:5" x14ac:dyDescent="0.25">
      <c r="A3774" s="83"/>
      <c r="B3774" s="84"/>
      <c r="C3774" s="84"/>
      <c r="D3774" s="116"/>
      <c r="E3774" s="116"/>
    </row>
    <row r="3775" spans="1:5" x14ac:dyDescent="0.25">
      <c r="A3775" s="83"/>
      <c r="B3775" s="84"/>
      <c r="C3775" s="84"/>
      <c r="D3775" s="116"/>
      <c r="E3775" s="116"/>
    </row>
    <row r="3776" spans="1:5" x14ac:dyDescent="0.25">
      <c r="A3776" s="83"/>
      <c r="B3776" s="84"/>
      <c r="C3776" s="84"/>
      <c r="D3776" s="116"/>
      <c r="E3776" s="116"/>
    </row>
    <row r="3777" spans="1:5" x14ac:dyDescent="0.25">
      <c r="A3777" s="83"/>
      <c r="B3777" s="84"/>
      <c r="C3777" s="84"/>
      <c r="D3777" s="116"/>
      <c r="E3777" s="116"/>
    </row>
    <row r="3778" spans="1:5" x14ac:dyDescent="0.25">
      <c r="A3778" s="83"/>
      <c r="B3778" s="84"/>
      <c r="C3778" s="84"/>
      <c r="D3778" s="116"/>
      <c r="E3778" s="116"/>
    </row>
    <row r="3779" spans="1:5" x14ac:dyDescent="0.25">
      <c r="A3779" s="83"/>
      <c r="B3779" s="84"/>
      <c r="C3779" s="84"/>
      <c r="D3779" s="116"/>
      <c r="E3779" s="116"/>
    </row>
    <row r="3780" spans="1:5" x14ac:dyDescent="0.25">
      <c r="A3780" s="83"/>
      <c r="B3780" s="84"/>
      <c r="C3780" s="84"/>
      <c r="D3780" s="116"/>
      <c r="E3780" s="116"/>
    </row>
    <row r="3781" spans="1:5" x14ac:dyDescent="0.25">
      <c r="A3781" s="83"/>
      <c r="B3781" s="84"/>
      <c r="C3781" s="84"/>
      <c r="D3781" s="116"/>
      <c r="E3781" s="116"/>
    </row>
    <row r="3782" spans="1:5" x14ac:dyDescent="0.25">
      <c r="A3782" s="83"/>
      <c r="B3782" s="84"/>
      <c r="C3782" s="84"/>
      <c r="D3782" s="116"/>
      <c r="E3782" s="116"/>
    </row>
    <row r="3783" spans="1:5" x14ac:dyDescent="0.25">
      <c r="A3783" s="83"/>
      <c r="B3783" s="84"/>
      <c r="C3783" s="84"/>
      <c r="D3783" s="116"/>
      <c r="E3783" s="116"/>
    </row>
    <row r="3784" spans="1:5" x14ac:dyDescent="0.25">
      <c r="A3784" s="83"/>
      <c r="B3784" s="84"/>
      <c r="C3784" s="84"/>
      <c r="D3784" s="116"/>
      <c r="E3784" s="116"/>
    </row>
    <row r="3785" spans="1:5" x14ac:dyDescent="0.25">
      <c r="A3785" s="83"/>
      <c r="B3785" s="84"/>
      <c r="C3785" s="84"/>
      <c r="D3785" s="116"/>
      <c r="E3785" s="116"/>
    </row>
    <row r="3786" spans="1:5" x14ac:dyDescent="0.25">
      <c r="A3786" s="83"/>
      <c r="B3786" s="84"/>
      <c r="C3786" s="84"/>
      <c r="D3786" s="116"/>
      <c r="E3786" s="116"/>
    </row>
    <row r="3787" spans="1:5" x14ac:dyDescent="0.25">
      <c r="A3787" s="83"/>
      <c r="B3787" s="84"/>
      <c r="C3787" s="84"/>
      <c r="D3787" s="116"/>
      <c r="E3787" s="116"/>
    </row>
    <row r="3788" spans="1:5" x14ac:dyDescent="0.25">
      <c r="A3788" s="83"/>
      <c r="B3788" s="84"/>
      <c r="C3788" s="84"/>
      <c r="D3788" s="116"/>
      <c r="E3788" s="116"/>
    </row>
    <row r="3789" spans="1:5" x14ac:dyDescent="0.25">
      <c r="A3789" s="83"/>
      <c r="B3789" s="84"/>
      <c r="C3789" s="84"/>
      <c r="D3789" s="116"/>
      <c r="E3789" s="116"/>
    </row>
    <row r="3790" spans="1:5" x14ac:dyDescent="0.25">
      <c r="A3790" s="83"/>
      <c r="B3790" s="84"/>
      <c r="C3790" s="84"/>
      <c r="D3790" s="116"/>
      <c r="E3790" s="116"/>
    </row>
    <row r="3791" spans="1:5" x14ac:dyDescent="0.25">
      <c r="A3791" s="83"/>
      <c r="B3791" s="84"/>
      <c r="C3791" s="84"/>
      <c r="D3791" s="116"/>
      <c r="E3791" s="116"/>
    </row>
    <row r="3792" spans="1:5" x14ac:dyDescent="0.25">
      <c r="A3792" s="83"/>
      <c r="B3792" s="84"/>
      <c r="C3792" s="84"/>
      <c r="D3792" s="116"/>
      <c r="E3792" s="116"/>
    </row>
    <row r="3793" spans="1:5" x14ac:dyDescent="0.25">
      <c r="A3793" s="83"/>
      <c r="B3793" s="84"/>
      <c r="C3793" s="84"/>
      <c r="D3793" s="116"/>
      <c r="E3793" s="116"/>
    </row>
    <row r="3794" spans="1:5" x14ac:dyDescent="0.25">
      <c r="A3794" s="83"/>
      <c r="B3794" s="84"/>
      <c r="C3794" s="84"/>
      <c r="D3794" s="116"/>
      <c r="E3794" s="116"/>
    </row>
    <row r="3795" spans="1:5" x14ac:dyDescent="0.25">
      <c r="A3795" s="83"/>
      <c r="B3795" s="84"/>
      <c r="C3795" s="84"/>
      <c r="D3795" s="116"/>
      <c r="E3795" s="116"/>
    </row>
    <row r="3796" spans="1:5" x14ac:dyDescent="0.25">
      <c r="A3796" s="83"/>
      <c r="B3796" s="84"/>
      <c r="C3796" s="84"/>
      <c r="D3796" s="116"/>
      <c r="E3796" s="116"/>
    </row>
    <row r="3797" spans="1:5" x14ac:dyDescent="0.25">
      <c r="A3797" s="83"/>
      <c r="B3797" s="84"/>
      <c r="C3797" s="84"/>
      <c r="D3797" s="116"/>
      <c r="E3797" s="116"/>
    </row>
    <row r="3798" spans="1:5" x14ac:dyDescent="0.25">
      <c r="A3798" s="83"/>
      <c r="B3798" s="84"/>
      <c r="C3798" s="84"/>
      <c r="D3798" s="116"/>
      <c r="E3798" s="116"/>
    </row>
    <row r="3799" spans="1:5" x14ac:dyDescent="0.25">
      <c r="A3799" s="83"/>
      <c r="B3799" s="84"/>
      <c r="C3799" s="84"/>
      <c r="D3799" s="116"/>
      <c r="E3799" s="116"/>
    </row>
    <row r="3800" spans="1:5" x14ac:dyDescent="0.25">
      <c r="A3800" s="83"/>
      <c r="B3800" s="84"/>
      <c r="C3800" s="84"/>
      <c r="D3800" s="116"/>
      <c r="E3800" s="116"/>
    </row>
    <row r="3801" spans="1:5" x14ac:dyDescent="0.25">
      <c r="A3801" s="83"/>
      <c r="B3801" s="84"/>
      <c r="C3801" s="84"/>
      <c r="D3801" s="116"/>
      <c r="E3801" s="116"/>
    </row>
    <row r="3802" spans="1:5" x14ac:dyDescent="0.25">
      <c r="A3802" s="83"/>
      <c r="B3802" s="84"/>
      <c r="C3802" s="84"/>
      <c r="D3802" s="116"/>
      <c r="E3802" s="116"/>
    </row>
    <row r="3803" spans="1:5" x14ac:dyDescent="0.25">
      <c r="A3803" s="83"/>
      <c r="B3803" s="84"/>
      <c r="C3803" s="84"/>
      <c r="D3803" s="116"/>
      <c r="E3803" s="116"/>
    </row>
    <row r="3804" spans="1:5" x14ac:dyDescent="0.25">
      <c r="A3804" s="83"/>
      <c r="B3804" s="84"/>
      <c r="C3804" s="84"/>
      <c r="D3804" s="116"/>
      <c r="E3804" s="116"/>
    </row>
    <row r="3805" spans="1:5" x14ac:dyDescent="0.25">
      <c r="A3805" s="83"/>
      <c r="B3805" s="84"/>
      <c r="C3805" s="84"/>
      <c r="D3805" s="116"/>
      <c r="E3805" s="116"/>
    </row>
    <row r="3806" spans="1:5" x14ac:dyDescent="0.25">
      <c r="A3806" s="83"/>
      <c r="B3806" s="84"/>
      <c r="C3806" s="84"/>
      <c r="D3806" s="116"/>
      <c r="E3806" s="116"/>
    </row>
    <row r="3807" spans="1:5" x14ac:dyDescent="0.25">
      <c r="A3807" s="83"/>
      <c r="B3807" s="84"/>
      <c r="C3807" s="84"/>
      <c r="D3807" s="116"/>
      <c r="E3807" s="116"/>
    </row>
    <row r="3808" spans="1:5" x14ac:dyDescent="0.25">
      <c r="A3808" s="83"/>
      <c r="B3808" s="84"/>
      <c r="C3808" s="84"/>
      <c r="D3808" s="116"/>
      <c r="E3808" s="116"/>
    </row>
    <row r="3809" spans="1:5" x14ac:dyDescent="0.25">
      <c r="A3809" s="83"/>
      <c r="B3809" s="84"/>
      <c r="C3809" s="84"/>
      <c r="D3809" s="116"/>
      <c r="E3809" s="116"/>
    </row>
    <row r="3810" spans="1:5" x14ac:dyDescent="0.25">
      <c r="A3810" s="83"/>
      <c r="B3810" s="84"/>
      <c r="C3810" s="84"/>
      <c r="D3810" s="116"/>
      <c r="E3810" s="116"/>
    </row>
    <row r="3811" spans="1:5" x14ac:dyDescent="0.25">
      <c r="A3811" s="83"/>
      <c r="B3811" s="84"/>
      <c r="C3811" s="84"/>
      <c r="D3811" s="116"/>
      <c r="E3811" s="116"/>
    </row>
    <row r="3812" spans="1:5" x14ac:dyDescent="0.25">
      <c r="A3812" s="83"/>
      <c r="B3812" s="84"/>
      <c r="C3812" s="84"/>
      <c r="D3812" s="116"/>
      <c r="E3812" s="116"/>
    </row>
    <row r="3813" spans="1:5" x14ac:dyDescent="0.25">
      <c r="A3813" s="83"/>
      <c r="B3813" s="84"/>
      <c r="C3813" s="84"/>
      <c r="D3813" s="116"/>
      <c r="E3813" s="116"/>
    </row>
    <row r="3814" spans="1:5" x14ac:dyDescent="0.25">
      <c r="A3814" s="83"/>
      <c r="B3814" s="84"/>
      <c r="C3814" s="84"/>
      <c r="D3814" s="116"/>
      <c r="E3814" s="116"/>
    </row>
    <row r="3815" spans="1:5" x14ac:dyDescent="0.25">
      <c r="A3815" s="83"/>
      <c r="B3815" s="84"/>
      <c r="C3815" s="84"/>
      <c r="D3815" s="116"/>
      <c r="E3815" s="116"/>
    </row>
    <row r="3816" spans="1:5" x14ac:dyDescent="0.25">
      <c r="A3816" s="83"/>
      <c r="B3816" s="84"/>
      <c r="C3816" s="84"/>
      <c r="D3816" s="116"/>
      <c r="E3816" s="116"/>
    </row>
    <row r="3817" spans="1:5" x14ac:dyDescent="0.25">
      <c r="A3817" s="83"/>
      <c r="B3817" s="84"/>
      <c r="C3817" s="84"/>
      <c r="D3817" s="116"/>
      <c r="E3817" s="116"/>
    </row>
    <row r="3818" spans="1:5" x14ac:dyDescent="0.25">
      <c r="A3818" s="83"/>
      <c r="B3818" s="84"/>
      <c r="C3818" s="84"/>
      <c r="D3818" s="116"/>
      <c r="E3818" s="116"/>
    </row>
    <row r="3819" spans="1:5" x14ac:dyDescent="0.25">
      <c r="A3819" s="83"/>
      <c r="B3819" s="84"/>
      <c r="C3819" s="84"/>
      <c r="D3819" s="116"/>
      <c r="E3819" s="116"/>
    </row>
    <row r="3820" spans="1:5" x14ac:dyDescent="0.25">
      <c r="A3820" s="83"/>
      <c r="B3820" s="84"/>
      <c r="C3820" s="84"/>
      <c r="D3820" s="116"/>
      <c r="E3820" s="116"/>
    </row>
    <row r="3821" spans="1:5" x14ac:dyDescent="0.25">
      <c r="A3821" s="83"/>
      <c r="B3821" s="84"/>
      <c r="C3821" s="84"/>
      <c r="D3821" s="116"/>
      <c r="E3821" s="116"/>
    </row>
    <row r="3822" spans="1:5" x14ac:dyDescent="0.25">
      <c r="A3822" s="83"/>
      <c r="B3822" s="84"/>
      <c r="C3822" s="84"/>
      <c r="D3822" s="116"/>
      <c r="E3822" s="116"/>
    </row>
    <row r="3823" spans="1:5" x14ac:dyDescent="0.25">
      <c r="A3823" s="83"/>
      <c r="B3823" s="84"/>
      <c r="C3823" s="84"/>
      <c r="D3823" s="116"/>
      <c r="E3823" s="116"/>
    </row>
    <row r="3824" spans="1:5" x14ac:dyDescent="0.25">
      <c r="A3824" s="83"/>
      <c r="B3824" s="84"/>
      <c r="C3824" s="84"/>
      <c r="D3824" s="116"/>
      <c r="E3824" s="116"/>
    </row>
    <row r="3825" spans="1:5" x14ac:dyDescent="0.25">
      <c r="A3825" s="83"/>
      <c r="B3825" s="84"/>
      <c r="C3825" s="84"/>
      <c r="D3825" s="116"/>
      <c r="E3825" s="116"/>
    </row>
    <row r="3826" spans="1:5" x14ac:dyDescent="0.25">
      <c r="A3826" s="83"/>
      <c r="B3826" s="84"/>
      <c r="C3826" s="84"/>
      <c r="D3826" s="116"/>
      <c r="E3826" s="116"/>
    </row>
    <row r="3827" spans="1:5" x14ac:dyDescent="0.25">
      <c r="A3827" s="83"/>
      <c r="B3827" s="84"/>
      <c r="C3827" s="84"/>
      <c r="D3827" s="116"/>
      <c r="E3827" s="116"/>
    </row>
    <row r="3828" spans="1:5" x14ac:dyDescent="0.25">
      <c r="A3828" s="83"/>
      <c r="B3828" s="84"/>
      <c r="C3828" s="84"/>
      <c r="D3828" s="116"/>
      <c r="E3828" s="116"/>
    </row>
    <row r="3829" spans="1:5" x14ac:dyDescent="0.25">
      <c r="A3829" s="83"/>
      <c r="B3829" s="84"/>
      <c r="C3829" s="84"/>
      <c r="D3829" s="116"/>
      <c r="E3829" s="116"/>
    </row>
    <row r="3830" spans="1:5" x14ac:dyDescent="0.25">
      <c r="A3830" s="83"/>
      <c r="B3830" s="84"/>
      <c r="C3830" s="84"/>
      <c r="D3830" s="116"/>
      <c r="E3830" s="116"/>
    </row>
    <row r="3831" spans="1:5" x14ac:dyDescent="0.25">
      <c r="A3831" s="83"/>
      <c r="B3831" s="84"/>
      <c r="C3831" s="84"/>
      <c r="D3831" s="116"/>
      <c r="E3831" s="116"/>
    </row>
    <row r="3832" spans="1:5" x14ac:dyDescent="0.25">
      <c r="A3832" s="83"/>
      <c r="B3832" s="84"/>
      <c r="C3832" s="84"/>
      <c r="D3832" s="116"/>
      <c r="E3832" s="116"/>
    </row>
    <row r="3833" spans="1:5" x14ac:dyDescent="0.25">
      <c r="A3833" s="83"/>
      <c r="B3833" s="84"/>
      <c r="C3833" s="84"/>
      <c r="D3833" s="116"/>
      <c r="E3833" s="116"/>
    </row>
    <row r="3834" spans="1:5" x14ac:dyDescent="0.25">
      <c r="A3834" s="83"/>
      <c r="B3834" s="84"/>
      <c r="C3834" s="84"/>
      <c r="D3834" s="116"/>
      <c r="E3834" s="116"/>
    </row>
    <row r="3835" spans="1:5" x14ac:dyDescent="0.25">
      <c r="A3835" s="83"/>
      <c r="B3835" s="84"/>
      <c r="C3835" s="84"/>
      <c r="D3835" s="116"/>
      <c r="E3835" s="116"/>
    </row>
    <row r="3836" spans="1:5" x14ac:dyDescent="0.25">
      <c r="A3836" s="83"/>
      <c r="B3836" s="84"/>
      <c r="C3836" s="84"/>
      <c r="D3836" s="116"/>
      <c r="E3836" s="116"/>
    </row>
    <row r="3837" spans="1:5" x14ac:dyDescent="0.25">
      <c r="A3837" s="83"/>
      <c r="B3837" s="84"/>
      <c r="C3837" s="84"/>
      <c r="D3837" s="116"/>
      <c r="E3837" s="116"/>
    </row>
    <row r="3838" spans="1:5" x14ac:dyDescent="0.25">
      <c r="A3838" s="83"/>
      <c r="B3838" s="84"/>
      <c r="C3838" s="84"/>
      <c r="D3838" s="116"/>
      <c r="E3838" s="116"/>
    </row>
    <row r="3839" spans="1:5" x14ac:dyDescent="0.25">
      <c r="A3839" s="83"/>
      <c r="B3839" s="84"/>
      <c r="C3839" s="84"/>
      <c r="D3839" s="116"/>
      <c r="E3839" s="116"/>
    </row>
    <row r="3840" spans="1:5" x14ac:dyDescent="0.25">
      <c r="A3840" s="83"/>
      <c r="B3840" s="84"/>
      <c r="C3840" s="84"/>
      <c r="D3840" s="116"/>
      <c r="E3840" s="116"/>
    </row>
    <row r="3841" spans="1:5" x14ac:dyDescent="0.25">
      <c r="A3841" s="83"/>
      <c r="B3841" s="84"/>
      <c r="C3841" s="84"/>
      <c r="D3841" s="116"/>
      <c r="E3841" s="116"/>
    </row>
    <row r="3842" spans="1:5" x14ac:dyDescent="0.25">
      <c r="A3842" s="83"/>
      <c r="B3842" s="84"/>
      <c r="C3842" s="84"/>
      <c r="D3842" s="116"/>
      <c r="E3842" s="116"/>
    </row>
    <row r="3843" spans="1:5" x14ac:dyDescent="0.25">
      <c r="A3843" s="83"/>
      <c r="B3843" s="84"/>
      <c r="C3843" s="84"/>
      <c r="D3843" s="116"/>
      <c r="E3843" s="116"/>
    </row>
    <row r="3844" spans="1:5" x14ac:dyDescent="0.25">
      <c r="A3844" s="83"/>
      <c r="B3844" s="84"/>
      <c r="C3844" s="84"/>
      <c r="D3844" s="116"/>
      <c r="E3844" s="116"/>
    </row>
    <row r="3845" spans="1:5" x14ac:dyDescent="0.25">
      <c r="A3845" s="83"/>
      <c r="B3845" s="84"/>
      <c r="C3845" s="84"/>
      <c r="D3845" s="116"/>
      <c r="E3845" s="116"/>
    </row>
    <row r="3846" spans="1:5" x14ac:dyDescent="0.25">
      <c r="A3846" s="83"/>
      <c r="B3846" s="84"/>
      <c r="C3846" s="84"/>
      <c r="D3846" s="116"/>
      <c r="E3846" s="116"/>
    </row>
    <row r="3847" spans="1:5" x14ac:dyDescent="0.25">
      <c r="A3847" s="83"/>
      <c r="B3847" s="84"/>
      <c r="C3847" s="84"/>
      <c r="D3847" s="116"/>
      <c r="E3847" s="116"/>
    </row>
    <row r="3848" spans="1:5" x14ac:dyDescent="0.25">
      <c r="A3848" s="83"/>
      <c r="B3848" s="84"/>
      <c r="C3848" s="84"/>
      <c r="D3848" s="116"/>
      <c r="E3848" s="116"/>
    </row>
    <row r="3849" spans="1:5" x14ac:dyDescent="0.25">
      <c r="A3849" s="83"/>
      <c r="B3849" s="84"/>
      <c r="C3849" s="84"/>
      <c r="D3849" s="116"/>
      <c r="E3849" s="116"/>
    </row>
    <row r="3850" spans="1:5" x14ac:dyDescent="0.25">
      <c r="A3850" s="83"/>
      <c r="B3850" s="84"/>
      <c r="C3850" s="84"/>
      <c r="D3850" s="116"/>
      <c r="E3850" s="116"/>
    </row>
    <row r="3851" spans="1:5" x14ac:dyDescent="0.25">
      <c r="A3851" s="83"/>
      <c r="B3851" s="84"/>
      <c r="C3851" s="84"/>
      <c r="D3851" s="116"/>
      <c r="E3851" s="116"/>
    </row>
    <row r="3852" spans="1:5" x14ac:dyDescent="0.25">
      <c r="A3852" s="83"/>
      <c r="B3852" s="84"/>
      <c r="C3852" s="84"/>
      <c r="D3852" s="116"/>
      <c r="E3852" s="116"/>
    </row>
    <row r="3853" spans="1:5" x14ac:dyDescent="0.25">
      <c r="A3853" s="83"/>
      <c r="B3853" s="84"/>
      <c r="C3853" s="84"/>
      <c r="D3853" s="116"/>
      <c r="E3853" s="116"/>
    </row>
    <row r="3854" spans="1:5" x14ac:dyDescent="0.25">
      <c r="A3854" s="83"/>
      <c r="B3854" s="84"/>
      <c r="C3854" s="84"/>
      <c r="D3854" s="116"/>
      <c r="E3854" s="116"/>
    </row>
    <row r="3855" spans="1:5" x14ac:dyDescent="0.25">
      <c r="A3855" s="83"/>
      <c r="B3855" s="84"/>
      <c r="C3855" s="84"/>
      <c r="D3855" s="116"/>
      <c r="E3855" s="116"/>
    </row>
    <row r="3856" spans="1:5" x14ac:dyDescent="0.25">
      <c r="A3856" s="83"/>
      <c r="B3856" s="84"/>
      <c r="C3856" s="84"/>
      <c r="D3856" s="116"/>
      <c r="E3856" s="116"/>
    </row>
    <row r="3857" spans="1:5" x14ac:dyDescent="0.25">
      <c r="A3857" s="83"/>
      <c r="B3857" s="84"/>
      <c r="C3857" s="84"/>
      <c r="D3857" s="116"/>
      <c r="E3857" s="116"/>
    </row>
    <row r="3858" spans="1:5" x14ac:dyDescent="0.25">
      <c r="A3858" s="83"/>
      <c r="B3858" s="84"/>
      <c r="C3858" s="84"/>
      <c r="D3858" s="116"/>
      <c r="E3858" s="116"/>
    </row>
    <row r="3859" spans="1:5" x14ac:dyDescent="0.25">
      <c r="A3859" s="83"/>
      <c r="B3859" s="84"/>
      <c r="C3859" s="84"/>
      <c r="D3859" s="116"/>
      <c r="E3859" s="116"/>
    </row>
    <row r="3860" spans="1:5" x14ac:dyDescent="0.25">
      <c r="A3860" s="83"/>
      <c r="B3860" s="84"/>
      <c r="C3860" s="84"/>
      <c r="D3860" s="116"/>
      <c r="E3860" s="116"/>
    </row>
    <row r="3861" spans="1:5" x14ac:dyDescent="0.25">
      <c r="A3861" s="83"/>
      <c r="B3861" s="84"/>
      <c r="C3861" s="84"/>
      <c r="D3861" s="116"/>
      <c r="E3861" s="116"/>
    </row>
    <row r="3862" spans="1:5" x14ac:dyDescent="0.25">
      <c r="A3862" s="83"/>
      <c r="B3862" s="84"/>
      <c r="C3862" s="84"/>
      <c r="D3862" s="116"/>
      <c r="E3862" s="116"/>
    </row>
    <row r="3863" spans="1:5" x14ac:dyDescent="0.25">
      <c r="A3863" s="83"/>
      <c r="B3863" s="84"/>
      <c r="C3863" s="84"/>
      <c r="D3863" s="116"/>
      <c r="E3863" s="116"/>
    </row>
    <row r="3864" spans="1:5" x14ac:dyDescent="0.25">
      <c r="A3864" s="83"/>
      <c r="B3864" s="84"/>
      <c r="C3864" s="84"/>
      <c r="D3864" s="116"/>
      <c r="E3864" s="116"/>
    </row>
    <row r="3865" spans="1:5" x14ac:dyDescent="0.25">
      <c r="A3865" s="83"/>
      <c r="B3865" s="84"/>
      <c r="C3865" s="84"/>
      <c r="D3865" s="116"/>
      <c r="E3865" s="116"/>
    </row>
    <row r="3866" spans="1:5" x14ac:dyDescent="0.25">
      <c r="A3866" s="83"/>
      <c r="B3866" s="84"/>
      <c r="C3866" s="84"/>
      <c r="D3866" s="116"/>
      <c r="E3866" s="116"/>
    </row>
    <row r="3867" spans="1:5" x14ac:dyDescent="0.25">
      <c r="A3867" s="83"/>
      <c r="B3867" s="84"/>
      <c r="C3867" s="84"/>
      <c r="D3867" s="116"/>
      <c r="E3867" s="116"/>
    </row>
    <row r="3868" spans="1:5" x14ac:dyDescent="0.25">
      <c r="A3868" s="83"/>
      <c r="B3868" s="84"/>
      <c r="C3868" s="84"/>
      <c r="D3868" s="116"/>
      <c r="E3868" s="116"/>
    </row>
    <row r="3869" spans="1:5" x14ac:dyDescent="0.25">
      <c r="A3869" s="83"/>
      <c r="B3869" s="84"/>
      <c r="C3869" s="84"/>
      <c r="D3869" s="116"/>
      <c r="E3869" s="116"/>
    </row>
    <row r="3870" spans="1:5" x14ac:dyDescent="0.25">
      <c r="A3870" s="83"/>
      <c r="B3870" s="84"/>
      <c r="C3870" s="84"/>
      <c r="D3870" s="116"/>
      <c r="E3870" s="116"/>
    </row>
    <row r="3871" spans="1:5" x14ac:dyDescent="0.25">
      <c r="A3871" s="83"/>
      <c r="B3871" s="84"/>
      <c r="C3871" s="84"/>
      <c r="D3871" s="116"/>
      <c r="E3871" s="116"/>
    </row>
    <row r="3872" spans="1:5" x14ac:dyDescent="0.25">
      <c r="A3872" s="83"/>
      <c r="B3872" s="84"/>
      <c r="C3872" s="84"/>
      <c r="D3872" s="116"/>
      <c r="E3872" s="116"/>
    </row>
    <row r="3873" spans="1:5" x14ac:dyDescent="0.25">
      <c r="A3873" s="83"/>
      <c r="B3873" s="84"/>
      <c r="C3873" s="84"/>
      <c r="D3873" s="116"/>
      <c r="E3873" s="116"/>
    </row>
    <row r="3874" spans="1:5" x14ac:dyDescent="0.25">
      <c r="A3874" s="83"/>
      <c r="B3874" s="84"/>
      <c r="C3874" s="84"/>
      <c r="D3874" s="116"/>
      <c r="E3874" s="116"/>
    </row>
    <row r="3875" spans="1:5" x14ac:dyDescent="0.25">
      <c r="A3875" s="83"/>
      <c r="B3875" s="84"/>
      <c r="C3875" s="84"/>
      <c r="D3875" s="116"/>
      <c r="E3875" s="116"/>
    </row>
    <row r="3876" spans="1:5" x14ac:dyDescent="0.25">
      <c r="A3876" s="83"/>
      <c r="B3876" s="84"/>
      <c r="C3876" s="84"/>
      <c r="D3876" s="116"/>
      <c r="E3876" s="116"/>
    </row>
    <row r="3877" spans="1:5" x14ac:dyDescent="0.25">
      <c r="A3877" s="83"/>
      <c r="B3877" s="84"/>
      <c r="C3877" s="84"/>
      <c r="D3877" s="116"/>
      <c r="E3877" s="116"/>
    </row>
    <row r="3878" spans="1:5" x14ac:dyDescent="0.25">
      <c r="A3878" s="83"/>
      <c r="B3878" s="84"/>
      <c r="C3878" s="84"/>
      <c r="D3878" s="116"/>
      <c r="E3878" s="116"/>
    </row>
    <row r="3879" spans="1:5" x14ac:dyDescent="0.25">
      <c r="A3879" s="83"/>
      <c r="B3879" s="84"/>
      <c r="C3879" s="84"/>
      <c r="D3879" s="116"/>
      <c r="E3879" s="116"/>
    </row>
    <row r="3880" spans="1:5" x14ac:dyDescent="0.25">
      <c r="A3880" s="83"/>
      <c r="B3880" s="84"/>
      <c r="C3880" s="84"/>
      <c r="D3880" s="116"/>
      <c r="E3880" s="116"/>
    </row>
    <row r="3881" spans="1:5" x14ac:dyDescent="0.25">
      <c r="A3881" s="83"/>
      <c r="B3881" s="84"/>
      <c r="C3881" s="84"/>
      <c r="D3881" s="116"/>
      <c r="E3881" s="116"/>
    </row>
    <row r="3882" spans="1:5" x14ac:dyDescent="0.25">
      <c r="A3882" s="83"/>
      <c r="B3882" s="84"/>
      <c r="C3882" s="84"/>
      <c r="D3882" s="116"/>
      <c r="E3882" s="116"/>
    </row>
    <row r="3883" spans="1:5" x14ac:dyDescent="0.25">
      <c r="A3883" s="83"/>
      <c r="B3883" s="84"/>
      <c r="C3883" s="84"/>
      <c r="D3883" s="116"/>
      <c r="E3883" s="116"/>
    </row>
    <row r="3884" spans="1:5" x14ac:dyDescent="0.25">
      <c r="A3884" s="83"/>
      <c r="B3884" s="84"/>
      <c r="C3884" s="84"/>
      <c r="D3884" s="116"/>
      <c r="E3884" s="116"/>
    </row>
    <row r="3885" spans="1:5" x14ac:dyDescent="0.25">
      <c r="A3885" s="83"/>
      <c r="B3885" s="84"/>
      <c r="C3885" s="84"/>
      <c r="D3885" s="116"/>
      <c r="E3885" s="116"/>
    </row>
    <row r="3886" spans="1:5" x14ac:dyDescent="0.25">
      <c r="A3886" s="83"/>
      <c r="B3886" s="84"/>
      <c r="C3886" s="84"/>
      <c r="D3886" s="116"/>
      <c r="E3886" s="116"/>
    </row>
    <row r="3887" spans="1:5" x14ac:dyDescent="0.25">
      <c r="A3887" s="83"/>
      <c r="B3887" s="84"/>
      <c r="C3887" s="84"/>
      <c r="D3887" s="116"/>
      <c r="E3887" s="116"/>
    </row>
    <row r="3888" spans="1:5" x14ac:dyDescent="0.25">
      <c r="A3888" s="83"/>
      <c r="B3888" s="84"/>
      <c r="C3888" s="84"/>
      <c r="D3888" s="116"/>
      <c r="E3888" s="116"/>
    </row>
    <row r="3889" spans="1:5" x14ac:dyDescent="0.25">
      <c r="A3889" s="83"/>
      <c r="B3889" s="84"/>
      <c r="C3889" s="84"/>
      <c r="D3889" s="116"/>
      <c r="E3889" s="116"/>
    </row>
    <row r="3890" spans="1:5" x14ac:dyDescent="0.25">
      <c r="A3890" s="83"/>
      <c r="B3890" s="84"/>
      <c r="C3890" s="84"/>
      <c r="D3890" s="116"/>
      <c r="E3890" s="116"/>
    </row>
    <row r="3891" spans="1:5" x14ac:dyDescent="0.25">
      <c r="A3891" s="83"/>
      <c r="B3891" s="84"/>
      <c r="C3891" s="84"/>
      <c r="D3891" s="116"/>
      <c r="E3891" s="116"/>
    </row>
    <row r="3892" spans="1:5" x14ac:dyDescent="0.25">
      <c r="A3892" s="83"/>
      <c r="B3892" s="84"/>
      <c r="C3892" s="84"/>
      <c r="D3892" s="116"/>
      <c r="E3892" s="116"/>
    </row>
    <row r="3893" spans="1:5" x14ac:dyDescent="0.25">
      <c r="A3893" s="83"/>
      <c r="B3893" s="84"/>
      <c r="C3893" s="84"/>
      <c r="D3893" s="116"/>
      <c r="E3893" s="116"/>
    </row>
    <row r="3894" spans="1:5" x14ac:dyDescent="0.25">
      <c r="A3894" s="83"/>
      <c r="B3894" s="84"/>
      <c r="C3894" s="84"/>
      <c r="D3894" s="116"/>
      <c r="E3894" s="116"/>
    </row>
    <row r="3895" spans="1:5" x14ac:dyDescent="0.25">
      <c r="A3895" s="83"/>
      <c r="B3895" s="84"/>
      <c r="C3895" s="84"/>
      <c r="D3895" s="116"/>
      <c r="E3895" s="116"/>
    </row>
    <row r="3896" spans="1:5" x14ac:dyDescent="0.25">
      <c r="A3896" s="83"/>
      <c r="B3896" s="84"/>
      <c r="C3896" s="84"/>
      <c r="D3896" s="116"/>
      <c r="E3896" s="116"/>
    </row>
    <row r="3897" spans="1:5" x14ac:dyDescent="0.25">
      <c r="A3897" s="83"/>
      <c r="B3897" s="84"/>
      <c r="C3897" s="84"/>
      <c r="D3897" s="116"/>
      <c r="E3897" s="116"/>
    </row>
    <row r="3898" spans="1:5" x14ac:dyDescent="0.25">
      <c r="A3898" s="83"/>
      <c r="B3898" s="84"/>
      <c r="C3898" s="84"/>
      <c r="D3898" s="116"/>
      <c r="E3898" s="116"/>
    </row>
    <row r="3899" spans="1:5" x14ac:dyDescent="0.25">
      <c r="A3899" s="83"/>
      <c r="B3899" s="84"/>
      <c r="C3899" s="84"/>
      <c r="D3899" s="116"/>
      <c r="E3899" s="116"/>
    </row>
    <row r="3900" spans="1:5" x14ac:dyDescent="0.25">
      <c r="A3900" s="83"/>
      <c r="B3900" s="84"/>
      <c r="C3900" s="84"/>
      <c r="D3900" s="116"/>
      <c r="E3900" s="116"/>
    </row>
    <row r="3901" spans="1:5" x14ac:dyDescent="0.25">
      <c r="A3901" s="83"/>
      <c r="B3901" s="84"/>
      <c r="C3901" s="84"/>
      <c r="D3901" s="116"/>
      <c r="E3901" s="116"/>
    </row>
    <row r="3902" spans="1:5" x14ac:dyDescent="0.25">
      <c r="A3902" s="83"/>
      <c r="B3902" s="84"/>
      <c r="C3902" s="84"/>
      <c r="D3902" s="116"/>
      <c r="E3902" s="116"/>
    </row>
    <row r="3903" spans="1:5" x14ac:dyDescent="0.25">
      <c r="A3903" s="83"/>
      <c r="B3903" s="84"/>
      <c r="C3903" s="84"/>
      <c r="D3903" s="116"/>
      <c r="E3903" s="116"/>
    </row>
    <row r="3904" spans="1:5" x14ac:dyDescent="0.25">
      <c r="A3904" s="83"/>
      <c r="B3904" s="84"/>
      <c r="C3904" s="84"/>
      <c r="D3904" s="116"/>
      <c r="E3904" s="116"/>
    </row>
    <row r="3905" spans="1:5" x14ac:dyDescent="0.25">
      <c r="A3905" s="83"/>
      <c r="B3905" s="84"/>
      <c r="C3905" s="84"/>
      <c r="D3905" s="116"/>
      <c r="E3905" s="116"/>
    </row>
    <row r="3906" spans="1:5" x14ac:dyDescent="0.25">
      <c r="A3906" s="83"/>
      <c r="B3906" s="84"/>
      <c r="C3906" s="84"/>
      <c r="D3906" s="116"/>
      <c r="E3906" s="116"/>
    </row>
    <row r="3907" spans="1:5" x14ac:dyDescent="0.25">
      <c r="A3907" s="83"/>
      <c r="B3907" s="84"/>
      <c r="C3907" s="84"/>
      <c r="D3907" s="116"/>
      <c r="E3907" s="116"/>
    </row>
    <row r="3908" spans="1:5" x14ac:dyDescent="0.25">
      <c r="A3908" s="83"/>
      <c r="B3908" s="84"/>
      <c r="C3908" s="84"/>
      <c r="D3908" s="116"/>
      <c r="E3908" s="116"/>
    </row>
    <row r="3909" spans="1:5" x14ac:dyDescent="0.25">
      <c r="A3909" s="83"/>
      <c r="B3909" s="84"/>
      <c r="C3909" s="84"/>
      <c r="D3909" s="116"/>
      <c r="E3909" s="116"/>
    </row>
    <row r="3910" spans="1:5" x14ac:dyDescent="0.25">
      <c r="A3910" s="83"/>
      <c r="B3910" s="84"/>
      <c r="C3910" s="84"/>
      <c r="D3910" s="116"/>
      <c r="E3910" s="116"/>
    </row>
    <row r="3911" spans="1:5" x14ac:dyDescent="0.25">
      <c r="A3911" s="83"/>
      <c r="B3911" s="84"/>
      <c r="C3911" s="84"/>
      <c r="D3911" s="116"/>
      <c r="E3911" s="116"/>
    </row>
    <row r="3912" spans="1:5" x14ac:dyDescent="0.25">
      <c r="A3912" s="83"/>
      <c r="B3912" s="84"/>
      <c r="C3912" s="84"/>
      <c r="D3912" s="116"/>
      <c r="E3912" s="116"/>
    </row>
    <row r="3913" spans="1:5" x14ac:dyDescent="0.25">
      <c r="A3913" s="83"/>
      <c r="B3913" s="84"/>
      <c r="C3913" s="84"/>
      <c r="D3913" s="116"/>
      <c r="E3913" s="116"/>
    </row>
    <row r="3914" spans="1:5" x14ac:dyDescent="0.25">
      <c r="A3914" s="83"/>
      <c r="B3914" s="84"/>
      <c r="C3914" s="84"/>
      <c r="D3914" s="116"/>
      <c r="E3914" s="116"/>
    </row>
    <row r="3915" spans="1:5" x14ac:dyDescent="0.25">
      <c r="A3915" s="83"/>
      <c r="B3915" s="84"/>
      <c r="C3915" s="84"/>
      <c r="D3915" s="116"/>
      <c r="E3915" s="116"/>
    </row>
    <row r="3916" spans="1:5" x14ac:dyDescent="0.25">
      <c r="A3916" s="83"/>
      <c r="B3916" s="84"/>
      <c r="C3916" s="84"/>
      <c r="D3916" s="116"/>
      <c r="E3916" s="116"/>
    </row>
    <row r="3917" spans="1:5" x14ac:dyDescent="0.25">
      <c r="A3917" s="83"/>
      <c r="B3917" s="84"/>
      <c r="C3917" s="84"/>
      <c r="D3917" s="116"/>
      <c r="E3917" s="116"/>
    </row>
    <row r="3918" spans="1:5" x14ac:dyDescent="0.25">
      <c r="A3918" s="83"/>
      <c r="B3918" s="84"/>
      <c r="C3918" s="84"/>
      <c r="D3918" s="116"/>
      <c r="E3918" s="116"/>
    </row>
    <row r="3919" spans="1:5" x14ac:dyDescent="0.25">
      <c r="A3919" s="83"/>
      <c r="B3919" s="84"/>
      <c r="C3919" s="84"/>
      <c r="D3919" s="116"/>
      <c r="E3919" s="116"/>
    </row>
    <row r="3920" spans="1:5" x14ac:dyDescent="0.25">
      <c r="A3920" s="83"/>
      <c r="B3920" s="84"/>
      <c r="C3920" s="84"/>
      <c r="D3920" s="116"/>
      <c r="E3920" s="116"/>
    </row>
    <row r="3921" spans="1:5" x14ac:dyDescent="0.25">
      <c r="A3921" s="83"/>
      <c r="B3921" s="84"/>
      <c r="C3921" s="84"/>
      <c r="D3921" s="116"/>
      <c r="E3921" s="116"/>
    </row>
    <row r="3922" spans="1:5" x14ac:dyDescent="0.25">
      <c r="A3922" s="83"/>
      <c r="B3922" s="84"/>
      <c r="C3922" s="84"/>
      <c r="D3922" s="116"/>
      <c r="E3922" s="116"/>
    </row>
    <row r="3923" spans="1:5" x14ac:dyDescent="0.25">
      <c r="A3923" s="83"/>
      <c r="B3923" s="84"/>
      <c r="C3923" s="84"/>
      <c r="D3923" s="116"/>
      <c r="E3923" s="116"/>
    </row>
    <row r="3924" spans="1:5" x14ac:dyDescent="0.25">
      <c r="A3924" s="83"/>
      <c r="B3924" s="84"/>
      <c r="C3924" s="84"/>
      <c r="D3924" s="116"/>
      <c r="E3924" s="116"/>
    </row>
    <row r="3925" spans="1:5" x14ac:dyDescent="0.25">
      <c r="A3925" s="83"/>
      <c r="B3925" s="84"/>
      <c r="C3925" s="84"/>
      <c r="D3925" s="116"/>
      <c r="E3925" s="116"/>
    </row>
    <row r="3926" spans="1:5" x14ac:dyDescent="0.25">
      <c r="A3926" s="83"/>
      <c r="B3926" s="84"/>
      <c r="C3926" s="84"/>
      <c r="D3926" s="116"/>
      <c r="E3926" s="116"/>
    </row>
    <row r="3927" spans="1:5" x14ac:dyDescent="0.25">
      <c r="A3927" s="83"/>
      <c r="B3927" s="84"/>
      <c r="C3927" s="84"/>
      <c r="D3927" s="116"/>
      <c r="E3927" s="116"/>
    </row>
    <row r="3928" spans="1:5" x14ac:dyDescent="0.25">
      <c r="A3928" s="83"/>
      <c r="B3928" s="84"/>
      <c r="C3928" s="84"/>
      <c r="D3928" s="116"/>
      <c r="E3928" s="116"/>
    </row>
    <row r="3929" spans="1:5" x14ac:dyDescent="0.25">
      <c r="A3929" s="83"/>
      <c r="B3929" s="84"/>
      <c r="C3929" s="84"/>
      <c r="D3929" s="116"/>
      <c r="E3929" s="116"/>
    </row>
    <row r="3930" spans="1:5" x14ac:dyDescent="0.25">
      <c r="A3930" s="83"/>
      <c r="B3930" s="84"/>
      <c r="C3930" s="84"/>
      <c r="D3930" s="116"/>
      <c r="E3930" s="116"/>
    </row>
    <row r="3931" spans="1:5" x14ac:dyDescent="0.25">
      <c r="A3931" s="83"/>
      <c r="B3931" s="84"/>
      <c r="C3931" s="84"/>
      <c r="D3931" s="116"/>
      <c r="E3931" s="116"/>
    </row>
    <row r="3932" spans="1:5" x14ac:dyDescent="0.25">
      <c r="A3932" s="83"/>
      <c r="B3932" s="84"/>
      <c r="C3932" s="84"/>
      <c r="D3932" s="116"/>
      <c r="E3932" s="116"/>
    </row>
    <row r="3933" spans="1:5" x14ac:dyDescent="0.25">
      <c r="A3933" s="83"/>
      <c r="B3933" s="84"/>
      <c r="C3933" s="84"/>
      <c r="D3933" s="116"/>
      <c r="E3933" s="116"/>
    </row>
    <row r="3934" spans="1:5" x14ac:dyDescent="0.25">
      <c r="A3934" s="83"/>
      <c r="B3934" s="84"/>
      <c r="C3934" s="84"/>
      <c r="D3934" s="116"/>
      <c r="E3934" s="116"/>
    </row>
    <row r="3935" spans="1:5" x14ac:dyDescent="0.25">
      <c r="A3935" s="83"/>
      <c r="B3935" s="84"/>
      <c r="C3935" s="84"/>
      <c r="D3935" s="116"/>
      <c r="E3935" s="116"/>
    </row>
    <row r="3936" spans="1:5" x14ac:dyDescent="0.25">
      <c r="A3936" s="83"/>
      <c r="B3936" s="84"/>
      <c r="C3936" s="84"/>
      <c r="D3936" s="116"/>
      <c r="E3936" s="116"/>
    </row>
    <row r="3937" spans="1:5" x14ac:dyDescent="0.25">
      <c r="A3937" s="83"/>
      <c r="B3937" s="84"/>
      <c r="C3937" s="84"/>
      <c r="D3937" s="116"/>
      <c r="E3937" s="116"/>
    </row>
    <row r="3938" spans="1:5" x14ac:dyDescent="0.25">
      <c r="A3938" s="83"/>
      <c r="B3938" s="84"/>
      <c r="C3938" s="84"/>
      <c r="D3938" s="116"/>
      <c r="E3938" s="116"/>
    </row>
    <row r="3939" spans="1:5" x14ac:dyDescent="0.25">
      <c r="A3939" s="83"/>
      <c r="B3939" s="84"/>
      <c r="C3939" s="84"/>
      <c r="D3939" s="116"/>
      <c r="E3939" s="116"/>
    </row>
    <row r="3940" spans="1:5" x14ac:dyDescent="0.25">
      <c r="A3940" s="83"/>
      <c r="B3940" s="84"/>
      <c r="C3940" s="84"/>
      <c r="D3940" s="116"/>
      <c r="E3940" s="116"/>
    </row>
    <row r="3941" spans="1:5" x14ac:dyDescent="0.25">
      <c r="A3941" s="83"/>
      <c r="B3941" s="84"/>
      <c r="C3941" s="84"/>
      <c r="D3941" s="116"/>
      <c r="E3941" s="116"/>
    </row>
    <row r="3942" spans="1:5" x14ac:dyDescent="0.25">
      <c r="A3942" s="83"/>
      <c r="B3942" s="84"/>
      <c r="C3942" s="84"/>
      <c r="D3942" s="116"/>
      <c r="E3942" s="116"/>
    </row>
    <row r="3943" spans="1:5" x14ac:dyDescent="0.25">
      <c r="A3943" s="83"/>
      <c r="B3943" s="84"/>
      <c r="C3943" s="84"/>
      <c r="D3943" s="116"/>
      <c r="E3943" s="116"/>
    </row>
    <row r="3944" spans="1:5" x14ac:dyDescent="0.25">
      <c r="A3944" s="83"/>
      <c r="B3944" s="84"/>
      <c r="C3944" s="84"/>
      <c r="D3944" s="116"/>
      <c r="E3944" s="116"/>
    </row>
    <row r="3945" spans="1:5" x14ac:dyDescent="0.25">
      <c r="A3945" s="83"/>
      <c r="B3945" s="84"/>
      <c r="C3945" s="84"/>
      <c r="D3945" s="116"/>
      <c r="E3945" s="116"/>
    </row>
    <row r="3946" spans="1:5" x14ac:dyDescent="0.25">
      <c r="A3946" s="83"/>
      <c r="B3946" s="84"/>
      <c r="C3946" s="84"/>
      <c r="D3946" s="116"/>
      <c r="E3946" s="116"/>
    </row>
    <row r="3947" spans="1:5" x14ac:dyDescent="0.25">
      <c r="A3947" s="83"/>
      <c r="B3947" s="84"/>
      <c r="C3947" s="84"/>
      <c r="D3947" s="116"/>
      <c r="E3947" s="116"/>
    </row>
    <row r="3948" spans="1:5" x14ac:dyDescent="0.25">
      <c r="A3948" s="83"/>
      <c r="B3948" s="84"/>
      <c r="C3948" s="84"/>
      <c r="D3948" s="116"/>
      <c r="E3948" s="116"/>
    </row>
    <row r="3949" spans="1:5" x14ac:dyDescent="0.25">
      <c r="A3949" s="83"/>
      <c r="B3949" s="84"/>
      <c r="C3949" s="84"/>
      <c r="D3949" s="116"/>
      <c r="E3949" s="116"/>
    </row>
    <row r="3950" spans="1:5" x14ac:dyDescent="0.25">
      <c r="A3950" s="83"/>
      <c r="B3950" s="84"/>
      <c r="C3950" s="84"/>
      <c r="D3950" s="116"/>
      <c r="E3950" s="116"/>
    </row>
    <row r="3951" spans="1:5" x14ac:dyDescent="0.25">
      <c r="A3951" s="83"/>
      <c r="B3951" s="84"/>
      <c r="C3951" s="84"/>
      <c r="D3951" s="116"/>
      <c r="E3951" s="116"/>
    </row>
    <row r="3952" spans="1:5" x14ac:dyDescent="0.25">
      <c r="A3952" s="83"/>
      <c r="B3952" s="84"/>
      <c r="C3952" s="84"/>
      <c r="D3952" s="116"/>
      <c r="E3952" s="116"/>
    </row>
    <row r="3953" spans="1:5" x14ac:dyDescent="0.25">
      <c r="A3953" s="83"/>
      <c r="B3953" s="84"/>
      <c r="C3953" s="84"/>
      <c r="D3953" s="116"/>
      <c r="E3953" s="116"/>
    </row>
    <row r="3954" spans="1:5" x14ac:dyDescent="0.25">
      <c r="A3954" s="83"/>
      <c r="B3954" s="84"/>
      <c r="C3954" s="84"/>
      <c r="D3954" s="116"/>
      <c r="E3954" s="116"/>
    </row>
    <row r="3955" spans="1:5" x14ac:dyDescent="0.25">
      <c r="A3955" s="83"/>
      <c r="B3955" s="84"/>
      <c r="C3955" s="84"/>
      <c r="D3955" s="116"/>
      <c r="E3955" s="116"/>
    </row>
    <row r="3956" spans="1:5" x14ac:dyDescent="0.25">
      <c r="A3956" s="83"/>
      <c r="B3956" s="84"/>
      <c r="C3956" s="84"/>
      <c r="D3956" s="116"/>
      <c r="E3956" s="116"/>
    </row>
    <row r="3957" spans="1:5" x14ac:dyDescent="0.25">
      <c r="A3957" s="83"/>
      <c r="B3957" s="84"/>
      <c r="C3957" s="84"/>
      <c r="D3957" s="116"/>
      <c r="E3957" s="116"/>
    </row>
    <row r="3958" spans="1:5" x14ac:dyDescent="0.25">
      <c r="A3958" s="83"/>
      <c r="B3958" s="84"/>
      <c r="C3958" s="84"/>
      <c r="D3958" s="116"/>
      <c r="E3958" s="116"/>
    </row>
    <row r="3959" spans="1:5" x14ac:dyDescent="0.25">
      <c r="A3959" s="83"/>
      <c r="B3959" s="84"/>
      <c r="C3959" s="84"/>
      <c r="D3959" s="116"/>
      <c r="E3959" s="116"/>
    </row>
    <row r="3960" spans="1:5" x14ac:dyDescent="0.25">
      <c r="A3960" s="83"/>
      <c r="B3960" s="84"/>
      <c r="C3960" s="84"/>
      <c r="D3960" s="116"/>
      <c r="E3960" s="116"/>
    </row>
    <row r="3961" spans="1:5" x14ac:dyDescent="0.25">
      <c r="A3961" s="83"/>
      <c r="B3961" s="84"/>
      <c r="C3961" s="84"/>
      <c r="D3961" s="116"/>
      <c r="E3961" s="116"/>
    </row>
    <row r="3962" spans="1:5" x14ac:dyDescent="0.25">
      <c r="A3962" s="83"/>
      <c r="B3962" s="84"/>
      <c r="C3962" s="84"/>
      <c r="D3962" s="116"/>
      <c r="E3962" s="116"/>
    </row>
    <row r="3963" spans="1:5" x14ac:dyDescent="0.25">
      <c r="A3963" s="83"/>
      <c r="B3963" s="84"/>
      <c r="C3963" s="84"/>
      <c r="D3963" s="116"/>
      <c r="E3963" s="116"/>
    </row>
    <row r="3964" spans="1:5" x14ac:dyDescent="0.25">
      <c r="A3964" s="83"/>
      <c r="B3964" s="84"/>
      <c r="C3964" s="84"/>
      <c r="D3964" s="116"/>
      <c r="E3964" s="116"/>
    </row>
    <row r="3965" spans="1:5" x14ac:dyDescent="0.25">
      <c r="A3965" s="83"/>
      <c r="B3965" s="84"/>
      <c r="C3965" s="84"/>
      <c r="D3965" s="116"/>
      <c r="E3965" s="116"/>
    </row>
    <row r="3966" spans="1:5" x14ac:dyDescent="0.25">
      <c r="A3966" s="83"/>
      <c r="B3966" s="84"/>
      <c r="C3966" s="84"/>
      <c r="D3966" s="116"/>
      <c r="E3966" s="116"/>
    </row>
    <row r="3967" spans="1:5" x14ac:dyDescent="0.25">
      <c r="A3967" s="83"/>
      <c r="B3967" s="84"/>
      <c r="C3967" s="84"/>
      <c r="D3967" s="116"/>
      <c r="E3967" s="116"/>
    </row>
    <row r="3968" spans="1:5" x14ac:dyDescent="0.25">
      <c r="A3968" s="83"/>
      <c r="B3968" s="84"/>
      <c r="C3968" s="84"/>
      <c r="D3968" s="116"/>
      <c r="E3968" s="116"/>
    </row>
    <row r="3969" spans="1:5" x14ac:dyDescent="0.25">
      <c r="A3969" s="83"/>
      <c r="B3969" s="84"/>
      <c r="C3969" s="84"/>
      <c r="D3969" s="116"/>
      <c r="E3969" s="116"/>
    </row>
    <row r="3970" spans="1:5" x14ac:dyDescent="0.25">
      <c r="A3970" s="83"/>
      <c r="B3970" s="84"/>
      <c r="C3970" s="84"/>
      <c r="D3970" s="116"/>
      <c r="E3970" s="116"/>
    </row>
    <row r="3971" spans="1:5" x14ac:dyDescent="0.25">
      <c r="A3971" s="83"/>
      <c r="B3971" s="84"/>
      <c r="C3971" s="84"/>
      <c r="D3971" s="116"/>
      <c r="E3971" s="116"/>
    </row>
    <row r="3972" spans="1:5" x14ac:dyDescent="0.25">
      <c r="A3972" s="83"/>
      <c r="B3972" s="84"/>
      <c r="C3972" s="84"/>
      <c r="D3972" s="116"/>
      <c r="E3972" s="116"/>
    </row>
    <row r="3973" spans="1:5" x14ac:dyDescent="0.25">
      <c r="A3973" s="83"/>
      <c r="B3973" s="84"/>
      <c r="C3973" s="84"/>
      <c r="D3973" s="116"/>
      <c r="E3973" s="116"/>
    </row>
    <row r="3974" spans="1:5" x14ac:dyDescent="0.25">
      <c r="A3974" s="83"/>
      <c r="B3974" s="84"/>
      <c r="C3974" s="84"/>
      <c r="D3974" s="116"/>
      <c r="E3974" s="116"/>
    </row>
    <row r="3975" spans="1:5" x14ac:dyDescent="0.25">
      <c r="A3975" s="83"/>
      <c r="B3975" s="84"/>
      <c r="C3975" s="84"/>
      <c r="D3975" s="116"/>
      <c r="E3975" s="116"/>
    </row>
    <row r="3976" spans="1:5" x14ac:dyDescent="0.25">
      <c r="A3976" s="83"/>
      <c r="B3976" s="84"/>
      <c r="C3976" s="84"/>
      <c r="D3976" s="116"/>
      <c r="E3976" s="116"/>
    </row>
    <row r="3977" spans="1:5" x14ac:dyDescent="0.25">
      <c r="A3977" s="83"/>
      <c r="B3977" s="84"/>
      <c r="C3977" s="84"/>
      <c r="D3977" s="116"/>
      <c r="E3977" s="116"/>
    </row>
    <row r="3978" spans="1:5" x14ac:dyDescent="0.25">
      <c r="A3978" s="83"/>
      <c r="B3978" s="84"/>
      <c r="C3978" s="84"/>
      <c r="D3978" s="116"/>
      <c r="E3978" s="116"/>
    </row>
    <row r="3979" spans="1:5" x14ac:dyDescent="0.25">
      <c r="A3979" s="83"/>
      <c r="B3979" s="84"/>
      <c r="C3979" s="84"/>
      <c r="D3979" s="116"/>
      <c r="E3979" s="116"/>
    </row>
    <row r="3980" spans="1:5" x14ac:dyDescent="0.25">
      <c r="A3980" s="83"/>
      <c r="B3980" s="84"/>
      <c r="C3980" s="84"/>
      <c r="D3980" s="116"/>
      <c r="E3980" s="116"/>
    </row>
    <row r="3981" spans="1:5" x14ac:dyDescent="0.25">
      <c r="A3981" s="83"/>
      <c r="B3981" s="84"/>
      <c r="C3981" s="84"/>
      <c r="D3981" s="116"/>
      <c r="E3981" s="116"/>
    </row>
    <row r="3982" spans="1:5" x14ac:dyDescent="0.25">
      <c r="A3982" s="83"/>
      <c r="B3982" s="84"/>
      <c r="C3982" s="84"/>
      <c r="D3982" s="116"/>
      <c r="E3982" s="116"/>
    </row>
    <row r="3983" spans="1:5" x14ac:dyDescent="0.25">
      <c r="A3983" s="83"/>
      <c r="B3983" s="84"/>
      <c r="C3983" s="84"/>
      <c r="D3983" s="116"/>
      <c r="E3983" s="116"/>
    </row>
    <row r="3984" spans="1:5" x14ac:dyDescent="0.25">
      <c r="A3984" s="83"/>
      <c r="B3984" s="84"/>
      <c r="C3984" s="84"/>
      <c r="D3984" s="116"/>
      <c r="E3984" s="116"/>
    </row>
    <row r="3985" spans="1:5" x14ac:dyDescent="0.25">
      <c r="A3985" s="83"/>
      <c r="B3985" s="84"/>
      <c r="C3985" s="84"/>
      <c r="D3985" s="116"/>
      <c r="E3985" s="116"/>
    </row>
    <row r="3986" spans="1:5" x14ac:dyDescent="0.25">
      <c r="A3986" s="83"/>
      <c r="B3986" s="84"/>
      <c r="C3986" s="84"/>
      <c r="D3986" s="116"/>
      <c r="E3986" s="116"/>
    </row>
    <row r="3987" spans="1:5" x14ac:dyDescent="0.25">
      <c r="A3987" s="83"/>
      <c r="B3987" s="84"/>
      <c r="C3987" s="84"/>
      <c r="D3987" s="116"/>
      <c r="E3987" s="116"/>
    </row>
    <row r="3988" spans="1:5" x14ac:dyDescent="0.25">
      <c r="A3988" s="83"/>
      <c r="B3988" s="84"/>
      <c r="C3988" s="84"/>
      <c r="D3988" s="116"/>
      <c r="E3988" s="116"/>
    </row>
    <row r="3989" spans="1:5" x14ac:dyDescent="0.25">
      <c r="A3989" s="83"/>
      <c r="B3989" s="84"/>
      <c r="C3989" s="84"/>
      <c r="D3989" s="116"/>
      <c r="E3989" s="116"/>
    </row>
    <row r="3990" spans="1:5" x14ac:dyDescent="0.25">
      <c r="A3990" s="83"/>
      <c r="B3990" s="84"/>
      <c r="C3990" s="84"/>
      <c r="D3990" s="116"/>
      <c r="E3990" s="116"/>
    </row>
    <row r="3991" spans="1:5" x14ac:dyDescent="0.25">
      <c r="A3991" s="83"/>
      <c r="B3991" s="84"/>
      <c r="C3991" s="84"/>
      <c r="D3991" s="116"/>
      <c r="E3991" s="116"/>
    </row>
    <row r="3992" spans="1:5" x14ac:dyDescent="0.25">
      <c r="A3992" s="83"/>
      <c r="B3992" s="84"/>
      <c r="C3992" s="84"/>
      <c r="D3992" s="116"/>
      <c r="E3992" s="116"/>
    </row>
    <row r="3993" spans="1:5" x14ac:dyDescent="0.25">
      <c r="A3993" s="83"/>
      <c r="B3993" s="84"/>
      <c r="C3993" s="84"/>
      <c r="D3993" s="116"/>
      <c r="E3993" s="116"/>
    </row>
    <row r="3994" spans="1:5" x14ac:dyDescent="0.25">
      <c r="A3994" s="83"/>
      <c r="B3994" s="84"/>
      <c r="C3994" s="84"/>
      <c r="D3994" s="116"/>
      <c r="E3994" s="116"/>
    </row>
    <row r="3995" spans="1:5" x14ac:dyDescent="0.25">
      <c r="A3995" s="83"/>
      <c r="B3995" s="84"/>
      <c r="C3995" s="84"/>
      <c r="D3995" s="116"/>
      <c r="E3995" s="116"/>
    </row>
    <row r="3996" spans="1:5" x14ac:dyDescent="0.25">
      <c r="A3996" s="83"/>
      <c r="B3996" s="84"/>
      <c r="C3996" s="84"/>
      <c r="D3996" s="116"/>
      <c r="E3996" s="116"/>
    </row>
    <row r="3997" spans="1:5" x14ac:dyDescent="0.25">
      <c r="A3997" s="83"/>
      <c r="B3997" s="84"/>
      <c r="C3997" s="84"/>
      <c r="D3997" s="116"/>
      <c r="E3997" s="116"/>
    </row>
    <row r="3998" spans="1:5" x14ac:dyDescent="0.25">
      <c r="A3998" s="83"/>
      <c r="B3998" s="84"/>
      <c r="C3998" s="84"/>
      <c r="D3998" s="116"/>
      <c r="E3998" s="116"/>
    </row>
    <row r="3999" spans="1:5" x14ac:dyDescent="0.25">
      <c r="A3999" s="83"/>
      <c r="B3999" s="84"/>
      <c r="C3999" s="84"/>
      <c r="D3999" s="116"/>
      <c r="E3999" s="116"/>
    </row>
    <row r="4000" spans="1:5" x14ac:dyDescent="0.25">
      <c r="A4000" s="83"/>
      <c r="B4000" s="84"/>
      <c r="C4000" s="84"/>
      <c r="D4000" s="116"/>
      <c r="E4000" s="116"/>
    </row>
    <row r="4001" spans="1:5" x14ac:dyDescent="0.25">
      <c r="A4001" s="83"/>
      <c r="B4001" s="84"/>
      <c r="C4001" s="84"/>
      <c r="D4001" s="116"/>
      <c r="E4001" s="116"/>
    </row>
    <row r="4002" spans="1:5" x14ac:dyDescent="0.25">
      <c r="A4002" s="83"/>
      <c r="B4002" s="84"/>
      <c r="C4002" s="84"/>
      <c r="D4002" s="116"/>
      <c r="E4002" s="116"/>
    </row>
    <row r="4003" spans="1:5" x14ac:dyDescent="0.25">
      <c r="A4003" s="83"/>
      <c r="B4003" s="84"/>
      <c r="C4003" s="84"/>
      <c r="D4003" s="116"/>
      <c r="E4003" s="116"/>
    </row>
    <row r="4004" spans="1:5" x14ac:dyDescent="0.25">
      <c r="A4004" s="83"/>
      <c r="B4004" s="84"/>
      <c r="C4004" s="84"/>
      <c r="D4004" s="116"/>
      <c r="E4004" s="116"/>
    </row>
    <row r="4005" spans="1:5" x14ac:dyDescent="0.25">
      <c r="A4005" s="83"/>
      <c r="B4005" s="84"/>
      <c r="C4005" s="84"/>
      <c r="D4005" s="116"/>
      <c r="E4005" s="116"/>
    </row>
    <row r="4006" spans="1:5" x14ac:dyDescent="0.25">
      <c r="A4006" s="83"/>
      <c r="B4006" s="84"/>
      <c r="C4006" s="84"/>
      <c r="D4006" s="116"/>
      <c r="E4006" s="116"/>
    </row>
    <row r="4007" spans="1:5" x14ac:dyDescent="0.25">
      <c r="A4007" s="83"/>
      <c r="B4007" s="84"/>
      <c r="C4007" s="84"/>
      <c r="D4007" s="116"/>
      <c r="E4007" s="116"/>
    </row>
    <row r="4008" spans="1:5" x14ac:dyDescent="0.25">
      <c r="A4008" s="83"/>
      <c r="B4008" s="84"/>
      <c r="C4008" s="84"/>
      <c r="D4008" s="116"/>
      <c r="E4008" s="116"/>
    </row>
    <row r="4009" spans="1:5" x14ac:dyDescent="0.25">
      <c r="A4009" s="83"/>
      <c r="B4009" s="84"/>
      <c r="C4009" s="84"/>
      <c r="D4009" s="116"/>
      <c r="E4009" s="116"/>
    </row>
    <row r="4010" spans="1:5" x14ac:dyDescent="0.25">
      <c r="A4010" s="83"/>
      <c r="B4010" s="84"/>
      <c r="C4010" s="84"/>
      <c r="D4010" s="116"/>
      <c r="E4010" s="116"/>
    </row>
    <row r="4011" spans="1:5" x14ac:dyDescent="0.25">
      <c r="A4011" s="83"/>
      <c r="B4011" s="84"/>
      <c r="C4011" s="84"/>
      <c r="D4011" s="116"/>
      <c r="E4011" s="116"/>
    </row>
    <row r="4012" spans="1:5" x14ac:dyDescent="0.25">
      <c r="A4012" s="83"/>
      <c r="B4012" s="84"/>
      <c r="C4012" s="84"/>
      <c r="D4012" s="116"/>
      <c r="E4012" s="116"/>
    </row>
    <row r="4013" spans="1:5" x14ac:dyDescent="0.25">
      <c r="A4013" s="83"/>
      <c r="B4013" s="84"/>
      <c r="C4013" s="84"/>
      <c r="D4013" s="116"/>
      <c r="E4013" s="116"/>
    </row>
    <row r="4014" spans="1:5" x14ac:dyDescent="0.25">
      <c r="A4014" s="83"/>
      <c r="B4014" s="84"/>
      <c r="C4014" s="84"/>
      <c r="D4014" s="116"/>
      <c r="E4014" s="116"/>
    </row>
    <row r="4015" spans="1:5" x14ac:dyDescent="0.25">
      <c r="A4015" s="83"/>
      <c r="B4015" s="84"/>
      <c r="C4015" s="84"/>
      <c r="D4015" s="116"/>
      <c r="E4015" s="116"/>
    </row>
    <row r="4016" spans="1:5" x14ac:dyDescent="0.25">
      <c r="A4016" s="83"/>
      <c r="B4016" s="84"/>
      <c r="C4016" s="84"/>
      <c r="D4016" s="116"/>
      <c r="E4016" s="116"/>
    </row>
    <row r="4017" spans="1:5" x14ac:dyDescent="0.25">
      <c r="A4017" s="83"/>
      <c r="B4017" s="84"/>
      <c r="C4017" s="84"/>
      <c r="D4017" s="116"/>
      <c r="E4017" s="116"/>
    </row>
    <row r="4018" spans="1:5" x14ac:dyDescent="0.25">
      <c r="A4018" s="83"/>
      <c r="B4018" s="84"/>
      <c r="C4018" s="84"/>
      <c r="D4018" s="116"/>
      <c r="E4018" s="116"/>
    </row>
    <row r="4019" spans="1:5" x14ac:dyDescent="0.25">
      <c r="A4019" s="83"/>
      <c r="B4019" s="84"/>
      <c r="C4019" s="84"/>
      <c r="D4019" s="116"/>
      <c r="E4019" s="116"/>
    </row>
    <row r="4020" spans="1:5" x14ac:dyDescent="0.25">
      <c r="A4020" s="83"/>
      <c r="B4020" s="84"/>
      <c r="C4020" s="84"/>
      <c r="D4020" s="116"/>
      <c r="E4020" s="116"/>
    </row>
    <row r="4021" spans="1:5" x14ac:dyDescent="0.25">
      <c r="A4021" s="83"/>
      <c r="B4021" s="84"/>
      <c r="C4021" s="84"/>
      <c r="D4021" s="116"/>
      <c r="E4021" s="116"/>
    </row>
    <row r="4022" spans="1:5" x14ac:dyDescent="0.25">
      <c r="A4022" s="83"/>
      <c r="B4022" s="84"/>
      <c r="C4022" s="84"/>
      <c r="D4022" s="116"/>
      <c r="E4022" s="116"/>
    </row>
    <row r="4023" spans="1:5" x14ac:dyDescent="0.25">
      <c r="A4023" s="83"/>
      <c r="B4023" s="84"/>
      <c r="C4023" s="84"/>
      <c r="D4023" s="116"/>
      <c r="E4023" s="116"/>
    </row>
    <row r="4024" spans="1:5" x14ac:dyDescent="0.25">
      <c r="A4024" s="83"/>
      <c r="B4024" s="84"/>
      <c r="C4024" s="84"/>
      <c r="D4024" s="116"/>
      <c r="E4024" s="116"/>
    </row>
    <row r="4025" spans="1:5" x14ac:dyDescent="0.25">
      <c r="A4025" s="83"/>
      <c r="B4025" s="84"/>
      <c r="C4025" s="84"/>
      <c r="D4025" s="116"/>
      <c r="E4025" s="116"/>
    </row>
    <row r="4026" spans="1:5" x14ac:dyDescent="0.25">
      <c r="A4026" s="83"/>
      <c r="B4026" s="84"/>
      <c r="C4026" s="84"/>
      <c r="D4026" s="116"/>
      <c r="E4026" s="116"/>
    </row>
    <row r="4027" spans="1:5" x14ac:dyDescent="0.25">
      <c r="A4027" s="83"/>
      <c r="B4027" s="84"/>
      <c r="C4027" s="84"/>
      <c r="D4027" s="116"/>
      <c r="E4027" s="116"/>
    </row>
    <row r="4028" spans="1:5" x14ac:dyDescent="0.25">
      <c r="A4028" s="83"/>
      <c r="B4028" s="84"/>
      <c r="C4028" s="84"/>
      <c r="D4028" s="116"/>
      <c r="E4028" s="116"/>
    </row>
    <row r="4029" spans="1:5" x14ac:dyDescent="0.25">
      <c r="A4029" s="83"/>
      <c r="B4029" s="84"/>
      <c r="C4029" s="84"/>
      <c r="D4029" s="116"/>
      <c r="E4029" s="116"/>
    </row>
    <row r="4030" spans="1:5" x14ac:dyDescent="0.25">
      <c r="A4030" s="83"/>
      <c r="B4030" s="84"/>
      <c r="C4030" s="84"/>
      <c r="D4030" s="116"/>
      <c r="E4030" s="116"/>
    </row>
    <row r="4031" spans="1:5" x14ac:dyDescent="0.25">
      <c r="A4031" s="83"/>
      <c r="B4031" s="84"/>
      <c r="C4031" s="84"/>
      <c r="D4031" s="116"/>
      <c r="E4031" s="116"/>
    </row>
    <row r="4032" spans="1:5" x14ac:dyDescent="0.25">
      <c r="A4032" s="83"/>
      <c r="B4032" s="84"/>
      <c r="C4032" s="84"/>
      <c r="D4032" s="116"/>
      <c r="E4032" s="116"/>
    </row>
    <row r="4033" spans="1:5" x14ac:dyDescent="0.25">
      <c r="A4033" s="83"/>
      <c r="B4033" s="84"/>
      <c r="C4033" s="84"/>
      <c r="D4033" s="116"/>
      <c r="E4033" s="116"/>
    </row>
    <row r="4034" spans="1:5" x14ac:dyDescent="0.25">
      <c r="A4034" s="83"/>
      <c r="B4034" s="84"/>
      <c r="C4034" s="84"/>
      <c r="D4034" s="116"/>
      <c r="E4034" s="116"/>
    </row>
    <row r="4035" spans="1:5" x14ac:dyDescent="0.25">
      <c r="A4035" s="83"/>
      <c r="B4035" s="84"/>
      <c r="C4035" s="84"/>
      <c r="D4035" s="116"/>
      <c r="E4035" s="116"/>
    </row>
    <row r="4036" spans="1:5" x14ac:dyDescent="0.25">
      <c r="A4036" s="83"/>
      <c r="B4036" s="84"/>
      <c r="C4036" s="84"/>
      <c r="D4036" s="116"/>
      <c r="E4036" s="116"/>
    </row>
    <row r="4037" spans="1:5" x14ac:dyDescent="0.25">
      <c r="A4037" s="83"/>
      <c r="B4037" s="84"/>
      <c r="C4037" s="84"/>
      <c r="D4037" s="116"/>
      <c r="E4037" s="116"/>
    </row>
    <row r="4038" spans="1:5" x14ac:dyDescent="0.25">
      <c r="A4038" s="83"/>
      <c r="B4038" s="84"/>
      <c r="C4038" s="84"/>
      <c r="D4038" s="116"/>
      <c r="E4038" s="116"/>
    </row>
    <row r="4039" spans="1:5" x14ac:dyDescent="0.25">
      <c r="A4039" s="83"/>
      <c r="B4039" s="84"/>
      <c r="C4039" s="84"/>
      <c r="D4039" s="116"/>
      <c r="E4039" s="116"/>
    </row>
    <row r="4040" spans="1:5" x14ac:dyDescent="0.25">
      <c r="A4040" s="83"/>
      <c r="B4040" s="84"/>
      <c r="C4040" s="84"/>
      <c r="D4040" s="116"/>
      <c r="E4040" s="116"/>
    </row>
    <row r="4041" spans="1:5" x14ac:dyDescent="0.25">
      <c r="A4041" s="83"/>
      <c r="B4041" s="84"/>
      <c r="C4041" s="84"/>
      <c r="D4041" s="116"/>
      <c r="E4041" s="116"/>
    </row>
    <row r="4042" spans="1:5" x14ac:dyDescent="0.25">
      <c r="A4042" s="83"/>
      <c r="B4042" s="84"/>
      <c r="C4042" s="84"/>
      <c r="D4042" s="116"/>
      <c r="E4042" s="116"/>
    </row>
    <row r="4043" spans="1:5" x14ac:dyDescent="0.25">
      <c r="A4043" s="83"/>
      <c r="B4043" s="84"/>
      <c r="C4043" s="84"/>
      <c r="D4043" s="116"/>
      <c r="E4043" s="116"/>
    </row>
    <row r="4044" spans="1:5" x14ac:dyDescent="0.25">
      <c r="A4044" s="83"/>
      <c r="B4044" s="84"/>
      <c r="C4044" s="84"/>
      <c r="D4044" s="116"/>
      <c r="E4044" s="116"/>
    </row>
    <row r="4045" spans="1:5" x14ac:dyDescent="0.25">
      <c r="A4045" s="83"/>
      <c r="B4045" s="84"/>
      <c r="C4045" s="84"/>
      <c r="D4045" s="116"/>
      <c r="E4045" s="116"/>
    </row>
    <row r="4046" spans="1:5" x14ac:dyDescent="0.25">
      <c r="A4046" s="83"/>
      <c r="B4046" s="84"/>
      <c r="C4046" s="84"/>
      <c r="D4046" s="116"/>
      <c r="E4046" s="116"/>
    </row>
    <row r="4047" spans="1:5" x14ac:dyDescent="0.25">
      <c r="A4047" s="83"/>
      <c r="B4047" s="84"/>
      <c r="C4047" s="84"/>
      <c r="D4047" s="116"/>
      <c r="E4047" s="116"/>
    </row>
    <row r="4048" spans="1:5" x14ac:dyDescent="0.25">
      <c r="A4048" s="83"/>
      <c r="B4048" s="84"/>
      <c r="C4048" s="84"/>
      <c r="D4048" s="116"/>
      <c r="E4048" s="116"/>
    </row>
    <row r="4049" spans="1:5" x14ac:dyDescent="0.25">
      <c r="A4049" s="83"/>
      <c r="B4049" s="84"/>
      <c r="C4049" s="84"/>
      <c r="D4049" s="116"/>
      <c r="E4049" s="116"/>
    </row>
    <row r="4050" spans="1:5" x14ac:dyDescent="0.25">
      <c r="A4050" s="83"/>
      <c r="B4050" s="84"/>
      <c r="C4050" s="84"/>
      <c r="D4050" s="116"/>
      <c r="E4050" s="116"/>
    </row>
    <row r="4051" spans="1:5" x14ac:dyDescent="0.25">
      <c r="A4051" s="83"/>
      <c r="B4051" s="84"/>
      <c r="C4051" s="84"/>
      <c r="D4051" s="116"/>
      <c r="E4051" s="116"/>
    </row>
    <row r="4052" spans="1:5" x14ac:dyDescent="0.25">
      <c r="A4052" s="83"/>
      <c r="B4052" s="84"/>
      <c r="C4052" s="84"/>
      <c r="D4052" s="116"/>
      <c r="E4052" s="116"/>
    </row>
    <row r="4053" spans="1:5" x14ac:dyDescent="0.25">
      <c r="A4053" s="83"/>
      <c r="B4053" s="84"/>
      <c r="C4053" s="84"/>
      <c r="D4053" s="116"/>
      <c r="E4053" s="116"/>
    </row>
    <row r="4054" spans="1:5" x14ac:dyDescent="0.25">
      <c r="A4054" s="83"/>
      <c r="B4054" s="84"/>
      <c r="C4054" s="84"/>
      <c r="D4054" s="116"/>
      <c r="E4054" s="116"/>
    </row>
    <row r="4055" spans="1:5" x14ac:dyDescent="0.25">
      <c r="A4055" s="83"/>
      <c r="B4055" s="84"/>
      <c r="C4055" s="84"/>
      <c r="D4055" s="116"/>
      <c r="E4055" s="116"/>
    </row>
    <row r="4056" spans="1:5" x14ac:dyDescent="0.25">
      <c r="A4056" s="83"/>
      <c r="B4056" s="84"/>
      <c r="C4056" s="84"/>
      <c r="D4056" s="116"/>
      <c r="E4056" s="116"/>
    </row>
    <row r="4057" spans="1:5" x14ac:dyDescent="0.25">
      <c r="A4057" s="83"/>
      <c r="B4057" s="84"/>
      <c r="C4057" s="84"/>
      <c r="D4057" s="116"/>
      <c r="E4057" s="116"/>
    </row>
    <row r="4058" spans="1:5" x14ac:dyDescent="0.25">
      <c r="A4058" s="83"/>
      <c r="B4058" s="84"/>
      <c r="C4058" s="84"/>
      <c r="D4058" s="116"/>
      <c r="E4058" s="116"/>
    </row>
    <row r="4059" spans="1:5" x14ac:dyDescent="0.25">
      <c r="A4059" s="83"/>
      <c r="B4059" s="84"/>
      <c r="C4059" s="84"/>
      <c r="D4059" s="116"/>
      <c r="E4059" s="116"/>
    </row>
    <row r="4060" spans="1:5" x14ac:dyDescent="0.25">
      <c r="A4060" s="83"/>
      <c r="B4060" s="84"/>
      <c r="C4060" s="84"/>
      <c r="D4060" s="116"/>
      <c r="E4060" s="116"/>
    </row>
    <row r="4061" spans="1:5" x14ac:dyDescent="0.25">
      <c r="A4061" s="83"/>
      <c r="B4061" s="84"/>
      <c r="C4061" s="84"/>
      <c r="D4061" s="116"/>
      <c r="E4061" s="116"/>
    </row>
    <row r="4062" spans="1:5" x14ac:dyDescent="0.25">
      <c r="A4062" s="83"/>
      <c r="B4062" s="84"/>
      <c r="C4062" s="84"/>
      <c r="D4062" s="116"/>
      <c r="E4062" s="116"/>
    </row>
    <row r="4063" spans="1:5" x14ac:dyDescent="0.25">
      <c r="A4063" s="83"/>
      <c r="B4063" s="84"/>
      <c r="C4063" s="84"/>
      <c r="D4063" s="116"/>
      <c r="E4063" s="116"/>
    </row>
    <row r="4064" spans="1:5" x14ac:dyDescent="0.25">
      <c r="A4064" s="83"/>
      <c r="B4064" s="84"/>
      <c r="C4064" s="84"/>
      <c r="D4064" s="116"/>
      <c r="E4064" s="116"/>
    </row>
    <row r="4065" spans="1:5" x14ac:dyDescent="0.25">
      <c r="A4065" s="83"/>
      <c r="B4065" s="84"/>
      <c r="C4065" s="84"/>
      <c r="D4065" s="116"/>
      <c r="E4065" s="116"/>
    </row>
    <row r="4066" spans="1:5" x14ac:dyDescent="0.25">
      <c r="A4066" s="83"/>
      <c r="B4066" s="84"/>
      <c r="C4066" s="84"/>
      <c r="D4066" s="116"/>
      <c r="E4066" s="116"/>
    </row>
    <row r="4067" spans="1:5" x14ac:dyDescent="0.25">
      <c r="A4067" s="83"/>
      <c r="B4067" s="84"/>
      <c r="C4067" s="84"/>
      <c r="D4067" s="116"/>
      <c r="E4067" s="116"/>
    </row>
    <row r="4068" spans="1:5" x14ac:dyDescent="0.25">
      <c r="A4068" s="83"/>
      <c r="B4068" s="84"/>
      <c r="C4068" s="84"/>
      <c r="D4068" s="116"/>
      <c r="E4068" s="116"/>
    </row>
    <row r="4069" spans="1:5" x14ac:dyDescent="0.25">
      <c r="A4069" s="83"/>
      <c r="B4069" s="84"/>
      <c r="C4069" s="84"/>
      <c r="D4069" s="116"/>
      <c r="E4069" s="116"/>
    </row>
    <row r="4070" spans="1:5" x14ac:dyDescent="0.25">
      <c r="A4070" s="83"/>
      <c r="B4070" s="84"/>
      <c r="C4070" s="84"/>
      <c r="D4070" s="116"/>
      <c r="E4070" s="116"/>
    </row>
    <row r="4071" spans="1:5" x14ac:dyDescent="0.25">
      <c r="A4071" s="83"/>
      <c r="B4071" s="84"/>
      <c r="C4071" s="84"/>
      <c r="D4071" s="116"/>
      <c r="E4071" s="116"/>
    </row>
    <row r="4072" spans="1:5" x14ac:dyDescent="0.25">
      <c r="A4072" s="83"/>
      <c r="B4072" s="84"/>
      <c r="C4072" s="84"/>
      <c r="D4072" s="116"/>
      <c r="E4072" s="116"/>
    </row>
    <row r="4073" spans="1:5" x14ac:dyDescent="0.25">
      <c r="A4073" s="83"/>
      <c r="B4073" s="84"/>
      <c r="C4073" s="84"/>
      <c r="D4073" s="116"/>
      <c r="E4073" s="116"/>
    </row>
    <row r="4074" spans="1:5" x14ac:dyDescent="0.25">
      <c r="A4074" s="83"/>
      <c r="B4074" s="84"/>
      <c r="C4074" s="84"/>
      <c r="D4074" s="116"/>
      <c r="E4074" s="116"/>
    </row>
    <row r="4075" spans="1:5" x14ac:dyDescent="0.25">
      <c r="A4075" s="83"/>
      <c r="B4075" s="84"/>
      <c r="C4075" s="84"/>
      <c r="D4075" s="116"/>
      <c r="E4075" s="116"/>
    </row>
    <row r="4076" spans="1:5" x14ac:dyDescent="0.25">
      <c r="A4076" s="83"/>
      <c r="B4076" s="84"/>
      <c r="C4076" s="84"/>
      <c r="D4076" s="116"/>
      <c r="E4076" s="116"/>
    </row>
    <row r="4077" spans="1:5" x14ac:dyDescent="0.25">
      <c r="A4077" s="83"/>
      <c r="B4077" s="84"/>
      <c r="C4077" s="84"/>
      <c r="D4077" s="116"/>
      <c r="E4077" s="116"/>
    </row>
    <row r="4078" spans="1:5" x14ac:dyDescent="0.25">
      <c r="A4078" s="83"/>
      <c r="B4078" s="84"/>
      <c r="C4078" s="84"/>
      <c r="D4078" s="116"/>
      <c r="E4078" s="116"/>
    </row>
    <row r="4079" spans="1:5" x14ac:dyDescent="0.25">
      <c r="A4079" s="83"/>
      <c r="B4079" s="84"/>
      <c r="C4079" s="84"/>
      <c r="D4079" s="116"/>
      <c r="E4079" s="116"/>
    </row>
    <row r="4080" spans="1:5" x14ac:dyDescent="0.25">
      <c r="A4080" s="83"/>
      <c r="B4080" s="84"/>
      <c r="C4080" s="84"/>
      <c r="D4080" s="116"/>
      <c r="E4080" s="116"/>
    </row>
    <row r="4081" spans="1:5" x14ac:dyDescent="0.25">
      <c r="A4081" s="83"/>
      <c r="B4081" s="84"/>
      <c r="C4081" s="84"/>
      <c r="D4081" s="116"/>
      <c r="E4081" s="116"/>
    </row>
    <row r="4082" spans="1:5" x14ac:dyDescent="0.25">
      <c r="A4082" s="83"/>
      <c r="B4082" s="84"/>
      <c r="C4082" s="84"/>
      <c r="D4082" s="116"/>
      <c r="E4082" s="116"/>
    </row>
    <row r="4083" spans="1:5" x14ac:dyDescent="0.25">
      <c r="A4083" s="83"/>
      <c r="B4083" s="84"/>
      <c r="C4083" s="84"/>
      <c r="D4083" s="116"/>
      <c r="E4083" s="116"/>
    </row>
    <row r="4084" spans="1:5" x14ac:dyDescent="0.25">
      <c r="A4084" s="83"/>
      <c r="B4084" s="84"/>
      <c r="C4084" s="84"/>
      <c r="D4084" s="116"/>
      <c r="E4084" s="116"/>
    </row>
    <row r="4085" spans="1:5" x14ac:dyDescent="0.25">
      <c r="A4085" s="83"/>
      <c r="B4085" s="84"/>
      <c r="C4085" s="84"/>
      <c r="D4085" s="116"/>
      <c r="E4085" s="116"/>
    </row>
    <row r="4086" spans="1:5" x14ac:dyDescent="0.25">
      <c r="A4086" s="83"/>
      <c r="B4086" s="84"/>
      <c r="C4086" s="84"/>
      <c r="D4086" s="116"/>
      <c r="E4086" s="116"/>
    </row>
    <row r="4087" spans="1:5" x14ac:dyDescent="0.25">
      <c r="A4087" s="83"/>
      <c r="B4087" s="84"/>
      <c r="C4087" s="84"/>
      <c r="D4087" s="116"/>
      <c r="E4087" s="116"/>
    </row>
    <row r="4088" spans="1:5" x14ac:dyDescent="0.25">
      <c r="A4088" s="83"/>
      <c r="B4088" s="84"/>
      <c r="C4088" s="84"/>
      <c r="D4088" s="116"/>
      <c r="E4088" s="116"/>
    </row>
    <row r="4089" spans="1:5" x14ac:dyDescent="0.25">
      <c r="A4089" s="83"/>
      <c r="B4089" s="84"/>
      <c r="C4089" s="84"/>
      <c r="D4089" s="116"/>
      <c r="E4089" s="116"/>
    </row>
    <row r="4090" spans="1:5" x14ac:dyDescent="0.25">
      <c r="A4090" s="83"/>
      <c r="B4090" s="84"/>
      <c r="C4090" s="84"/>
      <c r="D4090" s="116"/>
      <c r="E4090" s="116"/>
    </row>
    <row r="4091" spans="1:5" x14ac:dyDescent="0.25">
      <c r="A4091" s="83"/>
      <c r="B4091" s="84"/>
      <c r="C4091" s="84"/>
      <c r="D4091" s="116"/>
      <c r="E4091" s="116"/>
    </row>
    <row r="4092" spans="1:5" x14ac:dyDescent="0.25">
      <c r="A4092" s="83"/>
      <c r="B4092" s="84"/>
      <c r="C4092" s="84"/>
      <c r="D4092" s="116"/>
      <c r="E4092" s="116"/>
    </row>
    <row r="4093" spans="1:5" x14ac:dyDescent="0.25">
      <c r="A4093" s="83"/>
      <c r="B4093" s="84"/>
      <c r="C4093" s="84"/>
      <c r="D4093" s="116"/>
      <c r="E4093" s="116"/>
    </row>
    <row r="4094" spans="1:5" x14ac:dyDescent="0.25">
      <c r="A4094" s="83"/>
      <c r="B4094" s="84"/>
      <c r="C4094" s="84"/>
      <c r="D4094" s="116"/>
      <c r="E4094" s="116"/>
    </row>
    <row r="4095" spans="1:5" x14ac:dyDescent="0.25">
      <c r="A4095" s="83"/>
      <c r="B4095" s="84"/>
      <c r="C4095" s="84"/>
      <c r="D4095" s="116"/>
      <c r="E4095" s="116"/>
    </row>
    <row r="4096" spans="1:5" x14ac:dyDescent="0.25">
      <c r="A4096" s="83"/>
      <c r="B4096" s="84"/>
      <c r="C4096" s="84"/>
      <c r="D4096" s="116"/>
      <c r="E4096" s="116"/>
    </row>
    <row r="4097" spans="1:5" x14ac:dyDescent="0.25">
      <c r="A4097" s="83"/>
      <c r="B4097" s="84"/>
      <c r="C4097" s="84"/>
      <c r="D4097" s="116"/>
      <c r="E4097" s="116"/>
    </row>
    <row r="4098" spans="1:5" x14ac:dyDescent="0.25">
      <c r="A4098" s="83"/>
      <c r="B4098" s="84"/>
      <c r="C4098" s="84"/>
      <c r="D4098" s="116"/>
      <c r="E4098" s="116"/>
    </row>
    <row r="4099" spans="1:5" x14ac:dyDescent="0.25">
      <c r="A4099" s="83"/>
      <c r="B4099" s="84"/>
      <c r="C4099" s="84"/>
      <c r="D4099" s="116"/>
      <c r="E4099" s="116"/>
    </row>
    <row r="4100" spans="1:5" x14ac:dyDescent="0.25">
      <c r="A4100" s="83"/>
      <c r="B4100" s="84"/>
      <c r="C4100" s="84"/>
      <c r="D4100" s="116"/>
      <c r="E4100" s="116"/>
    </row>
    <row r="4101" spans="1:5" x14ac:dyDescent="0.25">
      <c r="A4101" s="83"/>
      <c r="B4101" s="84"/>
      <c r="C4101" s="84"/>
      <c r="D4101" s="116"/>
      <c r="E4101" s="116"/>
    </row>
    <row r="4102" spans="1:5" x14ac:dyDescent="0.25">
      <c r="A4102" s="83"/>
      <c r="B4102" s="84"/>
      <c r="C4102" s="84"/>
      <c r="D4102" s="116"/>
      <c r="E4102" s="116"/>
    </row>
    <row r="4103" spans="1:5" x14ac:dyDescent="0.25">
      <c r="A4103" s="83"/>
      <c r="B4103" s="84"/>
      <c r="C4103" s="84"/>
      <c r="D4103" s="116"/>
      <c r="E4103" s="116"/>
    </row>
    <row r="4104" spans="1:5" x14ac:dyDescent="0.25">
      <c r="A4104" s="83"/>
      <c r="B4104" s="84"/>
      <c r="C4104" s="84"/>
      <c r="D4104" s="116"/>
      <c r="E4104" s="116"/>
    </row>
    <row r="4105" spans="1:5" x14ac:dyDescent="0.25">
      <c r="A4105" s="83"/>
      <c r="B4105" s="84"/>
      <c r="C4105" s="84"/>
      <c r="D4105" s="116"/>
      <c r="E4105" s="116"/>
    </row>
    <row r="4106" spans="1:5" x14ac:dyDescent="0.25">
      <c r="A4106" s="83"/>
      <c r="B4106" s="84"/>
      <c r="C4106" s="84"/>
      <c r="D4106" s="116"/>
      <c r="E4106" s="116"/>
    </row>
    <row r="4107" spans="1:5" x14ac:dyDescent="0.25">
      <c r="A4107" s="83"/>
      <c r="B4107" s="84"/>
      <c r="C4107" s="84"/>
      <c r="D4107" s="116"/>
      <c r="E4107" s="116"/>
    </row>
    <row r="4108" spans="1:5" x14ac:dyDescent="0.25">
      <c r="A4108" s="83"/>
      <c r="B4108" s="84"/>
      <c r="C4108" s="84"/>
      <c r="D4108" s="116"/>
      <c r="E4108" s="116"/>
    </row>
    <row r="4109" spans="1:5" x14ac:dyDescent="0.25">
      <c r="A4109" s="83"/>
      <c r="B4109" s="84"/>
      <c r="C4109" s="84"/>
      <c r="D4109" s="116"/>
      <c r="E4109" s="116"/>
    </row>
    <row r="4110" spans="1:5" x14ac:dyDescent="0.25">
      <c r="A4110" s="83"/>
      <c r="B4110" s="84"/>
      <c r="C4110" s="84"/>
      <c r="D4110" s="116"/>
      <c r="E4110" s="116"/>
    </row>
    <row r="4111" spans="1:5" x14ac:dyDescent="0.25">
      <c r="A4111" s="83"/>
      <c r="B4111" s="84"/>
      <c r="C4111" s="84"/>
      <c r="D4111" s="116"/>
      <c r="E4111" s="116"/>
    </row>
    <row r="4112" spans="1:5" x14ac:dyDescent="0.25">
      <c r="A4112" s="83"/>
      <c r="B4112" s="84"/>
      <c r="C4112" s="84"/>
      <c r="D4112" s="116"/>
      <c r="E4112" s="116"/>
    </row>
    <row r="4113" spans="1:5" x14ac:dyDescent="0.25">
      <c r="A4113" s="83"/>
      <c r="B4113" s="84"/>
      <c r="C4113" s="84"/>
      <c r="D4113" s="116"/>
      <c r="E4113" s="116"/>
    </row>
    <row r="4114" spans="1:5" x14ac:dyDescent="0.25">
      <c r="A4114" s="83"/>
      <c r="B4114" s="84"/>
      <c r="C4114" s="84"/>
      <c r="D4114" s="116"/>
      <c r="E4114" s="116"/>
    </row>
    <row r="4115" spans="1:5" x14ac:dyDescent="0.25">
      <c r="A4115" s="83"/>
      <c r="B4115" s="84"/>
      <c r="C4115" s="84"/>
      <c r="D4115" s="116"/>
      <c r="E4115" s="116"/>
    </row>
    <row r="4116" spans="1:5" x14ac:dyDescent="0.25">
      <c r="A4116" s="83"/>
      <c r="B4116" s="84"/>
      <c r="C4116" s="84"/>
      <c r="D4116" s="116"/>
      <c r="E4116" s="116"/>
    </row>
    <row r="4117" spans="1:5" x14ac:dyDescent="0.25">
      <c r="A4117" s="83"/>
      <c r="B4117" s="84"/>
      <c r="C4117" s="84"/>
      <c r="D4117" s="116"/>
      <c r="E4117" s="116"/>
    </row>
    <row r="4118" spans="1:5" x14ac:dyDescent="0.25">
      <c r="A4118" s="83"/>
      <c r="B4118" s="84"/>
      <c r="C4118" s="84"/>
      <c r="D4118" s="116"/>
      <c r="E4118" s="116"/>
    </row>
    <row r="4119" spans="1:5" x14ac:dyDescent="0.25">
      <c r="A4119" s="83"/>
      <c r="B4119" s="84"/>
      <c r="C4119" s="84"/>
      <c r="D4119" s="116"/>
      <c r="E4119" s="116"/>
    </row>
    <row r="4120" spans="1:5" x14ac:dyDescent="0.25">
      <c r="A4120" s="83"/>
      <c r="B4120" s="84"/>
      <c r="C4120" s="84"/>
      <c r="D4120" s="116"/>
      <c r="E4120" s="116"/>
    </row>
    <row r="4121" spans="1:5" x14ac:dyDescent="0.25">
      <c r="A4121" s="83"/>
      <c r="B4121" s="84"/>
      <c r="C4121" s="84"/>
      <c r="D4121" s="116"/>
      <c r="E4121" s="116"/>
    </row>
    <row r="4122" spans="1:5" x14ac:dyDescent="0.25">
      <c r="A4122" s="83"/>
      <c r="B4122" s="84"/>
      <c r="C4122" s="84"/>
      <c r="D4122" s="116"/>
      <c r="E4122" s="116"/>
    </row>
    <row r="4123" spans="1:5" x14ac:dyDescent="0.25">
      <c r="A4123" s="83"/>
      <c r="B4123" s="84"/>
      <c r="C4123" s="84"/>
      <c r="D4123" s="116"/>
      <c r="E4123" s="116"/>
    </row>
    <row r="4124" spans="1:5" x14ac:dyDescent="0.25">
      <c r="A4124" s="83"/>
      <c r="B4124" s="84"/>
      <c r="C4124" s="84"/>
      <c r="D4124" s="116"/>
      <c r="E4124" s="116"/>
    </row>
    <row r="4125" spans="1:5" x14ac:dyDescent="0.25">
      <c r="A4125" s="83"/>
      <c r="B4125" s="84"/>
      <c r="C4125" s="84"/>
      <c r="D4125" s="116"/>
      <c r="E4125" s="116"/>
    </row>
    <row r="4126" spans="1:5" x14ac:dyDescent="0.25">
      <c r="A4126" s="83"/>
      <c r="B4126" s="84"/>
      <c r="C4126" s="84"/>
      <c r="D4126" s="116"/>
      <c r="E4126" s="116"/>
    </row>
    <row r="4127" spans="1:5" x14ac:dyDescent="0.25">
      <c r="A4127" s="83"/>
      <c r="B4127" s="84"/>
      <c r="C4127" s="84"/>
      <c r="D4127" s="116"/>
      <c r="E4127" s="116"/>
    </row>
    <row r="4128" spans="1:5" x14ac:dyDescent="0.25">
      <c r="A4128" s="83"/>
      <c r="B4128" s="84"/>
      <c r="C4128" s="84"/>
      <c r="D4128" s="116"/>
      <c r="E4128" s="116"/>
    </row>
    <row r="4129" spans="1:5" x14ac:dyDescent="0.25">
      <c r="A4129" s="83"/>
      <c r="B4129" s="84"/>
      <c r="C4129" s="84"/>
      <c r="D4129" s="116"/>
      <c r="E4129" s="116"/>
    </row>
    <row r="4130" spans="1:5" x14ac:dyDescent="0.25">
      <c r="A4130" s="83"/>
      <c r="B4130" s="84"/>
      <c r="C4130" s="84"/>
      <c r="D4130" s="116"/>
      <c r="E4130" s="116"/>
    </row>
    <row r="4131" spans="1:5" x14ac:dyDescent="0.25">
      <c r="A4131" s="83"/>
      <c r="B4131" s="84"/>
      <c r="C4131" s="84"/>
      <c r="D4131" s="116"/>
      <c r="E4131" s="116"/>
    </row>
    <row r="4132" spans="1:5" x14ac:dyDescent="0.25">
      <c r="A4132" s="83"/>
      <c r="B4132" s="84"/>
      <c r="C4132" s="84"/>
      <c r="D4132" s="116"/>
      <c r="E4132" s="116"/>
    </row>
    <row r="4133" spans="1:5" x14ac:dyDescent="0.25">
      <c r="A4133" s="83"/>
      <c r="B4133" s="84"/>
      <c r="C4133" s="84"/>
      <c r="D4133" s="116"/>
      <c r="E4133" s="116"/>
    </row>
    <row r="4134" spans="1:5" x14ac:dyDescent="0.25">
      <c r="A4134" s="83"/>
      <c r="B4134" s="84"/>
      <c r="C4134" s="84"/>
      <c r="D4134" s="116"/>
      <c r="E4134" s="116"/>
    </row>
    <row r="4135" spans="1:5" x14ac:dyDescent="0.25">
      <c r="A4135" s="83"/>
      <c r="B4135" s="84"/>
      <c r="C4135" s="84"/>
      <c r="D4135" s="116"/>
      <c r="E4135" s="116"/>
    </row>
    <row r="4136" spans="1:5" x14ac:dyDescent="0.25">
      <c r="A4136" s="83"/>
      <c r="B4136" s="84"/>
      <c r="C4136" s="84"/>
      <c r="D4136" s="116"/>
      <c r="E4136" s="116"/>
    </row>
    <row r="4137" spans="1:5" x14ac:dyDescent="0.25">
      <c r="A4137" s="83"/>
      <c r="B4137" s="84"/>
      <c r="C4137" s="84"/>
      <c r="D4137" s="116"/>
      <c r="E4137" s="116"/>
    </row>
    <row r="4138" spans="1:5" x14ac:dyDescent="0.25">
      <c r="A4138" s="83"/>
      <c r="B4138" s="84"/>
      <c r="C4138" s="84"/>
      <c r="D4138" s="116"/>
      <c r="E4138" s="116"/>
    </row>
    <row r="4139" spans="1:5" x14ac:dyDescent="0.25">
      <c r="A4139" s="83"/>
      <c r="B4139" s="84"/>
      <c r="C4139" s="84"/>
      <c r="D4139" s="116"/>
      <c r="E4139" s="116"/>
    </row>
    <row r="4140" spans="1:5" x14ac:dyDescent="0.25">
      <c r="A4140" s="83"/>
      <c r="B4140" s="84"/>
      <c r="C4140" s="84"/>
      <c r="D4140" s="116"/>
      <c r="E4140" s="116"/>
    </row>
    <row r="4141" spans="1:5" x14ac:dyDescent="0.25">
      <c r="A4141" s="83"/>
      <c r="B4141" s="84"/>
      <c r="C4141" s="84"/>
      <c r="D4141" s="116"/>
      <c r="E4141" s="116"/>
    </row>
    <row r="4142" spans="1:5" x14ac:dyDescent="0.25">
      <c r="A4142" s="83"/>
      <c r="B4142" s="84"/>
      <c r="C4142" s="84"/>
      <c r="D4142" s="116"/>
      <c r="E4142" s="116"/>
    </row>
    <row r="4143" spans="1:5" x14ac:dyDescent="0.25">
      <c r="A4143" s="83"/>
      <c r="B4143" s="84"/>
      <c r="C4143" s="84"/>
      <c r="D4143" s="116"/>
      <c r="E4143" s="116"/>
    </row>
    <row r="4144" spans="1:5" x14ac:dyDescent="0.25">
      <c r="A4144" s="83"/>
      <c r="B4144" s="84"/>
      <c r="C4144" s="84"/>
      <c r="D4144" s="116"/>
      <c r="E4144" s="116"/>
    </row>
    <row r="4145" spans="1:5" x14ac:dyDescent="0.25">
      <c r="A4145" s="83"/>
      <c r="B4145" s="84"/>
      <c r="C4145" s="84"/>
      <c r="D4145" s="116"/>
      <c r="E4145" s="116"/>
    </row>
    <row r="4146" spans="1:5" x14ac:dyDescent="0.25">
      <c r="A4146" s="83"/>
      <c r="B4146" s="84"/>
      <c r="C4146" s="84"/>
      <c r="D4146" s="116"/>
      <c r="E4146" s="116"/>
    </row>
    <row r="4147" spans="1:5" x14ac:dyDescent="0.25">
      <c r="A4147" s="83"/>
      <c r="B4147" s="84"/>
      <c r="C4147" s="84"/>
      <c r="D4147" s="116"/>
      <c r="E4147" s="116"/>
    </row>
    <row r="4148" spans="1:5" x14ac:dyDescent="0.25">
      <c r="A4148" s="83"/>
      <c r="B4148" s="84"/>
      <c r="C4148" s="84"/>
      <c r="D4148" s="116"/>
      <c r="E4148" s="116"/>
    </row>
    <row r="4149" spans="1:5" x14ac:dyDescent="0.25">
      <c r="A4149" s="83"/>
      <c r="B4149" s="84"/>
      <c r="C4149" s="84"/>
      <c r="D4149" s="116"/>
      <c r="E4149" s="116"/>
    </row>
    <row r="4150" spans="1:5" x14ac:dyDescent="0.25">
      <c r="A4150" s="83"/>
      <c r="B4150" s="84"/>
      <c r="C4150" s="84"/>
      <c r="D4150" s="116"/>
      <c r="E4150" s="116"/>
    </row>
    <row r="4151" spans="1:5" x14ac:dyDescent="0.25">
      <c r="A4151" s="83"/>
      <c r="B4151" s="84"/>
      <c r="C4151" s="84"/>
      <c r="D4151" s="116"/>
      <c r="E4151" s="116"/>
    </row>
    <row r="4152" spans="1:5" x14ac:dyDescent="0.25">
      <c r="A4152" s="83"/>
      <c r="B4152" s="84"/>
      <c r="C4152" s="84"/>
      <c r="D4152" s="116"/>
      <c r="E4152" s="116"/>
    </row>
    <row r="4153" spans="1:5" x14ac:dyDescent="0.25">
      <c r="A4153" s="83"/>
      <c r="B4153" s="84"/>
      <c r="C4153" s="84"/>
      <c r="D4153" s="116"/>
      <c r="E4153" s="116"/>
    </row>
    <row r="4154" spans="1:5" x14ac:dyDescent="0.25">
      <c r="A4154" s="83"/>
      <c r="B4154" s="84"/>
      <c r="C4154" s="84"/>
      <c r="D4154" s="116"/>
      <c r="E4154" s="116"/>
    </row>
    <row r="4155" spans="1:5" x14ac:dyDescent="0.25">
      <c r="A4155" s="83"/>
      <c r="B4155" s="84"/>
      <c r="C4155" s="84"/>
      <c r="D4155" s="116"/>
      <c r="E4155" s="116"/>
    </row>
    <row r="4156" spans="1:5" x14ac:dyDescent="0.25">
      <c r="A4156" s="83"/>
      <c r="B4156" s="84"/>
      <c r="C4156" s="84"/>
      <c r="D4156" s="116"/>
      <c r="E4156" s="116"/>
    </row>
    <row r="4157" spans="1:5" x14ac:dyDescent="0.25">
      <c r="A4157" s="83"/>
      <c r="B4157" s="84"/>
      <c r="C4157" s="84"/>
      <c r="D4157" s="116"/>
      <c r="E4157" s="116"/>
    </row>
    <row r="4158" spans="1:5" x14ac:dyDescent="0.25">
      <c r="A4158" s="83"/>
      <c r="B4158" s="84"/>
      <c r="C4158" s="84"/>
      <c r="D4158" s="116"/>
      <c r="E4158" s="116"/>
    </row>
    <row r="4159" spans="1:5" x14ac:dyDescent="0.25">
      <c r="A4159" s="83"/>
      <c r="B4159" s="84"/>
      <c r="C4159" s="84"/>
      <c r="D4159" s="116"/>
      <c r="E4159" s="116"/>
    </row>
    <row r="4160" spans="1:5" x14ac:dyDescent="0.25">
      <c r="A4160" s="83"/>
      <c r="B4160" s="84"/>
      <c r="C4160" s="84"/>
      <c r="D4160" s="116"/>
      <c r="E4160" s="116"/>
    </row>
    <row r="4161" spans="1:5" x14ac:dyDescent="0.25">
      <c r="A4161" s="83"/>
      <c r="B4161" s="84"/>
      <c r="C4161" s="84"/>
      <c r="D4161" s="116"/>
      <c r="E4161" s="116"/>
    </row>
    <row r="4162" spans="1:5" x14ac:dyDescent="0.25">
      <c r="A4162" s="83"/>
      <c r="B4162" s="84"/>
      <c r="C4162" s="84"/>
      <c r="D4162" s="116"/>
      <c r="E4162" s="116"/>
    </row>
    <row r="4163" spans="1:5" x14ac:dyDescent="0.25">
      <c r="A4163" s="83"/>
      <c r="B4163" s="84"/>
      <c r="C4163" s="84"/>
      <c r="D4163" s="116"/>
      <c r="E4163" s="116"/>
    </row>
    <row r="4164" spans="1:5" x14ac:dyDescent="0.25">
      <c r="A4164" s="83"/>
      <c r="B4164" s="84"/>
      <c r="C4164" s="84"/>
      <c r="D4164" s="116"/>
      <c r="E4164" s="116"/>
    </row>
    <row r="4165" spans="1:5" x14ac:dyDescent="0.25">
      <c r="A4165" s="83"/>
      <c r="B4165" s="84"/>
      <c r="C4165" s="84"/>
      <c r="D4165" s="116"/>
      <c r="E4165" s="116"/>
    </row>
    <row r="4166" spans="1:5" x14ac:dyDescent="0.25">
      <c r="A4166" s="83"/>
      <c r="B4166" s="84"/>
      <c r="C4166" s="84"/>
      <c r="D4166" s="116"/>
      <c r="E4166" s="116"/>
    </row>
    <row r="4167" spans="1:5" x14ac:dyDescent="0.25">
      <c r="A4167" s="83"/>
      <c r="B4167" s="84"/>
      <c r="C4167" s="84"/>
      <c r="D4167" s="116"/>
      <c r="E4167" s="116"/>
    </row>
    <row r="4168" spans="1:5" x14ac:dyDescent="0.25">
      <c r="A4168" s="83"/>
      <c r="B4168" s="84"/>
      <c r="C4168" s="84"/>
      <c r="D4168" s="116"/>
      <c r="E4168" s="116"/>
    </row>
    <row r="4169" spans="1:5" x14ac:dyDescent="0.25">
      <c r="A4169" s="83"/>
      <c r="B4169" s="84"/>
      <c r="C4169" s="84"/>
      <c r="D4169" s="116"/>
      <c r="E4169" s="116"/>
    </row>
    <row r="4170" spans="1:5" x14ac:dyDescent="0.25">
      <c r="A4170" s="83"/>
      <c r="B4170" s="84"/>
      <c r="C4170" s="84"/>
      <c r="D4170" s="116"/>
      <c r="E4170" s="116"/>
    </row>
    <row r="4171" spans="1:5" x14ac:dyDescent="0.25">
      <c r="A4171" s="83"/>
      <c r="B4171" s="84"/>
      <c r="C4171" s="84"/>
      <c r="D4171" s="116"/>
      <c r="E4171" s="116"/>
    </row>
    <row r="4172" spans="1:5" x14ac:dyDescent="0.25">
      <c r="A4172" s="83"/>
      <c r="B4172" s="84"/>
      <c r="C4172" s="84"/>
      <c r="D4172" s="116"/>
      <c r="E4172" s="116"/>
    </row>
    <row r="4173" spans="1:5" x14ac:dyDescent="0.25">
      <c r="A4173" s="83"/>
      <c r="B4173" s="84"/>
      <c r="C4173" s="84"/>
      <c r="D4173" s="116"/>
      <c r="E4173" s="116"/>
    </row>
    <row r="4174" spans="1:5" x14ac:dyDescent="0.25">
      <c r="A4174" s="83"/>
      <c r="B4174" s="84"/>
      <c r="C4174" s="84"/>
      <c r="D4174" s="116"/>
      <c r="E4174" s="116"/>
    </row>
    <row r="4175" spans="1:5" x14ac:dyDescent="0.25">
      <c r="A4175" s="83"/>
      <c r="B4175" s="84"/>
      <c r="C4175" s="84"/>
      <c r="D4175" s="116"/>
      <c r="E4175" s="116"/>
    </row>
    <row r="4176" spans="1:5" x14ac:dyDescent="0.25">
      <c r="A4176" s="83"/>
      <c r="B4176" s="84"/>
      <c r="C4176" s="84"/>
      <c r="D4176" s="116"/>
      <c r="E4176" s="116"/>
    </row>
    <row r="4177" spans="1:5" x14ac:dyDescent="0.25">
      <c r="A4177" s="83"/>
      <c r="B4177" s="84"/>
      <c r="C4177" s="84"/>
      <c r="D4177" s="116"/>
      <c r="E4177" s="116"/>
    </row>
    <row r="4178" spans="1:5" x14ac:dyDescent="0.25">
      <c r="A4178" s="83"/>
      <c r="B4178" s="84"/>
      <c r="C4178" s="84"/>
      <c r="D4178" s="116"/>
      <c r="E4178" s="116"/>
    </row>
    <row r="4179" spans="1:5" x14ac:dyDescent="0.25">
      <c r="A4179" s="83"/>
      <c r="B4179" s="84"/>
      <c r="C4179" s="84"/>
      <c r="D4179" s="116"/>
      <c r="E4179" s="116"/>
    </row>
    <row r="4180" spans="1:5" x14ac:dyDescent="0.25">
      <c r="A4180" s="83"/>
      <c r="B4180" s="84"/>
      <c r="C4180" s="84"/>
      <c r="D4180" s="116"/>
      <c r="E4180" s="116"/>
    </row>
    <row r="4181" spans="1:5" x14ac:dyDescent="0.25">
      <c r="A4181" s="83"/>
      <c r="B4181" s="84"/>
      <c r="C4181" s="84"/>
      <c r="D4181" s="116"/>
      <c r="E4181" s="116"/>
    </row>
    <row r="4182" spans="1:5" x14ac:dyDescent="0.25">
      <c r="A4182" s="83"/>
      <c r="B4182" s="84"/>
      <c r="C4182" s="84"/>
      <c r="D4182" s="116"/>
      <c r="E4182" s="116"/>
    </row>
    <row r="4183" spans="1:5" x14ac:dyDescent="0.25">
      <c r="A4183" s="83"/>
      <c r="B4183" s="84"/>
      <c r="C4183" s="84"/>
      <c r="D4183" s="116"/>
      <c r="E4183" s="116"/>
    </row>
    <row r="4184" spans="1:5" x14ac:dyDescent="0.25">
      <c r="A4184" s="83"/>
      <c r="B4184" s="84"/>
      <c r="C4184" s="84"/>
      <c r="D4184" s="116"/>
      <c r="E4184" s="116"/>
    </row>
    <row r="4185" spans="1:5" x14ac:dyDescent="0.25">
      <c r="A4185" s="83"/>
      <c r="B4185" s="84"/>
      <c r="C4185" s="84"/>
      <c r="D4185" s="116"/>
      <c r="E4185" s="116"/>
    </row>
    <row r="4186" spans="1:5" x14ac:dyDescent="0.25">
      <c r="A4186" s="83"/>
      <c r="B4186" s="84"/>
      <c r="C4186" s="84"/>
      <c r="D4186" s="116"/>
      <c r="E4186" s="116"/>
    </row>
    <row r="4187" spans="1:5" x14ac:dyDescent="0.25">
      <c r="A4187" s="83"/>
      <c r="B4187" s="84"/>
      <c r="C4187" s="84"/>
      <c r="D4187" s="116"/>
      <c r="E4187" s="116"/>
    </row>
    <row r="4188" spans="1:5" x14ac:dyDescent="0.25">
      <c r="A4188" s="83"/>
      <c r="B4188" s="84"/>
      <c r="C4188" s="84"/>
      <c r="D4188" s="116"/>
      <c r="E4188" s="116"/>
    </row>
    <row r="4189" spans="1:5" x14ac:dyDescent="0.25">
      <c r="A4189" s="83"/>
      <c r="B4189" s="84"/>
      <c r="C4189" s="84"/>
      <c r="D4189" s="116"/>
      <c r="E4189" s="116"/>
    </row>
    <row r="4190" spans="1:5" x14ac:dyDescent="0.25">
      <c r="A4190" s="83"/>
      <c r="B4190" s="84"/>
      <c r="C4190" s="84"/>
      <c r="D4190" s="116"/>
      <c r="E4190" s="116"/>
    </row>
    <row r="4191" spans="1:5" x14ac:dyDescent="0.25">
      <c r="A4191" s="83"/>
      <c r="B4191" s="84"/>
      <c r="C4191" s="84"/>
      <c r="D4191" s="116"/>
      <c r="E4191" s="116"/>
    </row>
    <row r="4192" spans="1:5" x14ac:dyDescent="0.25">
      <c r="A4192" s="83"/>
      <c r="B4192" s="84"/>
      <c r="C4192" s="84"/>
      <c r="D4192" s="116"/>
      <c r="E4192" s="116"/>
    </row>
    <row r="4193" spans="1:5" x14ac:dyDescent="0.25">
      <c r="A4193" s="83"/>
      <c r="B4193" s="84"/>
      <c r="C4193" s="84"/>
      <c r="D4193" s="116"/>
      <c r="E4193" s="116"/>
    </row>
    <row r="4194" spans="1:5" x14ac:dyDescent="0.25">
      <c r="A4194" s="83"/>
      <c r="B4194" s="84"/>
      <c r="C4194" s="84"/>
      <c r="D4194" s="116"/>
      <c r="E4194" s="116"/>
    </row>
    <row r="4195" spans="1:5" x14ac:dyDescent="0.25">
      <c r="A4195" s="83"/>
      <c r="B4195" s="84"/>
      <c r="C4195" s="84"/>
      <c r="D4195" s="116"/>
      <c r="E4195" s="116"/>
    </row>
    <row r="4196" spans="1:5" x14ac:dyDescent="0.25">
      <c r="A4196" s="83"/>
      <c r="B4196" s="84"/>
      <c r="C4196" s="84"/>
      <c r="D4196" s="116"/>
      <c r="E4196" s="116"/>
    </row>
    <row r="4197" spans="1:5" x14ac:dyDescent="0.25">
      <c r="A4197" s="83"/>
      <c r="B4197" s="84"/>
      <c r="C4197" s="84"/>
      <c r="D4197" s="116"/>
      <c r="E4197" s="116"/>
    </row>
    <row r="4198" spans="1:5" x14ac:dyDescent="0.25">
      <c r="A4198" s="83"/>
      <c r="B4198" s="84"/>
      <c r="C4198" s="84"/>
      <c r="D4198" s="116"/>
      <c r="E4198" s="116"/>
    </row>
    <row r="4199" spans="1:5" x14ac:dyDescent="0.25">
      <c r="A4199" s="83"/>
      <c r="B4199" s="84"/>
      <c r="C4199" s="84"/>
      <c r="D4199" s="116"/>
      <c r="E4199" s="116"/>
    </row>
    <row r="4200" spans="1:5" x14ac:dyDescent="0.25">
      <c r="A4200" s="83"/>
      <c r="B4200" s="84"/>
      <c r="C4200" s="84"/>
      <c r="D4200" s="116"/>
      <c r="E4200" s="116"/>
    </row>
    <row r="4201" spans="1:5" x14ac:dyDescent="0.25">
      <c r="A4201" s="83"/>
      <c r="B4201" s="84"/>
      <c r="C4201" s="84"/>
      <c r="D4201" s="116"/>
      <c r="E4201" s="116"/>
    </row>
    <row r="4202" spans="1:5" x14ac:dyDescent="0.25">
      <c r="A4202" s="83"/>
      <c r="B4202" s="84"/>
      <c r="C4202" s="84"/>
      <c r="D4202" s="116"/>
      <c r="E4202" s="116"/>
    </row>
    <row r="4203" spans="1:5" x14ac:dyDescent="0.25">
      <c r="A4203" s="83"/>
      <c r="B4203" s="84"/>
      <c r="C4203" s="84"/>
      <c r="D4203" s="116"/>
      <c r="E4203" s="116"/>
    </row>
    <row r="4204" spans="1:5" x14ac:dyDescent="0.25">
      <c r="A4204" s="83"/>
      <c r="B4204" s="84"/>
      <c r="C4204" s="84"/>
      <c r="D4204" s="116"/>
      <c r="E4204" s="116"/>
    </row>
    <row r="4205" spans="1:5" x14ac:dyDescent="0.25">
      <c r="A4205" s="83"/>
      <c r="B4205" s="84"/>
      <c r="C4205" s="84"/>
      <c r="D4205" s="116"/>
      <c r="E4205" s="116"/>
    </row>
    <row r="4206" spans="1:5" x14ac:dyDescent="0.25">
      <c r="A4206" s="83"/>
      <c r="B4206" s="84"/>
      <c r="C4206" s="84"/>
      <c r="D4206" s="116"/>
      <c r="E4206" s="116"/>
    </row>
    <row r="4207" spans="1:5" x14ac:dyDescent="0.25">
      <c r="A4207" s="83"/>
      <c r="B4207" s="84"/>
      <c r="C4207" s="84"/>
      <c r="D4207" s="116"/>
      <c r="E4207" s="116"/>
    </row>
    <row r="4208" spans="1:5" x14ac:dyDescent="0.25">
      <c r="A4208" s="83"/>
      <c r="B4208" s="84"/>
      <c r="C4208" s="84"/>
      <c r="D4208" s="116"/>
      <c r="E4208" s="116"/>
    </row>
    <row r="4209" spans="1:5" x14ac:dyDescent="0.25">
      <c r="A4209" s="83"/>
      <c r="B4209" s="84"/>
      <c r="C4209" s="84"/>
      <c r="D4209" s="116"/>
      <c r="E4209" s="116"/>
    </row>
    <row r="4210" spans="1:5" x14ac:dyDescent="0.25">
      <c r="A4210" s="83"/>
      <c r="B4210" s="84"/>
      <c r="C4210" s="84"/>
      <c r="D4210" s="116"/>
      <c r="E4210" s="116"/>
    </row>
    <row r="4211" spans="1:5" x14ac:dyDescent="0.25">
      <c r="A4211" s="83"/>
      <c r="B4211" s="84"/>
      <c r="C4211" s="84"/>
      <c r="D4211" s="116"/>
      <c r="E4211" s="116"/>
    </row>
    <row r="4212" spans="1:5" x14ac:dyDescent="0.25">
      <c r="A4212" s="83"/>
      <c r="B4212" s="84"/>
      <c r="C4212" s="84"/>
      <c r="D4212" s="116"/>
      <c r="E4212" s="116"/>
    </row>
    <row r="4213" spans="1:5" x14ac:dyDescent="0.25">
      <c r="A4213" s="83"/>
      <c r="B4213" s="84"/>
      <c r="C4213" s="84"/>
      <c r="D4213" s="116"/>
      <c r="E4213" s="116"/>
    </row>
    <row r="4214" spans="1:5" x14ac:dyDescent="0.25">
      <c r="A4214" s="83"/>
      <c r="B4214" s="84"/>
      <c r="C4214" s="84"/>
      <c r="D4214" s="116"/>
      <c r="E4214" s="116"/>
    </row>
    <row r="4215" spans="1:5" x14ac:dyDescent="0.25">
      <c r="A4215" s="83"/>
      <c r="B4215" s="84"/>
      <c r="C4215" s="84"/>
      <c r="D4215" s="116"/>
      <c r="E4215" s="116"/>
    </row>
    <row r="4216" spans="1:5" x14ac:dyDescent="0.25">
      <c r="A4216" s="83"/>
      <c r="B4216" s="84"/>
      <c r="C4216" s="84"/>
      <c r="D4216" s="116"/>
      <c r="E4216" s="116"/>
    </row>
    <row r="4217" spans="1:5" x14ac:dyDescent="0.25">
      <c r="A4217" s="83"/>
      <c r="B4217" s="84"/>
      <c r="C4217" s="84"/>
      <c r="D4217" s="116"/>
      <c r="E4217" s="116"/>
    </row>
    <row r="4218" spans="1:5" x14ac:dyDescent="0.25">
      <c r="A4218" s="83"/>
      <c r="B4218" s="84"/>
      <c r="C4218" s="84"/>
      <c r="D4218" s="116"/>
      <c r="E4218" s="116"/>
    </row>
    <row r="4219" spans="1:5" x14ac:dyDescent="0.25">
      <c r="A4219" s="83"/>
      <c r="B4219" s="84"/>
      <c r="C4219" s="84"/>
      <c r="D4219" s="116"/>
      <c r="E4219" s="116"/>
    </row>
    <row r="4220" spans="1:5" x14ac:dyDescent="0.25">
      <c r="A4220" s="83"/>
      <c r="B4220" s="84"/>
      <c r="C4220" s="84"/>
      <c r="D4220" s="116"/>
      <c r="E4220" s="116"/>
    </row>
    <row r="4221" spans="1:5" x14ac:dyDescent="0.25">
      <c r="A4221" s="83"/>
      <c r="B4221" s="84"/>
      <c r="C4221" s="84"/>
      <c r="D4221" s="116"/>
      <c r="E4221" s="116"/>
    </row>
    <row r="4222" spans="1:5" x14ac:dyDescent="0.25">
      <c r="A4222" s="83"/>
      <c r="B4222" s="84"/>
      <c r="C4222" s="84"/>
      <c r="D4222" s="116"/>
      <c r="E4222" s="116"/>
    </row>
    <row r="4223" spans="1:5" x14ac:dyDescent="0.25">
      <c r="A4223" s="83"/>
      <c r="B4223" s="84"/>
      <c r="C4223" s="84"/>
      <c r="D4223" s="116"/>
      <c r="E4223" s="116"/>
    </row>
    <row r="4224" spans="1:5" x14ac:dyDescent="0.25">
      <c r="A4224" s="83"/>
      <c r="B4224" s="84"/>
      <c r="C4224" s="84"/>
      <c r="D4224" s="116"/>
      <c r="E4224" s="116"/>
    </row>
    <row r="4225" spans="1:5" x14ac:dyDescent="0.25">
      <c r="A4225" s="83"/>
      <c r="B4225" s="84"/>
      <c r="C4225" s="84"/>
      <c r="D4225" s="116"/>
      <c r="E4225" s="116"/>
    </row>
    <row r="4226" spans="1:5" x14ac:dyDescent="0.25">
      <c r="A4226" s="83"/>
      <c r="B4226" s="84"/>
      <c r="C4226" s="84"/>
      <c r="D4226" s="116"/>
      <c r="E4226" s="116"/>
    </row>
    <row r="4227" spans="1:5" x14ac:dyDescent="0.25">
      <c r="A4227" s="83"/>
      <c r="B4227" s="84"/>
      <c r="C4227" s="84"/>
      <c r="D4227" s="116"/>
      <c r="E4227" s="116"/>
    </row>
    <row r="4228" spans="1:5" x14ac:dyDescent="0.25">
      <c r="A4228" s="83"/>
      <c r="B4228" s="84"/>
      <c r="C4228" s="84"/>
      <c r="D4228" s="116"/>
      <c r="E4228" s="116"/>
    </row>
    <row r="4229" spans="1:5" x14ac:dyDescent="0.25">
      <c r="A4229" s="83"/>
      <c r="B4229" s="84"/>
      <c r="C4229" s="84"/>
      <c r="D4229" s="116"/>
      <c r="E4229" s="116"/>
    </row>
    <row r="4230" spans="1:5" x14ac:dyDescent="0.25">
      <c r="A4230" s="83"/>
      <c r="B4230" s="84"/>
      <c r="C4230" s="84"/>
      <c r="D4230" s="116"/>
      <c r="E4230" s="116"/>
    </row>
    <row r="4231" spans="1:5" x14ac:dyDescent="0.25">
      <c r="A4231" s="83"/>
      <c r="B4231" s="84"/>
      <c r="C4231" s="84"/>
      <c r="D4231" s="116"/>
      <c r="E4231" s="116"/>
    </row>
    <row r="4232" spans="1:5" x14ac:dyDescent="0.25">
      <c r="A4232" s="83"/>
      <c r="B4232" s="84"/>
      <c r="C4232" s="84"/>
      <c r="D4232" s="116"/>
      <c r="E4232" s="116"/>
    </row>
    <row r="4233" spans="1:5" x14ac:dyDescent="0.25">
      <c r="A4233" s="83"/>
      <c r="B4233" s="84"/>
      <c r="C4233" s="84"/>
      <c r="D4233" s="116"/>
      <c r="E4233" s="116"/>
    </row>
    <row r="4234" spans="1:5" x14ac:dyDescent="0.25">
      <c r="A4234" s="83"/>
      <c r="B4234" s="84"/>
      <c r="C4234" s="84"/>
      <c r="D4234" s="116"/>
      <c r="E4234" s="116"/>
    </row>
    <row r="4235" spans="1:5" x14ac:dyDescent="0.25">
      <c r="A4235" s="83"/>
      <c r="B4235" s="84"/>
      <c r="C4235" s="84"/>
      <c r="D4235" s="116"/>
      <c r="E4235" s="116"/>
    </row>
    <row r="4236" spans="1:5" x14ac:dyDescent="0.25">
      <c r="A4236" s="83"/>
      <c r="B4236" s="84"/>
      <c r="C4236" s="84"/>
      <c r="D4236" s="116"/>
      <c r="E4236" s="116"/>
    </row>
    <row r="4237" spans="1:5" x14ac:dyDescent="0.25">
      <c r="A4237" s="83"/>
      <c r="B4237" s="84"/>
      <c r="C4237" s="84"/>
      <c r="D4237" s="116"/>
      <c r="E4237" s="116"/>
    </row>
    <row r="4238" spans="1:5" x14ac:dyDescent="0.25">
      <c r="A4238" s="83"/>
      <c r="B4238" s="84"/>
      <c r="C4238" s="84"/>
      <c r="D4238" s="116"/>
      <c r="E4238" s="116"/>
    </row>
    <row r="4239" spans="1:5" x14ac:dyDescent="0.25">
      <c r="A4239" s="83"/>
      <c r="B4239" s="84"/>
      <c r="C4239" s="84"/>
      <c r="D4239" s="116"/>
      <c r="E4239" s="116"/>
    </row>
    <row r="4240" spans="1:5" x14ac:dyDescent="0.25">
      <c r="A4240" s="83"/>
      <c r="B4240" s="84"/>
      <c r="C4240" s="84"/>
      <c r="D4240" s="116"/>
      <c r="E4240" s="116"/>
    </row>
    <row r="4241" spans="1:5" x14ac:dyDescent="0.25">
      <c r="A4241" s="83"/>
      <c r="B4241" s="84"/>
      <c r="C4241" s="84"/>
      <c r="D4241" s="116"/>
      <c r="E4241" s="116"/>
    </row>
    <row r="4242" spans="1:5" x14ac:dyDescent="0.25">
      <c r="A4242" s="83"/>
      <c r="B4242" s="84"/>
      <c r="C4242" s="84"/>
      <c r="D4242" s="116"/>
      <c r="E4242" s="116"/>
    </row>
    <row r="4243" spans="1:5" x14ac:dyDescent="0.25">
      <c r="A4243" s="83"/>
      <c r="B4243" s="84"/>
      <c r="C4243" s="84"/>
      <c r="D4243" s="116"/>
      <c r="E4243" s="116"/>
    </row>
    <row r="4244" spans="1:5" x14ac:dyDescent="0.25">
      <c r="A4244" s="83"/>
      <c r="B4244" s="84"/>
      <c r="C4244" s="84"/>
      <c r="D4244" s="116"/>
      <c r="E4244" s="116"/>
    </row>
    <row r="4245" spans="1:5" x14ac:dyDescent="0.25">
      <c r="A4245" s="83"/>
      <c r="B4245" s="84"/>
      <c r="C4245" s="84"/>
      <c r="D4245" s="116"/>
      <c r="E4245" s="116"/>
    </row>
    <row r="4246" spans="1:5" x14ac:dyDescent="0.25">
      <c r="A4246" s="83"/>
      <c r="B4246" s="84"/>
      <c r="C4246" s="84"/>
      <c r="D4246" s="116"/>
      <c r="E4246" s="116"/>
    </row>
    <row r="4247" spans="1:5" x14ac:dyDescent="0.25">
      <c r="A4247" s="83"/>
      <c r="B4247" s="84"/>
      <c r="C4247" s="84"/>
      <c r="D4247" s="116"/>
      <c r="E4247" s="116"/>
    </row>
    <row r="4248" spans="1:5" x14ac:dyDescent="0.25">
      <c r="A4248" s="83"/>
      <c r="B4248" s="84"/>
      <c r="C4248" s="84"/>
      <c r="D4248" s="116"/>
      <c r="E4248" s="116"/>
    </row>
    <row r="4249" spans="1:5" x14ac:dyDescent="0.25">
      <c r="A4249" s="83"/>
      <c r="B4249" s="84"/>
      <c r="C4249" s="84"/>
      <c r="D4249" s="116"/>
      <c r="E4249" s="116"/>
    </row>
    <row r="4250" spans="1:5" x14ac:dyDescent="0.25">
      <c r="A4250" s="83"/>
      <c r="B4250" s="84"/>
      <c r="C4250" s="84"/>
      <c r="D4250" s="116"/>
      <c r="E4250" s="116"/>
    </row>
    <row r="4251" spans="1:5" x14ac:dyDescent="0.25">
      <c r="A4251" s="83"/>
      <c r="B4251" s="84"/>
      <c r="C4251" s="84"/>
      <c r="D4251" s="116"/>
      <c r="E4251" s="116"/>
    </row>
    <row r="4252" spans="1:5" x14ac:dyDescent="0.25">
      <c r="A4252" s="83"/>
      <c r="B4252" s="84"/>
      <c r="C4252" s="84"/>
      <c r="D4252" s="116"/>
      <c r="E4252" s="116"/>
    </row>
    <row r="4253" spans="1:5" x14ac:dyDescent="0.25">
      <c r="A4253" s="83"/>
      <c r="B4253" s="84"/>
      <c r="C4253" s="84"/>
      <c r="D4253" s="116"/>
      <c r="E4253" s="116"/>
    </row>
    <row r="4254" spans="1:5" x14ac:dyDescent="0.25">
      <c r="A4254" s="83"/>
      <c r="B4254" s="84"/>
      <c r="C4254" s="84"/>
      <c r="D4254" s="116"/>
      <c r="E4254" s="116"/>
    </row>
    <row r="4255" spans="1:5" x14ac:dyDescent="0.25">
      <c r="A4255" s="83"/>
      <c r="B4255" s="84"/>
      <c r="C4255" s="84"/>
      <c r="D4255" s="116"/>
      <c r="E4255" s="116"/>
    </row>
    <row r="4256" spans="1:5" x14ac:dyDescent="0.25">
      <c r="A4256" s="83"/>
      <c r="B4256" s="84"/>
      <c r="C4256" s="84"/>
      <c r="D4256" s="116"/>
      <c r="E4256" s="116"/>
    </row>
    <row r="4257" spans="1:5" x14ac:dyDescent="0.25">
      <c r="A4257" s="83"/>
      <c r="B4257" s="84"/>
      <c r="C4257" s="84"/>
      <c r="D4257" s="116"/>
      <c r="E4257" s="116"/>
    </row>
    <row r="4258" spans="1:5" x14ac:dyDescent="0.25">
      <c r="A4258" s="83"/>
      <c r="B4258" s="84"/>
      <c r="C4258" s="84"/>
      <c r="D4258" s="116"/>
      <c r="E4258" s="116"/>
    </row>
    <row r="4259" spans="1:5" x14ac:dyDescent="0.25">
      <c r="A4259" s="83"/>
      <c r="B4259" s="84"/>
      <c r="C4259" s="84"/>
      <c r="D4259" s="116"/>
      <c r="E4259" s="116"/>
    </row>
    <row r="4260" spans="1:5" x14ac:dyDescent="0.25">
      <c r="A4260" s="83"/>
      <c r="B4260" s="84"/>
      <c r="C4260" s="84"/>
      <c r="D4260" s="116"/>
      <c r="E4260" s="116"/>
    </row>
    <row r="4261" spans="1:5" x14ac:dyDescent="0.25">
      <c r="A4261" s="83"/>
      <c r="B4261" s="84"/>
      <c r="C4261" s="84"/>
      <c r="D4261" s="116"/>
      <c r="E4261" s="116"/>
    </row>
    <row r="4262" spans="1:5" x14ac:dyDescent="0.25">
      <c r="A4262" s="83"/>
      <c r="B4262" s="84"/>
      <c r="C4262" s="84"/>
      <c r="D4262" s="116"/>
      <c r="E4262" s="116"/>
    </row>
    <row r="4263" spans="1:5" x14ac:dyDescent="0.25">
      <c r="A4263" s="83"/>
      <c r="B4263" s="84"/>
      <c r="C4263" s="84"/>
      <c r="D4263" s="116"/>
      <c r="E4263" s="116"/>
    </row>
    <row r="4264" spans="1:5" x14ac:dyDescent="0.25">
      <c r="A4264" s="83"/>
      <c r="B4264" s="84"/>
      <c r="C4264" s="84"/>
      <c r="D4264" s="116"/>
      <c r="E4264" s="116"/>
    </row>
    <row r="4265" spans="1:5" x14ac:dyDescent="0.25">
      <c r="A4265" s="83"/>
      <c r="B4265" s="84"/>
      <c r="C4265" s="84"/>
      <c r="D4265" s="116"/>
      <c r="E4265" s="116"/>
    </row>
    <row r="4266" spans="1:5" x14ac:dyDescent="0.25">
      <c r="A4266" s="83"/>
      <c r="B4266" s="84"/>
      <c r="C4266" s="84"/>
      <c r="D4266" s="116"/>
      <c r="E4266" s="116"/>
    </row>
    <row r="4267" spans="1:5" x14ac:dyDescent="0.25">
      <c r="A4267" s="83"/>
      <c r="B4267" s="84"/>
      <c r="C4267" s="84"/>
      <c r="D4267" s="116"/>
      <c r="E4267" s="116"/>
    </row>
    <row r="4268" spans="1:5" x14ac:dyDescent="0.25">
      <c r="A4268" s="83"/>
      <c r="B4268" s="84"/>
      <c r="C4268" s="84"/>
      <c r="D4268" s="116"/>
      <c r="E4268" s="116"/>
    </row>
    <row r="4269" spans="1:5" x14ac:dyDescent="0.25">
      <c r="A4269" s="83"/>
      <c r="B4269" s="84"/>
      <c r="C4269" s="84"/>
      <c r="D4269" s="116"/>
      <c r="E4269" s="116"/>
    </row>
    <row r="4270" spans="1:5" x14ac:dyDescent="0.25">
      <c r="A4270" s="83"/>
      <c r="B4270" s="84"/>
      <c r="C4270" s="84"/>
      <c r="D4270" s="116"/>
      <c r="E4270" s="116"/>
    </row>
    <row r="4271" spans="1:5" x14ac:dyDescent="0.25">
      <c r="A4271" s="83"/>
      <c r="B4271" s="84"/>
      <c r="C4271" s="84"/>
      <c r="D4271" s="116"/>
      <c r="E4271" s="116"/>
    </row>
    <row r="4272" spans="1:5" x14ac:dyDescent="0.25">
      <c r="A4272" s="83"/>
      <c r="B4272" s="84"/>
      <c r="C4272" s="84"/>
      <c r="D4272" s="116"/>
      <c r="E4272" s="116"/>
    </row>
    <row r="4273" spans="1:5" x14ac:dyDescent="0.25">
      <c r="A4273" s="83"/>
      <c r="B4273" s="84"/>
      <c r="C4273" s="84"/>
      <c r="D4273" s="116"/>
      <c r="E4273" s="116"/>
    </row>
    <row r="4274" spans="1:5" x14ac:dyDescent="0.25">
      <c r="A4274" s="83"/>
      <c r="B4274" s="84"/>
      <c r="C4274" s="84"/>
      <c r="D4274" s="116"/>
      <c r="E4274" s="116"/>
    </row>
    <row r="4275" spans="1:5" x14ac:dyDescent="0.25">
      <c r="A4275" s="83"/>
      <c r="B4275" s="84"/>
      <c r="C4275" s="84"/>
      <c r="D4275" s="116"/>
      <c r="E4275" s="116"/>
    </row>
    <row r="4276" spans="1:5" x14ac:dyDescent="0.25">
      <c r="A4276" s="83"/>
      <c r="B4276" s="84"/>
      <c r="C4276" s="84"/>
      <c r="D4276" s="116"/>
      <c r="E4276" s="116"/>
    </row>
    <row r="4277" spans="1:5" x14ac:dyDescent="0.25">
      <c r="A4277" s="83"/>
      <c r="B4277" s="84"/>
      <c r="C4277" s="84"/>
      <c r="D4277" s="116"/>
      <c r="E4277" s="116"/>
    </row>
    <row r="4278" spans="1:5" x14ac:dyDescent="0.25">
      <c r="A4278" s="83"/>
      <c r="B4278" s="84"/>
      <c r="C4278" s="84"/>
      <c r="D4278" s="116"/>
      <c r="E4278" s="116"/>
    </row>
    <row r="4279" spans="1:5" x14ac:dyDescent="0.25">
      <c r="A4279" s="83"/>
      <c r="B4279" s="84"/>
      <c r="C4279" s="84"/>
      <c r="D4279" s="116"/>
      <c r="E4279" s="116"/>
    </row>
    <row r="4280" spans="1:5" x14ac:dyDescent="0.25">
      <c r="A4280" s="83"/>
      <c r="B4280" s="84"/>
      <c r="C4280" s="84"/>
      <c r="D4280" s="116"/>
      <c r="E4280" s="116"/>
    </row>
    <row r="4281" spans="1:5" x14ac:dyDescent="0.25">
      <c r="A4281" s="83"/>
      <c r="B4281" s="84"/>
      <c r="C4281" s="84"/>
      <c r="D4281" s="116"/>
      <c r="E4281" s="116"/>
    </row>
    <row r="4282" spans="1:5" x14ac:dyDescent="0.25">
      <c r="A4282" s="83"/>
      <c r="B4282" s="84"/>
      <c r="C4282" s="84"/>
      <c r="D4282" s="116"/>
      <c r="E4282" s="116"/>
    </row>
    <row r="4283" spans="1:5" x14ac:dyDescent="0.25">
      <c r="A4283" s="83"/>
      <c r="B4283" s="84"/>
      <c r="C4283" s="84"/>
      <c r="D4283" s="116"/>
      <c r="E4283" s="116"/>
    </row>
    <row r="4284" spans="1:5" x14ac:dyDescent="0.25">
      <c r="A4284" s="83"/>
      <c r="B4284" s="84"/>
      <c r="C4284" s="84"/>
      <c r="D4284" s="116"/>
      <c r="E4284" s="116"/>
    </row>
    <row r="4285" spans="1:5" x14ac:dyDescent="0.25">
      <c r="A4285" s="83"/>
      <c r="B4285" s="84"/>
      <c r="C4285" s="84"/>
      <c r="D4285" s="116"/>
      <c r="E4285" s="116"/>
    </row>
    <row r="4286" spans="1:5" x14ac:dyDescent="0.25">
      <c r="A4286" s="83"/>
      <c r="B4286" s="84"/>
      <c r="C4286" s="84"/>
      <c r="D4286" s="116"/>
      <c r="E4286" s="116"/>
    </row>
    <row r="4287" spans="1:5" x14ac:dyDescent="0.25">
      <c r="A4287" s="83"/>
      <c r="B4287" s="84"/>
      <c r="C4287" s="84"/>
      <c r="D4287" s="116"/>
      <c r="E4287" s="116"/>
    </row>
    <row r="4288" spans="1:5" x14ac:dyDescent="0.25">
      <c r="A4288" s="83"/>
      <c r="B4288" s="84"/>
      <c r="C4288" s="84"/>
      <c r="D4288" s="116"/>
      <c r="E4288" s="116"/>
    </row>
    <row r="4289" spans="1:5" x14ac:dyDescent="0.25">
      <c r="A4289" s="83"/>
      <c r="B4289" s="84"/>
      <c r="C4289" s="84"/>
      <c r="D4289" s="116"/>
      <c r="E4289" s="116"/>
    </row>
    <row r="4290" spans="1:5" x14ac:dyDescent="0.25">
      <c r="A4290" s="83"/>
      <c r="B4290" s="84"/>
      <c r="C4290" s="84"/>
      <c r="D4290" s="116"/>
      <c r="E4290" s="116"/>
    </row>
    <row r="4291" spans="1:5" x14ac:dyDescent="0.25">
      <c r="A4291" s="83"/>
      <c r="B4291" s="84"/>
      <c r="C4291" s="84"/>
      <c r="D4291" s="116"/>
      <c r="E4291" s="116"/>
    </row>
    <row r="4292" spans="1:5" x14ac:dyDescent="0.25">
      <c r="A4292" s="83"/>
      <c r="B4292" s="84"/>
      <c r="C4292" s="84"/>
      <c r="D4292" s="116"/>
      <c r="E4292" s="116"/>
    </row>
    <row r="4293" spans="1:5" x14ac:dyDescent="0.25">
      <c r="A4293" s="83"/>
      <c r="B4293" s="84"/>
      <c r="C4293" s="84"/>
      <c r="D4293" s="116"/>
      <c r="E4293" s="116"/>
    </row>
    <row r="4294" spans="1:5" x14ac:dyDescent="0.25">
      <c r="A4294" s="83"/>
      <c r="B4294" s="84"/>
      <c r="C4294" s="84"/>
      <c r="D4294" s="116"/>
      <c r="E4294" s="116"/>
    </row>
    <row r="4295" spans="1:5" x14ac:dyDescent="0.25">
      <c r="A4295" s="83"/>
      <c r="B4295" s="84"/>
      <c r="C4295" s="84"/>
      <c r="D4295" s="116"/>
      <c r="E4295" s="116"/>
    </row>
    <row r="4296" spans="1:5" x14ac:dyDescent="0.25">
      <c r="A4296" s="83"/>
      <c r="B4296" s="84"/>
      <c r="C4296" s="84"/>
      <c r="D4296" s="116"/>
      <c r="E4296" s="116"/>
    </row>
    <row r="4297" spans="1:5" x14ac:dyDescent="0.25">
      <c r="A4297" s="83"/>
      <c r="B4297" s="84"/>
      <c r="C4297" s="84"/>
      <c r="D4297" s="116"/>
      <c r="E4297" s="116"/>
    </row>
    <row r="4298" spans="1:5" x14ac:dyDescent="0.25">
      <c r="A4298" s="83"/>
      <c r="B4298" s="84"/>
      <c r="C4298" s="84"/>
      <c r="D4298" s="116"/>
      <c r="E4298" s="116"/>
    </row>
    <row r="4299" spans="1:5" x14ac:dyDescent="0.25">
      <c r="A4299" s="83"/>
      <c r="B4299" s="84"/>
      <c r="C4299" s="84"/>
      <c r="D4299" s="116"/>
      <c r="E4299" s="116"/>
    </row>
    <row r="4300" spans="1:5" x14ac:dyDescent="0.25">
      <c r="A4300" s="83"/>
      <c r="B4300" s="84"/>
      <c r="C4300" s="84"/>
      <c r="D4300" s="116"/>
      <c r="E4300" s="116"/>
    </row>
    <row r="4301" spans="1:5" x14ac:dyDescent="0.25">
      <c r="A4301" s="83"/>
      <c r="B4301" s="84"/>
      <c r="C4301" s="84"/>
      <c r="D4301" s="116"/>
      <c r="E4301" s="116"/>
    </row>
    <row r="4302" spans="1:5" x14ac:dyDescent="0.25">
      <c r="A4302" s="83"/>
      <c r="B4302" s="84"/>
      <c r="C4302" s="84"/>
      <c r="D4302" s="116"/>
      <c r="E4302" s="116"/>
    </row>
    <row r="4303" spans="1:5" x14ac:dyDescent="0.25">
      <c r="A4303" s="83"/>
      <c r="B4303" s="84"/>
      <c r="C4303" s="84"/>
      <c r="D4303" s="116"/>
      <c r="E4303" s="116"/>
    </row>
    <row r="4304" spans="1:5" x14ac:dyDescent="0.25">
      <c r="A4304" s="83"/>
      <c r="B4304" s="84"/>
      <c r="C4304" s="84"/>
      <c r="D4304" s="116"/>
      <c r="E4304" s="116"/>
    </row>
    <row r="4305" spans="1:5" x14ac:dyDescent="0.25">
      <c r="A4305" s="83"/>
      <c r="B4305" s="84"/>
      <c r="C4305" s="84"/>
      <c r="D4305" s="116"/>
      <c r="E4305" s="116"/>
    </row>
    <row r="4306" spans="1:5" x14ac:dyDescent="0.25">
      <c r="A4306" s="83"/>
      <c r="B4306" s="84"/>
      <c r="C4306" s="84"/>
      <c r="D4306" s="116"/>
      <c r="E4306" s="116"/>
    </row>
    <row r="4307" spans="1:5" x14ac:dyDescent="0.25">
      <c r="A4307" s="83"/>
      <c r="B4307" s="84"/>
      <c r="C4307" s="84"/>
      <c r="D4307" s="116"/>
      <c r="E4307" s="116"/>
    </row>
    <row r="4308" spans="1:5" x14ac:dyDescent="0.25">
      <c r="A4308" s="83"/>
      <c r="B4308" s="84"/>
      <c r="C4308" s="84"/>
      <c r="D4308" s="116"/>
      <c r="E4308" s="116"/>
    </row>
    <row r="4309" spans="1:5" x14ac:dyDescent="0.25">
      <c r="A4309" s="83"/>
      <c r="B4309" s="84"/>
      <c r="C4309" s="84"/>
      <c r="D4309" s="116"/>
      <c r="E4309" s="116"/>
    </row>
    <row r="4310" spans="1:5" x14ac:dyDescent="0.25">
      <c r="A4310" s="83"/>
      <c r="B4310" s="84"/>
      <c r="C4310" s="84"/>
      <c r="D4310" s="116"/>
      <c r="E4310" s="116"/>
    </row>
    <row r="4311" spans="1:5" x14ac:dyDescent="0.25">
      <c r="A4311" s="83"/>
      <c r="B4311" s="84"/>
      <c r="C4311" s="84"/>
      <c r="D4311" s="116"/>
      <c r="E4311" s="116"/>
    </row>
    <row r="4312" spans="1:5" x14ac:dyDescent="0.25">
      <c r="A4312" s="83"/>
      <c r="B4312" s="84"/>
      <c r="C4312" s="84"/>
      <c r="D4312" s="116"/>
      <c r="E4312" s="116"/>
    </row>
    <row r="4313" spans="1:5" x14ac:dyDescent="0.25">
      <c r="A4313" s="83"/>
      <c r="B4313" s="84"/>
      <c r="C4313" s="84"/>
      <c r="D4313" s="116"/>
      <c r="E4313" s="116"/>
    </row>
    <row r="4314" spans="1:5" x14ac:dyDescent="0.25">
      <c r="A4314" s="83"/>
      <c r="B4314" s="84"/>
      <c r="C4314" s="84"/>
      <c r="D4314" s="116"/>
      <c r="E4314" s="116"/>
    </row>
    <row r="4315" spans="1:5" x14ac:dyDescent="0.25">
      <c r="A4315" s="83"/>
      <c r="B4315" s="84"/>
      <c r="C4315" s="84"/>
      <c r="D4315" s="116"/>
      <c r="E4315" s="116"/>
    </row>
    <row r="4316" spans="1:5" x14ac:dyDescent="0.25">
      <c r="A4316" s="83"/>
      <c r="B4316" s="84"/>
      <c r="C4316" s="84"/>
      <c r="D4316" s="116"/>
      <c r="E4316" s="116"/>
    </row>
    <row r="4317" spans="1:5" x14ac:dyDescent="0.25">
      <c r="A4317" s="83"/>
      <c r="B4317" s="84"/>
      <c r="C4317" s="84"/>
      <c r="D4317" s="116"/>
      <c r="E4317" s="116"/>
    </row>
    <row r="4318" spans="1:5" x14ac:dyDescent="0.25">
      <c r="A4318" s="83"/>
      <c r="B4318" s="84"/>
      <c r="C4318" s="84"/>
      <c r="D4318" s="116"/>
      <c r="E4318" s="116"/>
    </row>
    <row r="4319" spans="1:5" x14ac:dyDescent="0.25">
      <c r="A4319" s="83"/>
      <c r="B4319" s="84"/>
      <c r="C4319" s="84"/>
      <c r="D4319" s="116"/>
      <c r="E4319" s="116"/>
    </row>
    <row r="4320" spans="1:5" x14ac:dyDescent="0.25">
      <c r="A4320" s="83"/>
      <c r="B4320" s="84"/>
      <c r="C4320" s="84"/>
      <c r="D4320" s="116"/>
      <c r="E4320" s="116"/>
    </row>
    <row r="4321" spans="1:5" x14ac:dyDescent="0.25">
      <c r="A4321" s="83"/>
      <c r="B4321" s="84"/>
      <c r="C4321" s="84"/>
      <c r="D4321" s="116"/>
      <c r="E4321" s="116"/>
    </row>
    <row r="4322" spans="1:5" x14ac:dyDescent="0.25">
      <c r="A4322" s="83"/>
      <c r="B4322" s="84"/>
      <c r="C4322" s="84"/>
      <c r="D4322" s="116"/>
      <c r="E4322" s="116"/>
    </row>
    <row r="4323" spans="1:5" x14ac:dyDescent="0.25">
      <c r="A4323" s="83"/>
      <c r="B4323" s="84"/>
      <c r="C4323" s="84"/>
      <c r="D4323" s="116"/>
      <c r="E4323" s="116"/>
    </row>
    <row r="4324" spans="1:5" x14ac:dyDescent="0.25">
      <c r="A4324" s="83"/>
      <c r="B4324" s="84"/>
      <c r="C4324" s="84"/>
      <c r="D4324" s="116"/>
      <c r="E4324" s="116"/>
    </row>
    <row r="4325" spans="1:5" x14ac:dyDescent="0.25">
      <c r="A4325" s="83"/>
      <c r="B4325" s="84"/>
      <c r="C4325" s="84"/>
      <c r="D4325" s="116"/>
      <c r="E4325" s="116"/>
    </row>
    <row r="4326" spans="1:5" x14ac:dyDescent="0.25">
      <c r="A4326" s="83"/>
      <c r="B4326" s="84"/>
      <c r="C4326" s="84"/>
      <c r="D4326" s="116"/>
      <c r="E4326" s="116"/>
    </row>
    <row r="4327" spans="1:5" x14ac:dyDescent="0.25">
      <c r="A4327" s="83"/>
      <c r="B4327" s="84"/>
      <c r="C4327" s="84"/>
      <c r="D4327" s="116"/>
      <c r="E4327" s="116"/>
    </row>
    <row r="4328" spans="1:5" x14ac:dyDescent="0.25">
      <c r="A4328" s="83"/>
      <c r="B4328" s="84"/>
      <c r="C4328" s="84"/>
      <c r="D4328" s="116"/>
      <c r="E4328" s="116"/>
    </row>
    <row r="4329" spans="1:5" x14ac:dyDescent="0.25">
      <c r="A4329" s="83"/>
      <c r="B4329" s="84"/>
      <c r="C4329" s="84"/>
      <c r="D4329" s="116"/>
      <c r="E4329" s="116"/>
    </row>
    <row r="4330" spans="1:5" x14ac:dyDescent="0.25">
      <c r="A4330" s="83"/>
      <c r="B4330" s="84"/>
      <c r="C4330" s="84"/>
      <c r="D4330" s="116"/>
      <c r="E4330" s="116"/>
    </row>
    <row r="4331" spans="1:5" x14ac:dyDescent="0.25">
      <c r="A4331" s="83"/>
      <c r="B4331" s="84"/>
      <c r="C4331" s="84"/>
      <c r="D4331" s="116"/>
      <c r="E4331" s="116"/>
    </row>
    <row r="4332" spans="1:5" x14ac:dyDescent="0.25">
      <c r="A4332" s="83"/>
      <c r="B4332" s="84"/>
      <c r="C4332" s="84"/>
      <c r="D4332" s="116"/>
      <c r="E4332" s="116"/>
    </row>
    <row r="4333" spans="1:5" x14ac:dyDescent="0.25">
      <c r="A4333" s="83"/>
      <c r="B4333" s="84"/>
      <c r="C4333" s="84"/>
      <c r="D4333" s="116"/>
      <c r="E4333" s="116"/>
    </row>
    <row r="4334" spans="1:5" x14ac:dyDescent="0.25">
      <c r="A4334" s="83"/>
      <c r="B4334" s="84"/>
      <c r="C4334" s="84"/>
      <c r="D4334" s="116"/>
      <c r="E4334" s="116"/>
    </row>
    <row r="4335" spans="1:5" x14ac:dyDescent="0.25">
      <c r="A4335" s="83"/>
      <c r="B4335" s="84"/>
      <c r="C4335" s="84"/>
      <c r="D4335" s="116"/>
      <c r="E4335" s="116"/>
    </row>
    <row r="4336" spans="1:5" x14ac:dyDescent="0.25">
      <c r="A4336" s="83"/>
      <c r="B4336" s="84"/>
      <c r="C4336" s="84"/>
      <c r="D4336" s="116"/>
      <c r="E4336" s="116"/>
    </row>
    <row r="4337" spans="1:5" x14ac:dyDescent="0.25">
      <c r="A4337" s="83"/>
      <c r="B4337" s="84"/>
      <c r="C4337" s="84"/>
      <c r="D4337" s="116"/>
      <c r="E4337" s="116"/>
    </row>
    <row r="4338" spans="1:5" x14ac:dyDescent="0.25">
      <c r="A4338" s="83"/>
      <c r="B4338" s="84"/>
      <c r="C4338" s="84"/>
      <c r="D4338" s="116"/>
      <c r="E4338" s="116"/>
    </row>
    <row r="4339" spans="1:5" x14ac:dyDescent="0.25">
      <c r="A4339" s="83"/>
      <c r="B4339" s="84"/>
      <c r="C4339" s="84"/>
      <c r="D4339" s="116"/>
      <c r="E4339" s="116"/>
    </row>
    <row r="4340" spans="1:5" x14ac:dyDescent="0.25">
      <c r="A4340" s="83"/>
      <c r="B4340" s="84"/>
      <c r="C4340" s="84"/>
      <c r="D4340" s="116"/>
      <c r="E4340" s="116"/>
    </row>
    <row r="4341" spans="1:5" x14ac:dyDescent="0.25">
      <c r="A4341" s="83"/>
      <c r="B4341" s="84"/>
      <c r="C4341" s="84"/>
      <c r="D4341" s="116"/>
      <c r="E4341" s="116"/>
    </row>
    <row r="4342" spans="1:5" x14ac:dyDescent="0.25">
      <c r="A4342" s="83"/>
      <c r="B4342" s="84"/>
      <c r="C4342" s="84"/>
      <c r="D4342" s="116"/>
      <c r="E4342" s="116"/>
    </row>
    <row r="4343" spans="1:5" x14ac:dyDescent="0.25">
      <c r="A4343" s="83"/>
      <c r="B4343" s="84"/>
      <c r="C4343" s="84"/>
      <c r="D4343" s="116"/>
      <c r="E4343" s="116"/>
    </row>
    <row r="4344" spans="1:5" x14ac:dyDescent="0.25">
      <c r="A4344" s="83"/>
      <c r="B4344" s="84"/>
      <c r="C4344" s="84"/>
      <c r="D4344" s="116"/>
      <c r="E4344" s="116"/>
    </row>
    <row r="4345" spans="1:5" x14ac:dyDescent="0.25">
      <c r="A4345" s="83"/>
      <c r="B4345" s="84"/>
      <c r="C4345" s="84"/>
      <c r="D4345" s="116"/>
      <c r="E4345" s="116"/>
    </row>
    <row r="4346" spans="1:5" x14ac:dyDescent="0.25">
      <c r="A4346" s="83"/>
      <c r="B4346" s="84"/>
      <c r="C4346" s="84"/>
      <c r="D4346" s="116"/>
      <c r="E4346" s="116"/>
    </row>
    <row r="4347" spans="1:5" x14ac:dyDescent="0.25">
      <c r="A4347" s="83"/>
      <c r="B4347" s="84"/>
      <c r="C4347" s="84"/>
      <c r="D4347" s="116"/>
      <c r="E4347" s="116"/>
    </row>
    <row r="4348" spans="1:5" x14ac:dyDescent="0.25">
      <c r="A4348" s="83"/>
      <c r="B4348" s="84"/>
      <c r="C4348" s="84"/>
      <c r="D4348" s="116"/>
      <c r="E4348" s="116"/>
    </row>
    <row r="4349" spans="1:5" x14ac:dyDescent="0.25">
      <c r="A4349" s="83"/>
      <c r="B4349" s="84"/>
      <c r="C4349" s="84"/>
      <c r="D4349" s="116"/>
      <c r="E4349" s="116"/>
    </row>
    <row r="4350" spans="1:5" x14ac:dyDescent="0.25">
      <c r="A4350" s="83"/>
      <c r="B4350" s="84"/>
      <c r="C4350" s="84"/>
      <c r="D4350" s="116"/>
      <c r="E4350" s="116"/>
    </row>
    <row r="4351" spans="1:5" x14ac:dyDescent="0.25">
      <c r="A4351" s="83"/>
      <c r="B4351" s="84"/>
      <c r="C4351" s="84"/>
      <c r="D4351" s="116"/>
      <c r="E4351" s="116"/>
    </row>
    <row r="4352" spans="1:5" x14ac:dyDescent="0.25">
      <c r="A4352" s="83"/>
      <c r="B4352" s="84"/>
      <c r="C4352" s="84"/>
      <c r="D4352" s="116"/>
      <c r="E4352" s="116"/>
    </row>
    <row r="4353" spans="1:5" x14ac:dyDescent="0.25">
      <c r="A4353" s="83"/>
      <c r="B4353" s="84"/>
      <c r="C4353" s="84"/>
      <c r="D4353" s="116"/>
      <c r="E4353" s="116"/>
    </row>
    <row r="4354" spans="1:5" x14ac:dyDescent="0.25">
      <c r="A4354" s="83"/>
      <c r="B4354" s="84"/>
      <c r="C4354" s="84"/>
      <c r="D4354" s="116"/>
      <c r="E4354" s="116"/>
    </row>
    <row r="4355" spans="1:5" x14ac:dyDescent="0.25">
      <c r="A4355" s="83"/>
      <c r="B4355" s="84"/>
      <c r="C4355" s="84"/>
      <c r="D4355" s="116"/>
      <c r="E4355" s="116"/>
    </row>
    <row r="4356" spans="1:5" x14ac:dyDescent="0.25">
      <c r="A4356" s="83"/>
      <c r="B4356" s="84"/>
      <c r="C4356" s="84"/>
      <c r="D4356" s="116"/>
      <c r="E4356" s="116"/>
    </row>
    <row r="4357" spans="1:5" x14ac:dyDescent="0.25">
      <c r="A4357" s="83"/>
      <c r="B4357" s="84"/>
      <c r="C4357" s="84"/>
      <c r="D4357" s="116"/>
      <c r="E4357" s="116"/>
    </row>
    <row r="4358" spans="1:5" x14ac:dyDescent="0.25">
      <c r="A4358" s="83"/>
      <c r="B4358" s="84"/>
      <c r="C4358" s="84"/>
      <c r="D4358" s="116"/>
      <c r="E4358" s="116"/>
    </row>
    <row r="4359" spans="1:5" x14ac:dyDescent="0.25">
      <c r="A4359" s="83"/>
      <c r="B4359" s="84"/>
      <c r="C4359" s="84"/>
      <c r="D4359" s="116"/>
      <c r="E4359" s="116"/>
    </row>
    <row r="4360" spans="1:5" x14ac:dyDescent="0.25">
      <c r="A4360" s="83"/>
      <c r="B4360" s="84"/>
      <c r="C4360" s="84"/>
      <c r="D4360" s="116"/>
      <c r="E4360" s="116"/>
    </row>
    <row r="4361" spans="1:5" x14ac:dyDescent="0.25">
      <c r="A4361" s="83"/>
      <c r="B4361" s="84"/>
      <c r="C4361" s="84"/>
      <c r="D4361" s="116"/>
      <c r="E4361" s="116"/>
    </row>
    <row r="4362" spans="1:5" x14ac:dyDescent="0.25">
      <c r="A4362" s="83"/>
      <c r="B4362" s="84"/>
      <c r="C4362" s="84"/>
      <c r="D4362" s="116"/>
      <c r="E4362" s="116"/>
    </row>
    <row r="4363" spans="1:5" x14ac:dyDescent="0.25">
      <c r="A4363" s="83"/>
      <c r="B4363" s="84"/>
      <c r="C4363" s="84"/>
      <c r="D4363" s="116"/>
      <c r="E4363" s="116"/>
    </row>
    <row r="4364" spans="1:5" x14ac:dyDescent="0.25">
      <c r="A4364" s="83"/>
      <c r="B4364" s="84"/>
      <c r="C4364" s="84"/>
      <c r="D4364" s="116"/>
      <c r="E4364" s="116"/>
    </row>
    <row r="4365" spans="1:5" x14ac:dyDescent="0.25">
      <c r="A4365" s="83"/>
      <c r="B4365" s="84"/>
      <c r="C4365" s="84"/>
      <c r="D4365" s="116"/>
      <c r="E4365" s="116"/>
    </row>
    <row r="4366" spans="1:5" x14ac:dyDescent="0.25">
      <c r="A4366" s="83"/>
      <c r="B4366" s="84"/>
      <c r="C4366" s="84"/>
      <c r="D4366" s="116"/>
      <c r="E4366" s="116"/>
    </row>
    <row r="4367" spans="1:5" x14ac:dyDescent="0.25">
      <c r="A4367" s="83"/>
      <c r="B4367" s="84"/>
      <c r="C4367" s="84"/>
      <c r="D4367" s="116"/>
      <c r="E4367" s="116"/>
    </row>
    <row r="4368" spans="1:5" x14ac:dyDescent="0.25">
      <c r="A4368" s="83"/>
      <c r="B4368" s="84"/>
      <c r="C4368" s="84"/>
      <c r="D4368" s="116"/>
      <c r="E4368" s="116"/>
    </row>
    <row r="4369" spans="1:5" x14ac:dyDescent="0.25">
      <c r="A4369" s="83"/>
      <c r="B4369" s="84"/>
      <c r="C4369" s="84"/>
      <c r="D4369" s="116"/>
      <c r="E4369" s="116"/>
    </row>
    <row r="4370" spans="1:5" x14ac:dyDescent="0.25">
      <c r="A4370" s="83"/>
      <c r="B4370" s="84"/>
      <c r="C4370" s="84"/>
      <c r="D4370" s="116"/>
      <c r="E4370" s="116"/>
    </row>
    <row r="4371" spans="1:5" x14ac:dyDescent="0.25">
      <c r="A4371" s="83"/>
      <c r="B4371" s="84"/>
      <c r="C4371" s="84"/>
      <c r="D4371" s="116"/>
      <c r="E4371" s="116"/>
    </row>
    <row r="4372" spans="1:5" x14ac:dyDescent="0.25">
      <c r="A4372" s="83"/>
      <c r="B4372" s="84"/>
      <c r="C4372" s="84"/>
      <c r="D4372" s="116"/>
      <c r="E4372" s="116"/>
    </row>
    <row r="4373" spans="1:5" x14ac:dyDescent="0.25">
      <c r="A4373" s="83"/>
      <c r="B4373" s="84"/>
      <c r="C4373" s="84"/>
      <c r="D4373" s="116"/>
      <c r="E4373" s="116"/>
    </row>
    <row r="4374" spans="1:5" x14ac:dyDescent="0.25">
      <c r="A4374" s="83"/>
      <c r="B4374" s="84"/>
      <c r="C4374" s="84"/>
      <c r="D4374" s="116"/>
      <c r="E4374" s="116"/>
    </row>
    <row r="4375" spans="1:5" x14ac:dyDescent="0.25">
      <c r="A4375" s="83"/>
      <c r="B4375" s="84"/>
      <c r="C4375" s="84"/>
      <c r="D4375" s="116"/>
      <c r="E4375" s="116"/>
    </row>
    <row r="4376" spans="1:5" x14ac:dyDescent="0.25">
      <c r="A4376" s="83"/>
      <c r="B4376" s="84"/>
      <c r="C4376" s="84"/>
      <c r="D4376" s="116"/>
      <c r="E4376" s="116"/>
    </row>
    <row r="4377" spans="1:5" x14ac:dyDescent="0.25">
      <c r="A4377" s="83"/>
      <c r="B4377" s="84"/>
      <c r="C4377" s="84"/>
      <c r="D4377" s="116"/>
      <c r="E4377" s="116"/>
    </row>
    <row r="4378" spans="1:5" x14ac:dyDescent="0.25">
      <c r="A4378" s="83"/>
      <c r="B4378" s="84"/>
      <c r="C4378" s="84"/>
      <c r="D4378" s="116"/>
      <c r="E4378" s="116"/>
    </row>
    <row r="4379" spans="1:5" x14ac:dyDescent="0.25">
      <c r="A4379" s="83"/>
      <c r="B4379" s="84"/>
      <c r="C4379" s="84"/>
      <c r="D4379" s="116"/>
      <c r="E4379" s="116"/>
    </row>
    <row r="4380" spans="1:5" x14ac:dyDescent="0.25">
      <c r="A4380" s="83"/>
      <c r="B4380" s="84"/>
      <c r="C4380" s="84"/>
      <c r="D4380" s="116"/>
      <c r="E4380" s="116"/>
    </row>
    <row r="4381" spans="1:5" x14ac:dyDescent="0.25">
      <c r="A4381" s="83"/>
      <c r="B4381" s="84"/>
      <c r="C4381" s="84"/>
      <c r="D4381" s="116"/>
      <c r="E4381" s="116"/>
    </row>
    <row r="4382" spans="1:5" x14ac:dyDescent="0.25">
      <c r="A4382" s="83"/>
      <c r="B4382" s="84"/>
      <c r="C4382" s="84"/>
      <c r="D4382" s="116"/>
      <c r="E4382" s="116"/>
    </row>
    <row r="4383" spans="1:5" x14ac:dyDescent="0.25">
      <c r="A4383" s="83"/>
      <c r="B4383" s="84"/>
      <c r="C4383" s="84"/>
      <c r="D4383" s="116"/>
      <c r="E4383" s="116"/>
    </row>
    <row r="4384" spans="1:5" x14ac:dyDescent="0.25">
      <c r="A4384" s="83"/>
      <c r="B4384" s="84"/>
      <c r="C4384" s="84"/>
      <c r="D4384" s="116"/>
      <c r="E4384" s="116"/>
    </row>
    <row r="4385" spans="1:5" x14ac:dyDescent="0.25">
      <c r="A4385" s="83"/>
      <c r="B4385" s="84"/>
      <c r="C4385" s="84"/>
      <c r="D4385" s="116"/>
      <c r="E4385" s="116"/>
    </row>
    <row r="4386" spans="1:5" x14ac:dyDescent="0.25">
      <c r="A4386" s="83"/>
      <c r="B4386" s="84"/>
      <c r="C4386" s="84"/>
      <c r="D4386" s="116"/>
      <c r="E4386" s="116"/>
    </row>
    <row r="4387" spans="1:5" x14ac:dyDescent="0.25">
      <c r="A4387" s="83"/>
      <c r="B4387" s="84"/>
      <c r="C4387" s="84"/>
      <c r="D4387" s="116"/>
      <c r="E4387" s="116"/>
    </row>
    <row r="4388" spans="1:5" x14ac:dyDescent="0.25">
      <c r="A4388" s="83"/>
      <c r="B4388" s="84"/>
      <c r="C4388" s="84"/>
      <c r="D4388" s="116"/>
      <c r="E4388" s="116"/>
    </row>
    <row r="4389" spans="1:5" x14ac:dyDescent="0.25">
      <c r="A4389" s="83"/>
      <c r="B4389" s="84"/>
      <c r="C4389" s="84"/>
      <c r="D4389" s="116"/>
      <c r="E4389" s="116"/>
    </row>
    <row r="4390" spans="1:5" x14ac:dyDescent="0.25">
      <c r="A4390" s="83"/>
      <c r="B4390" s="84"/>
      <c r="C4390" s="84"/>
      <c r="D4390" s="116"/>
      <c r="E4390" s="116"/>
    </row>
    <row r="4391" spans="1:5" x14ac:dyDescent="0.25">
      <c r="A4391" s="83"/>
      <c r="B4391" s="84"/>
      <c r="C4391" s="84"/>
      <c r="D4391" s="116"/>
      <c r="E4391" s="116"/>
    </row>
    <row r="4392" spans="1:5" x14ac:dyDescent="0.25">
      <c r="A4392" s="83"/>
      <c r="B4392" s="84"/>
      <c r="C4392" s="84"/>
      <c r="D4392" s="116"/>
      <c r="E4392" s="116"/>
    </row>
    <row r="4393" spans="1:5" x14ac:dyDescent="0.25">
      <c r="A4393" s="83"/>
      <c r="B4393" s="84"/>
      <c r="C4393" s="84"/>
      <c r="D4393" s="116"/>
      <c r="E4393" s="116"/>
    </row>
    <row r="4394" spans="1:5" x14ac:dyDescent="0.25">
      <c r="A4394" s="83"/>
      <c r="B4394" s="84"/>
      <c r="C4394" s="84"/>
      <c r="D4394" s="116"/>
      <c r="E4394" s="116"/>
    </row>
    <row r="4395" spans="1:5" x14ac:dyDescent="0.25">
      <c r="A4395" s="83"/>
      <c r="B4395" s="84"/>
      <c r="C4395" s="84"/>
      <c r="D4395" s="116"/>
      <c r="E4395" s="116"/>
    </row>
    <row r="4396" spans="1:5" x14ac:dyDescent="0.25">
      <c r="A4396" s="83"/>
      <c r="B4396" s="84"/>
      <c r="C4396" s="84"/>
      <c r="D4396" s="116"/>
      <c r="E4396" s="116"/>
    </row>
    <row r="4397" spans="1:5" x14ac:dyDescent="0.25">
      <c r="A4397" s="83"/>
      <c r="B4397" s="84"/>
      <c r="C4397" s="84"/>
      <c r="D4397" s="116"/>
      <c r="E4397" s="116"/>
    </row>
    <row r="4398" spans="1:5" x14ac:dyDescent="0.25">
      <c r="A4398" s="83"/>
      <c r="B4398" s="84"/>
      <c r="C4398" s="84"/>
      <c r="D4398" s="116"/>
      <c r="E4398" s="116"/>
    </row>
    <row r="4399" spans="1:5" x14ac:dyDescent="0.25">
      <c r="A4399" s="83"/>
      <c r="B4399" s="84"/>
      <c r="C4399" s="84"/>
      <c r="D4399" s="116"/>
      <c r="E4399" s="116"/>
    </row>
    <row r="4400" spans="1:5" x14ac:dyDescent="0.25">
      <c r="A4400" s="83"/>
      <c r="B4400" s="84"/>
      <c r="C4400" s="84"/>
      <c r="D4400" s="116"/>
      <c r="E4400" s="116"/>
    </row>
    <row r="4401" spans="1:5" x14ac:dyDescent="0.25">
      <c r="A4401" s="83"/>
      <c r="B4401" s="84"/>
      <c r="C4401" s="84"/>
      <c r="D4401" s="116"/>
      <c r="E4401" s="116"/>
    </row>
    <row r="4402" spans="1:5" x14ac:dyDescent="0.25">
      <c r="A4402" s="83"/>
      <c r="B4402" s="84"/>
      <c r="C4402" s="84"/>
      <c r="D4402" s="116"/>
      <c r="E4402" s="116"/>
    </row>
    <row r="4403" spans="1:5" x14ac:dyDescent="0.25">
      <c r="A4403" s="83"/>
      <c r="B4403" s="84"/>
      <c r="C4403" s="84"/>
      <c r="D4403" s="116"/>
      <c r="E4403" s="116"/>
    </row>
    <row r="4404" spans="1:5" x14ac:dyDescent="0.25">
      <c r="A4404" s="83"/>
      <c r="B4404" s="84"/>
      <c r="C4404" s="84"/>
      <c r="D4404" s="116"/>
      <c r="E4404" s="116"/>
    </row>
    <row r="4405" spans="1:5" x14ac:dyDescent="0.25">
      <c r="A4405" s="83"/>
      <c r="B4405" s="84"/>
      <c r="C4405" s="84"/>
      <c r="D4405" s="116"/>
      <c r="E4405" s="116"/>
    </row>
    <row r="4406" spans="1:5" x14ac:dyDescent="0.25">
      <c r="A4406" s="83"/>
      <c r="B4406" s="84"/>
      <c r="C4406" s="84"/>
      <c r="D4406" s="116"/>
      <c r="E4406" s="116"/>
    </row>
    <row r="4407" spans="1:5" x14ac:dyDescent="0.25">
      <c r="A4407" s="83"/>
      <c r="B4407" s="84"/>
      <c r="C4407" s="84"/>
      <c r="D4407" s="116"/>
      <c r="E4407" s="116"/>
    </row>
    <row r="4408" spans="1:5" x14ac:dyDescent="0.25">
      <c r="A4408" s="83"/>
      <c r="B4408" s="84"/>
      <c r="C4408" s="84"/>
      <c r="D4408" s="116"/>
      <c r="E4408" s="116"/>
    </row>
    <row r="4409" spans="1:5" x14ac:dyDescent="0.25">
      <c r="A4409" s="83"/>
      <c r="B4409" s="84"/>
      <c r="C4409" s="84"/>
      <c r="D4409" s="116"/>
      <c r="E4409" s="116"/>
    </row>
    <row r="4410" spans="1:5" x14ac:dyDescent="0.25">
      <c r="A4410" s="83"/>
      <c r="B4410" s="84"/>
      <c r="C4410" s="84"/>
      <c r="D4410" s="116"/>
      <c r="E4410" s="116"/>
    </row>
    <row r="4411" spans="1:5" x14ac:dyDescent="0.25">
      <c r="A4411" s="83"/>
      <c r="B4411" s="84"/>
      <c r="C4411" s="84"/>
      <c r="D4411" s="116"/>
      <c r="E4411" s="116"/>
    </row>
    <row r="4412" spans="1:5" x14ac:dyDescent="0.25">
      <c r="A4412" s="83"/>
      <c r="B4412" s="84"/>
      <c r="C4412" s="84"/>
      <c r="D4412" s="116"/>
      <c r="E4412" s="116"/>
    </row>
    <row r="4413" spans="1:5" x14ac:dyDescent="0.25">
      <c r="A4413" s="83"/>
      <c r="B4413" s="84"/>
      <c r="C4413" s="84"/>
      <c r="D4413" s="116"/>
      <c r="E4413" s="116"/>
    </row>
    <row r="4414" spans="1:5" x14ac:dyDescent="0.25">
      <c r="A4414" s="83"/>
      <c r="B4414" s="84"/>
      <c r="C4414" s="84"/>
      <c r="D4414" s="116"/>
      <c r="E4414" s="116"/>
    </row>
    <row r="4415" spans="1:5" x14ac:dyDescent="0.25">
      <c r="A4415" s="83"/>
      <c r="B4415" s="84"/>
      <c r="C4415" s="84"/>
      <c r="D4415" s="116"/>
      <c r="E4415" s="116"/>
    </row>
    <row r="4416" spans="1:5" x14ac:dyDescent="0.25">
      <c r="A4416" s="83"/>
      <c r="B4416" s="84"/>
      <c r="C4416" s="84"/>
      <c r="D4416" s="116"/>
      <c r="E4416" s="116"/>
    </row>
    <row r="4417" spans="1:5" x14ac:dyDescent="0.25">
      <c r="A4417" s="83"/>
      <c r="B4417" s="84"/>
      <c r="C4417" s="84"/>
      <c r="D4417" s="116"/>
      <c r="E4417" s="116"/>
    </row>
    <row r="4418" spans="1:5" x14ac:dyDescent="0.25">
      <c r="A4418" s="83"/>
      <c r="B4418" s="84"/>
      <c r="C4418" s="84"/>
      <c r="D4418" s="116"/>
      <c r="E4418" s="116"/>
    </row>
    <row r="4419" spans="1:5" x14ac:dyDescent="0.25">
      <c r="A4419" s="83"/>
      <c r="B4419" s="84"/>
      <c r="C4419" s="84"/>
      <c r="D4419" s="116"/>
      <c r="E4419" s="116"/>
    </row>
    <row r="4420" spans="1:5" x14ac:dyDescent="0.25">
      <c r="A4420" s="83"/>
      <c r="B4420" s="84"/>
      <c r="C4420" s="84"/>
      <c r="D4420" s="116"/>
      <c r="E4420" s="116"/>
    </row>
    <row r="4421" spans="1:5" x14ac:dyDescent="0.25">
      <c r="A4421" s="83"/>
      <c r="B4421" s="84"/>
      <c r="C4421" s="84"/>
      <c r="D4421" s="116"/>
      <c r="E4421" s="116"/>
    </row>
    <row r="4422" spans="1:5" x14ac:dyDescent="0.25">
      <c r="A4422" s="83"/>
      <c r="B4422" s="84"/>
      <c r="C4422" s="84"/>
      <c r="D4422" s="116"/>
      <c r="E4422" s="116"/>
    </row>
    <row r="4423" spans="1:5" x14ac:dyDescent="0.25">
      <c r="A4423" s="83"/>
      <c r="B4423" s="84"/>
      <c r="C4423" s="84"/>
      <c r="D4423" s="116"/>
      <c r="E4423" s="116"/>
    </row>
    <row r="4424" spans="1:5" x14ac:dyDescent="0.25">
      <c r="A4424" s="83"/>
      <c r="B4424" s="84"/>
      <c r="C4424" s="84"/>
      <c r="D4424" s="116"/>
      <c r="E4424" s="116"/>
    </row>
    <row r="4425" spans="1:5" x14ac:dyDescent="0.25">
      <c r="A4425" s="83"/>
      <c r="B4425" s="84"/>
      <c r="C4425" s="84"/>
      <c r="D4425" s="116"/>
      <c r="E4425" s="116"/>
    </row>
    <row r="4426" spans="1:5" x14ac:dyDescent="0.25">
      <c r="A4426" s="83"/>
      <c r="B4426" s="84"/>
      <c r="C4426" s="84"/>
      <c r="D4426" s="116"/>
      <c r="E4426" s="116"/>
    </row>
    <row r="4427" spans="1:5" x14ac:dyDescent="0.25">
      <c r="A4427" s="83"/>
      <c r="B4427" s="84"/>
      <c r="C4427" s="84"/>
      <c r="D4427" s="116"/>
      <c r="E4427" s="116"/>
    </row>
    <row r="4428" spans="1:5" x14ac:dyDescent="0.25">
      <c r="A4428" s="83"/>
      <c r="B4428" s="84"/>
      <c r="C4428" s="84"/>
      <c r="D4428" s="116"/>
      <c r="E4428" s="116"/>
    </row>
    <row r="4429" spans="1:5" x14ac:dyDescent="0.25">
      <c r="A4429" s="83"/>
      <c r="B4429" s="84"/>
      <c r="C4429" s="84"/>
      <c r="D4429" s="116"/>
      <c r="E4429" s="116"/>
    </row>
    <row r="4430" spans="1:5" x14ac:dyDescent="0.25">
      <c r="A4430" s="83"/>
      <c r="B4430" s="84"/>
      <c r="C4430" s="84"/>
      <c r="D4430" s="116"/>
      <c r="E4430" s="116"/>
    </row>
    <row r="4431" spans="1:5" x14ac:dyDescent="0.25">
      <c r="A4431" s="83"/>
      <c r="B4431" s="84"/>
      <c r="C4431" s="84"/>
      <c r="D4431" s="116"/>
      <c r="E4431" s="116"/>
    </row>
    <row r="4432" spans="1:5" x14ac:dyDescent="0.25">
      <c r="A4432" s="83"/>
      <c r="B4432" s="84"/>
      <c r="C4432" s="84"/>
      <c r="D4432" s="116"/>
      <c r="E4432" s="116"/>
    </row>
    <row r="4433" spans="1:5" x14ac:dyDescent="0.25">
      <c r="A4433" s="83"/>
      <c r="B4433" s="84"/>
      <c r="C4433" s="84"/>
      <c r="D4433" s="116"/>
      <c r="E4433" s="116"/>
    </row>
    <row r="4434" spans="1:5" x14ac:dyDescent="0.25">
      <c r="A4434" s="83"/>
      <c r="B4434" s="84"/>
      <c r="C4434" s="84"/>
      <c r="D4434" s="116"/>
      <c r="E4434" s="116"/>
    </row>
    <row r="4435" spans="1:5" x14ac:dyDescent="0.25">
      <c r="A4435" s="83"/>
      <c r="B4435" s="84"/>
      <c r="C4435" s="84"/>
      <c r="D4435" s="116"/>
      <c r="E4435" s="116"/>
    </row>
    <row r="4436" spans="1:5" x14ac:dyDescent="0.25">
      <c r="A4436" s="83"/>
      <c r="B4436" s="84"/>
      <c r="C4436" s="84"/>
      <c r="D4436" s="116"/>
      <c r="E4436" s="116"/>
    </row>
    <row r="4437" spans="1:5" x14ac:dyDescent="0.25">
      <c r="A4437" s="83"/>
      <c r="B4437" s="84"/>
      <c r="C4437" s="84"/>
      <c r="D4437" s="116"/>
      <c r="E4437" s="116"/>
    </row>
    <row r="4438" spans="1:5" x14ac:dyDescent="0.25">
      <c r="A4438" s="83"/>
      <c r="B4438" s="84"/>
      <c r="C4438" s="84"/>
      <c r="D4438" s="116"/>
      <c r="E4438" s="116"/>
    </row>
    <row r="4439" spans="1:5" x14ac:dyDescent="0.25">
      <c r="A4439" s="83"/>
      <c r="B4439" s="84"/>
      <c r="C4439" s="84"/>
      <c r="D4439" s="116"/>
      <c r="E4439" s="116"/>
    </row>
    <row r="4440" spans="1:5" x14ac:dyDescent="0.25">
      <c r="A4440" s="83"/>
      <c r="B4440" s="84"/>
      <c r="C4440" s="84"/>
      <c r="D4440" s="116"/>
      <c r="E4440" s="116"/>
    </row>
    <row r="4441" spans="1:5" x14ac:dyDescent="0.25">
      <c r="A4441" s="83"/>
      <c r="B4441" s="84"/>
      <c r="C4441" s="84"/>
      <c r="D4441" s="116"/>
      <c r="E4441" s="116"/>
    </row>
    <row r="4442" spans="1:5" x14ac:dyDescent="0.25">
      <c r="A4442" s="83"/>
      <c r="B4442" s="84"/>
      <c r="C4442" s="84"/>
      <c r="D4442" s="116"/>
      <c r="E4442" s="116"/>
    </row>
    <row r="4443" spans="1:5" x14ac:dyDescent="0.25">
      <c r="A4443" s="83"/>
      <c r="B4443" s="84"/>
      <c r="C4443" s="84"/>
      <c r="D4443" s="116"/>
      <c r="E4443" s="116"/>
    </row>
    <row r="4444" spans="1:5" x14ac:dyDescent="0.25">
      <c r="A4444" s="83"/>
      <c r="B4444" s="84"/>
      <c r="C4444" s="84"/>
      <c r="D4444" s="116"/>
      <c r="E4444" s="116"/>
    </row>
    <row r="4445" spans="1:5" x14ac:dyDescent="0.25">
      <c r="A4445" s="83"/>
      <c r="B4445" s="84"/>
      <c r="C4445" s="84"/>
      <c r="D4445" s="116"/>
      <c r="E4445" s="116"/>
    </row>
    <row r="4446" spans="1:5" x14ac:dyDescent="0.25">
      <c r="A4446" s="83"/>
      <c r="B4446" s="84"/>
      <c r="C4446" s="84"/>
      <c r="D4446" s="116"/>
      <c r="E4446" s="116"/>
    </row>
    <row r="4447" spans="1:5" x14ac:dyDescent="0.25">
      <c r="A4447" s="83"/>
      <c r="B4447" s="84"/>
      <c r="C4447" s="84"/>
      <c r="D4447" s="116"/>
      <c r="E4447" s="116"/>
    </row>
    <row r="4448" spans="1:5" x14ac:dyDescent="0.25">
      <c r="A4448" s="83"/>
      <c r="B4448" s="84"/>
      <c r="C4448" s="84"/>
      <c r="D4448" s="116"/>
      <c r="E4448" s="116"/>
    </row>
    <row r="4449" spans="1:5" x14ac:dyDescent="0.25">
      <c r="A4449" s="83"/>
      <c r="B4449" s="84"/>
      <c r="C4449" s="84"/>
      <c r="D4449" s="116"/>
      <c r="E4449" s="116"/>
    </row>
    <row r="4450" spans="1:5" x14ac:dyDescent="0.25">
      <c r="A4450" s="83"/>
      <c r="B4450" s="84"/>
      <c r="C4450" s="84"/>
      <c r="D4450" s="116"/>
      <c r="E4450" s="116"/>
    </row>
    <row r="4451" spans="1:5" x14ac:dyDescent="0.25">
      <c r="A4451" s="83"/>
      <c r="B4451" s="84"/>
      <c r="C4451" s="84"/>
      <c r="D4451" s="116"/>
      <c r="E4451" s="116"/>
    </row>
    <row r="4452" spans="1:5" x14ac:dyDescent="0.25">
      <c r="A4452" s="83"/>
      <c r="B4452" s="84"/>
      <c r="C4452" s="84"/>
      <c r="D4452" s="116"/>
      <c r="E4452" s="116"/>
    </row>
    <row r="4453" spans="1:5" x14ac:dyDescent="0.25">
      <c r="A4453" s="83"/>
      <c r="B4453" s="84"/>
      <c r="C4453" s="84"/>
      <c r="D4453" s="116"/>
      <c r="E4453" s="116"/>
    </row>
    <row r="4454" spans="1:5" x14ac:dyDescent="0.25">
      <c r="A4454" s="83"/>
      <c r="B4454" s="84"/>
      <c r="C4454" s="84"/>
      <c r="D4454" s="116"/>
      <c r="E4454" s="116"/>
    </row>
    <row r="4455" spans="1:5" x14ac:dyDescent="0.25">
      <c r="A4455" s="83"/>
      <c r="B4455" s="84"/>
      <c r="C4455" s="84"/>
      <c r="D4455" s="116"/>
      <c r="E4455" s="116"/>
    </row>
    <row r="4456" spans="1:5" x14ac:dyDescent="0.25">
      <c r="A4456" s="83"/>
      <c r="B4456" s="84"/>
      <c r="C4456" s="84"/>
      <c r="D4456" s="116"/>
      <c r="E4456" s="116"/>
    </row>
    <row r="4457" spans="1:5" x14ac:dyDescent="0.25">
      <c r="A4457" s="83"/>
      <c r="B4457" s="84"/>
      <c r="C4457" s="84"/>
      <c r="D4457" s="116"/>
      <c r="E4457" s="116"/>
    </row>
    <row r="4458" spans="1:5" x14ac:dyDescent="0.25">
      <c r="A4458" s="83"/>
      <c r="B4458" s="84"/>
      <c r="C4458" s="84"/>
      <c r="D4458" s="116"/>
      <c r="E4458" s="116"/>
    </row>
    <row r="4459" spans="1:5" x14ac:dyDescent="0.25">
      <c r="A4459" s="83"/>
      <c r="B4459" s="84"/>
      <c r="C4459" s="84"/>
      <c r="D4459" s="116"/>
      <c r="E4459" s="116"/>
    </row>
    <row r="4460" spans="1:5" x14ac:dyDescent="0.25">
      <c r="A4460" s="83"/>
      <c r="B4460" s="84"/>
      <c r="C4460" s="84"/>
      <c r="D4460" s="116"/>
      <c r="E4460" s="116"/>
    </row>
    <row r="4461" spans="1:5" x14ac:dyDescent="0.25">
      <c r="A4461" s="83"/>
      <c r="B4461" s="84"/>
      <c r="C4461" s="84"/>
      <c r="D4461" s="116"/>
      <c r="E4461" s="116"/>
    </row>
    <row r="4462" spans="1:5" x14ac:dyDescent="0.25">
      <c r="A4462" s="83"/>
      <c r="B4462" s="84"/>
      <c r="C4462" s="84"/>
      <c r="D4462" s="116"/>
      <c r="E4462" s="116"/>
    </row>
    <row r="4463" spans="1:5" x14ac:dyDescent="0.25">
      <c r="A4463" s="83"/>
      <c r="B4463" s="84"/>
      <c r="C4463" s="84"/>
      <c r="D4463" s="116"/>
      <c r="E4463" s="116"/>
    </row>
    <row r="4464" spans="1:5" x14ac:dyDescent="0.25">
      <c r="A4464" s="83"/>
      <c r="B4464" s="84"/>
      <c r="C4464" s="84"/>
      <c r="D4464" s="116"/>
      <c r="E4464" s="116"/>
    </row>
    <row r="4465" spans="1:5" x14ac:dyDescent="0.25">
      <c r="A4465" s="83"/>
      <c r="B4465" s="84"/>
      <c r="C4465" s="84"/>
      <c r="D4465" s="116"/>
      <c r="E4465" s="116"/>
    </row>
    <row r="4466" spans="1:5" x14ac:dyDescent="0.25">
      <c r="A4466" s="83"/>
      <c r="B4466" s="84"/>
      <c r="C4466" s="84"/>
      <c r="D4466" s="116"/>
      <c r="E4466" s="116"/>
    </row>
    <row r="4467" spans="1:5" x14ac:dyDescent="0.25">
      <c r="A4467" s="83"/>
      <c r="B4467" s="84"/>
      <c r="C4467" s="84"/>
      <c r="D4467" s="116"/>
      <c r="E4467" s="116"/>
    </row>
    <row r="4468" spans="1:5" x14ac:dyDescent="0.25">
      <c r="A4468" s="83"/>
      <c r="B4468" s="84"/>
      <c r="C4468" s="84"/>
      <c r="D4468" s="116"/>
      <c r="E4468" s="116"/>
    </row>
    <row r="4469" spans="1:5" x14ac:dyDescent="0.25">
      <c r="A4469" s="83"/>
      <c r="B4469" s="84"/>
      <c r="C4469" s="84"/>
      <c r="D4469" s="116"/>
      <c r="E4469" s="116"/>
    </row>
    <row r="4470" spans="1:5" x14ac:dyDescent="0.25">
      <c r="A4470" s="83"/>
      <c r="B4470" s="84"/>
      <c r="C4470" s="84"/>
      <c r="D4470" s="116"/>
      <c r="E4470" s="116"/>
    </row>
    <row r="4471" spans="1:5" x14ac:dyDescent="0.25">
      <c r="A4471" s="83"/>
      <c r="B4471" s="84"/>
      <c r="C4471" s="84"/>
      <c r="D4471" s="116"/>
      <c r="E4471" s="116"/>
    </row>
    <row r="4472" spans="1:5" x14ac:dyDescent="0.25">
      <c r="A4472" s="83"/>
      <c r="B4472" s="84"/>
      <c r="C4472" s="84"/>
      <c r="D4472" s="116"/>
      <c r="E4472" s="116"/>
    </row>
    <row r="4473" spans="1:5" x14ac:dyDescent="0.25">
      <c r="A4473" s="83"/>
      <c r="B4473" s="84"/>
      <c r="C4473" s="84"/>
      <c r="D4473" s="116"/>
      <c r="E4473" s="116"/>
    </row>
    <row r="4474" spans="1:5" x14ac:dyDescent="0.25">
      <c r="A4474" s="83"/>
      <c r="B4474" s="84"/>
      <c r="C4474" s="84"/>
      <c r="D4474" s="116"/>
      <c r="E4474" s="116"/>
    </row>
    <row r="4475" spans="1:5" x14ac:dyDescent="0.25">
      <c r="A4475" s="83"/>
      <c r="B4475" s="84"/>
      <c r="C4475" s="84"/>
      <c r="D4475" s="116"/>
      <c r="E4475" s="116"/>
    </row>
    <row r="4476" spans="1:5" x14ac:dyDescent="0.25">
      <c r="A4476" s="83"/>
      <c r="B4476" s="84"/>
      <c r="C4476" s="84"/>
      <c r="D4476" s="116"/>
      <c r="E4476" s="116"/>
    </row>
    <row r="4477" spans="1:5" x14ac:dyDescent="0.25">
      <c r="A4477" s="83"/>
      <c r="B4477" s="84"/>
      <c r="C4477" s="84"/>
      <c r="D4477" s="116"/>
      <c r="E4477" s="116"/>
    </row>
    <row r="4478" spans="1:5" x14ac:dyDescent="0.25">
      <c r="A4478" s="83"/>
      <c r="B4478" s="84"/>
      <c r="C4478" s="84"/>
      <c r="D4478" s="116"/>
      <c r="E4478" s="116"/>
    </row>
    <row r="4479" spans="1:5" x14ac:dyDescent="0.25">
      <c r="A4479" s="83"/>
      <c r="B4479" s="84"/>
      <c r="C4479" s="84"/>
      <c r="D4479" s="116"/>
      <c r="E4479" s="116"/>
    </row>
    <row r="4480" spans="1:5" x14ac:dyDescent="0.25">
      <c r="A4480" s="83"/>
      <c r="B4480" s="84"/>
      <c r="C4480" s="84"/>
      <c r="D4480" s="116"/>
      <c r="E4480" s="116"/>
    </row>
    <row r="4481" spans="1:5" x14ac:dyDescent="0.25">
      <c r="A4481" s="83"/>
      <c r="B4481" s="84"/>
      <c r="C4481" s="84"/>
      <c r="D4481" s="116"/>
      <c r="E4481" s="116"/>
    </row>
    <row r="4482" spans="1:5" x14ac:dyDescent="0.25">
      <c r="A4482" s="83"/>
      <c r="B4482" s="84"/>
      <c r="C4482" s="84"/>
      <c r="D4482" s="116"/>
      <c r="E4482" s="116"/>
    </row>
    <row r="4483" spans="1:5" x14ac:dyDescent="0.25">
      <c r="A4483" s="83"/>
      <c r="B4483" s="84"/>
      <c r="C4483" s="84"/>
      <c r="D4483" s="116"/>
      <c r="E4483" s="116"/>
    </row>
    <row r="4484" spans="1:5" x14ac:dyDescent="0.25">
      <c r="A4484" s="83"/>
      <c r="B4484" s="84"/>
      <c r="C4484" s="84"/>
      <c r="D4484" s="116"/>
      <c r="E4484" s="116"/>
    </row>
    <row r="4485" spans="1:5" x14ac:dyDescent="0.25">
      <c r="A4485" s="83"/>
      <c r="B4485" s="84"/>
      <c r="C4485" s="84"/>
      <c r="D4485" s="116"/>
      <c r="E4485" s="116"/>
    </row>
    <row r="4486" spans="1:5" x14ac:dyDescent="0.25">
      <c r="A4486" s="83"/>
      <c r="B4486" s="84"/>
      <c r="C4486" s="84"/>
      <c r="D4486" s="116"/>
      <c r="E4486" s="116"/>
    </row>
    <row r="4487" spans="1:5" x14ac:dyDescent="0.25">
      <c r="A4487" s="83"/>
      <c r="B4487" s="84"/>
      <c r="C4487" s="84"/>
      <c r="D4487" s="116"/>
      <c r="E4487" s="116"/>
    </row>
    <row r="4488" spans="1:5" x14ac:dyDescent="0.25">
      <c r="A4488" s="83"/>
      <c r="B4488" s="84"/>
      <c r="C4488" s="84"/>
      <c r="D4488" s="116"/>
      <c r="E4488" s="116"/>
    </row>
    <row r="4489" spans="1:5" x14ac:dyDescent="0.25">
      <c r="A4489" s="83"/>
      <c r="B4489" s="84"/>
      <c r="C4489" s="84"/>
      <c r="D4489" s="116"/>
      <c r="E4489" s="116"/>
    </row>
    <row r="4490" spans="1:5" x14ac:dyDescent="0.25">
      <c r="A4490" s="83"/>
      <c r="B4490" s="84"/>
      <c r="C4490" s="84"/>
      <c r="D4490" s="116"/>
      <c r="E4490" s="116"/>
    </row>
    <row r="4491" spans="1:5" x14ac:dyDescent="0.25">
      <c r="A4491" s="83"/>
      <c r="B4491" s="84"/>
      <c r="C4491" s="84"/>
      <c r="D4491" s="116"/>
      <c r="E4491" s="116"/>
    </row>
    <row r="4492" spans="1:5" x14ac:dyDescent="0.25">
      <c r="A4492" s="83"/>
      <c r="B4492" s="84"/>
      <c r="C4492" s="84"/>
      <c r="D4492" s="116"/>
      <c r="E4492" s="116"/>
    </row>
    <row r="4493" spans="1:5" x14ac:dyDescent="0.25">
      <c r="A4493" s="83"/>
      <c r="B4493" s="84"/>
      <c r="C4493" s="84"/>
      <c r="D4493" s="116"/>
      <c r="E4493" s="116"/>
    </row>
    <row r="4494" spans="1:5" x14ac:dyDescent="0.25">
      <c r="A4494" s="83"/>
      <c r="B4494" s="84"/>
      <c r="C4494" s="84"/>
      <c r="D4494" s="116"/>
      <c r="E4494" s="116"/>
    </row>
    <row r="4495" spans="1:5" x14ac:dyDescent="0.25">
      <c r="A4495" s="83"/>
      <c r="B4495" s="84"/>
      <c r="C4495" s="84"/>
      <c r="D4495" s="116"/>
      <c r="E4495" s="116"/>
    </row>
    <row r="4496" spans="1:5" x14ac:dyDescent="0.25">
      <c r="A4496" s="83"/>
      <c r="B4496" s="84"/>
      <c r="C4496" s="84"/>
      <c r="D4496" s="116"/>
      <c r="E4496" s="116"/>
    </row>
    <row r="4497" spans="1:5" x14ac:dyDescent="0.25">
      <c r="A4497" s="83"/>
      <c r="B4497" s="84"/>
      <c r="C4497" s="84"/>
      <c r="D4497" s="116"/>
      <c r="E4497" s="116"/>
    </row>
    <row r="4498" spans="1:5" x14ac:dyDescent="0.25">
      <c r="A4498" s="83"/>
      <c r="B4498" s="84"/>
      <c r="C4498" s="84"/>
      <c r="D4498" s="116"/>
      <c r="E4498" s="116"/>
    </row>
    <row r="4499" spans="1:5" x14ac:dyDescent="0.25">
      <c r="A4499" s="83"/>
      <c r="B4499" s="84"/>
      <c r="C4499" s="84"/>
      <c r="D4499" s="116"/>
      <c r="E4499" s="116"/>
    </row>
    <row r="4500" spans="1:5" x14ac:dyDescent="0.25">
      <c r="A4500" s="83"/>
      <c r="B4500" s="84"/>
      <c r="C4500" s="84"/>
      <c r="D4500" s="116"/>
      <c r="E4500" s="116"/>
    </row>
    <row r="4501" spans="1:5" x14ac:dyDescent="0.25">
      <c r="A4501" s="83"/>
      <c r="B4501" s="84"/>
      <c r="C4501" s="84"/>
      <c r="D4501" s="116"/>
      <c r="E4501" s="116"/>
    </row>
    <row r="4502" spans="1:5" x14ac:dyDescent="0.25">
      <c r="A4502" s="83"/>
      <c r="B4502" s="84"/>
      <c r="C4502" s="84"/>
      <c r="D4502" s="116"/>
      <c r="E4502" s="116"/>
    </row>
    <row r="4503" spans="1:5" x14ac:dyDescent="0.25">
      <c r="A4503" s="83"/>
      <c r="B4503" s="84"/>
      <c r="C4503" s="84"/>
      <c r="D4503" s="116"/>
      <c r="E4503" s="116"/>
    </row>
    <row r="4504" spans="1:5" x14ac:dyDescent="0.25">
      <c r="A4504" s="83"/>
      <c r="B4504" s="84"/>
      <c r="C4504" s="84"/>
      <c r="D4504" s="116"/>
      <c r="E4504" s="116"/>
    </row>
    <row r="4505" spans="1:5" x14ac:dyDescent="0.25">
      <c r="A4505" s="83"/>
      <c r="B4505" s="84"/>
      <c r="C4505" s="84"/>
      <c r="D4505" s="116"/>
      <c r="E4505" s="116"/>
    </row>
    <row r="4506" spans="1:5" x14ac:dyDescent="0.25">
      <c r="A4506" s="83"/>
      <c r="B4506" s="84"/>
      <c r="C4506" s="84"/>
      <c r="D4506" s="116"/>
      <c r="E4506" s="116"/>
    </row>
    <row r="4507" spans="1:5" x14ac:dyDescent="0.25">
      <c r="A4507" s="83"/>
      <c r="B4507" s="84"/>
      <c r="C4507" s="84"/>
      <c r="D4507" s="116"/>
      <c r="E4507" s="116"/>
    </row>
    <row r="4508" spans="1:5" x14ac:dyDescent="0.25">
      <c r="A4508" s="83"/>
      <c r="B4508" s="84"/>
      <c r="C4508" s="84"/>
      <c r="D4508" s="116"/>
      <c r="E4508" s="116"/>
    </row>
    <row r="4509" spans="1:5" x14ac:dyDescent="0.25">
      <c r="A4509" s="83"/>
      <c r="B4509" s="84"/>
      <c r="C4509" s="84"/>
      <c r="D4509" s="116"/>
      <c r="E4509" s="116"/>
    </row>
    <row r="4510" spans="1:5" x14ac:dyDescent="0.25">
      <c r="A4510" s="83"/>
      <c r="B4510" s="84"/>
      <c r="C4510" s="84"/>
      <c r="D4510" s="116"/>
      <c r="E4510" s="116"/>
    </row>
    <row r="4511" spans="1:5" x14ac:dyDescent="0.25">
      <c r="A4511" s="83"/>
      <c r="B4511" s="84"/>
      <c r="C4511" s="84"/>
      <c r="D4511" s="116"/>
      <c r="E4511" s="116"/>
    </row>
    <row r="4512" spans="1:5" x14ac:dyDescent="0.25">
      <c r="A4512" s="83"/>
      <c r="B4512" s="84"/>
      <c r="C4512" s="84"/>
      <c r="D4512" s="116"/>
      <c r="E4512" s="116"/>
    </row>
    <row r="4513" spans="1:5" x14ac:dyDescent="0.25">
      <c r="A4513" s="83"/>
      <c r="B4513" s="84"/>
      <c r="C4513" s="84"/>
      <c r="D4513" s="116"/>
      <c r="E4513" s="116"/>
    </row>
    <row r="4514" spans="1:5" x14ac:dyDescent="0.25">
      <c r="A4514" s="83"/>
      <c r="B4514" s="84"/>
      <c r="C4514" s="84"/>
      <c r="D4514" s="116"/>
      <c r="E4514" s="116"/>
    </row>
    <row r="4515" spans="1:5" x14ac:dyDescent="0.25">
      <c r="A4515" s="83"/>
      <c r="B4515" s="84"/>
      <c r="C4515" s="84"/>
      <c r="D4515" s="116"/>
      <c r="E4515" s="116"/>
    </row>
    <row r="4516" spans="1:5" x14ac:dyDescent="0.25">
      <c r="A4516" s="83"/>
      <c r="B4516" s="84"/>
      <c r="C4516" s="84"/>
      <c r="D4516" s="116"/>
      <c r="E4516" s="116"/>
    </row>
    <row r="4517" spans="1:5" x14ac:dyDescent="0.25">
      <c r="A4517" s="83"/>
      <c r="B4517" s="84"/>
      <c r="C4517" s="84"/>
      <c r="D4517" s="116"/>
      <c r="E4517" s="116"/>
    </row>
    <row r="4518" spans="1:5" x14ac:dyDescent="0.25">
      <c r="A4518" s="83"/>
      <c r="B4518" s="84"/>
      <c r="C4518" s="84"/>
      <c r="D4518" s="116"/>
      <c r="E4518" s="116"/>
    </row>
    <row r="4519" spans="1:5" x14ac:dyDescent="0.25">
      <c r="A4519" s="83"/>
      <c r="B4519" s="84"/>
      <c r="C4519" s="84"/>
      <c r="D4519" s="116"/>
      <c r="E4519" s="116"/>
    </row>
    <row r="4520" spans="1:5" x14ac:dyDescent="0.25">
      <c r="A4520" s="83"/>
      <c r="B4520" s="84"/>
      <c r="C4520" s="84"/>
      <c r="D4520" s="116"/>
      <c r="E4520" s="116"/>
    </row>
    <row r="4521" spans="1:5" x14ac:dyDescent="0.25">
      <c r="A4521" s="83"/>
      <c r="B4521" s="84"/>
      <c r="C4521" s="84"/>
      <c r="D4521" s="116"/>
      <c r="E4521" s="116"/>
    </row>
    <row r="4522" spans="1:5" x14ac:dyDescent="0.25">
      <c r="A4522" s="83"/>
      <c r="B4522" s="84"/>
      <c r="C4522" s="84"/>
      <c r="D4522" s="116"/>
      <c r="E4522" s="116"/>
    </row>
    <row r="4523" spans="1:5" x14ac:dyDescent="0.25">
      <c r="A4523" s="83"/>
      <c r="B4523" s="84"/>
      <c r="C4523" s="84"/>
      <c r="D4523" s="116"/>
      <c r="E4523" s="116"/>
    </row>
    <row r="4524" spans="1:5" x14ac:dyDescent="0.25">
      <c r="A4524" s="83"/>
      <c r="B4524" s="84"/>
      <c r="C4524" s="84"/>
      <c r="D4524" s="116"/>
      <c r="E4524" s="116"/>
    </row>
    <row r="4525" spans="1:5" x14ac:dyDescent="0.25">
      <c r="A4525" s="83"/>
      <c r="B4525" s="84"/>
      <c r="C4525" s="84"/>
      <c r="D4525" s="116"/>
      <c r="E4525" s="116"/>
    </row>
    <row r="4526" spans="1:5" x14ac:dyDescent="0.25">
      <c r="A4526" s="83"/>
      <c r="B4526" s="84"/>
      <c r="C4526" s="84"/>
      <c r="D4526" s="116"/>
      <c r="E4526" s="116"/>
    </row>
    <row r="4527" spans="1:5" x14ac:dyDescent="0.25">
      <c r="A4527" s="83"/>
      <c r="B4527" s="84"/>
      <c r="C4527" s="84"/>
      <c r="D4527" s="116"/>
      <c r="E4527" s="116"/>
    </row>
    <row r="4528" spans="1:5" x14ac:dyDescent="0.25">
      <c r="A4528" s="83"/>
      <c r="B4528" s="84"/>
      <c r="C4528" s="84"/>
      <c r="D4528" s="116"/>
      <c r="E4528" s="116"/>
    </row>
    <row r="4529" spans="1:5" x14ac:dyDescent="0.25">
      <c r="A4529" s="83"/>
      <c r="B4529" s="84"/>
      <c r="C4529" s="84"/>
      <c r="D4529" s="116"/>
      <c r="E4529" s="116"/>
    </row>
    <row r="4530" spans="1:5" x14ac:dyDescent="0.25">
      <c r="A4530" s="83"/>
      <c r="B4530" s="84"/>
      <c r="C4530" s="84"/>
      <c r="D4530" s="116"/>
      <c r="E4530" s="116"/>
    </row>
    <row r="4531" spans="1:5" x14ac:dyDescent="0.25">
      <c r="A4531" s="83"/>
      <c r="B4531" s="84"/>
      <c r="C4531" s="84"/>
      <c r="D4531" s="116"/>
      <c r="E4531" s="116"/>
    </row>
    <row r="4532" spans="1:5" x14ac:dyDescent="0.25">
      <c r="A4532" s="83"/>
      <c r="B4532" s="84"/>
      <c r="C4532" s="84"/>
      <c r="D4532" s="116"/>
      <c r="E4532" s="116"/>
    </row>
    <row r="4533" spans="1:5" x14ac:dyDescent="0.25">
      <c r="A4533" s="83"/>
      <c r="B4533" s="84"/>
      <c r="C4533" s="84"/>
      <c r="D4533" s="116"/>
      <c r="E4533" s="116"/>
    </row>
    <row r="4534" spans="1:5" x14ac:dyDescent="0.25">
      <c r="A4534" s="83"/>
      <c r="B4534" s="84"/>
      <c r="C4534" s="84"/>
      <c r="D4534" s="116"/>
      <c r="E4534" s="116"/>
    </row>
    <row r="4535" spans="1:5" x14ac:dyDescent="0.25">
      <c r="A4535" s="83"/>
      <c r="B4535" s="84"/>
      <c r="C4535" s="84"/>
      <c r="D4535" s="116"/>
      <c r="E4535" s="116"/>
    </row>
    <row r="4536" spans="1:5" x14ac:dyDescent="0.25">
      <c r="A4536" s="83"/>
      <c r="B4536" s="84"/>
      <c r="C4536" s="84"/>
      <c r="D4536" s="116"/>
      <c r="E4536" s="116"/>
    </row>
    <row r="4537" spans="1:5" x14ac:dyDescent="0.25">
      <c r="A4537" s="83"/>
      <c r="B4537" s="84"/>
      <c r="C4537" s="84"/>
      <c r="D4537" s="116"/>
      <c r="E4537" s="116"/>
    </row>
    <row r="4538" spans="1:5" x14ac:dyDescent="0.25">
      <c r="A4538" s="83"/>
      <c r="B4538" s="84"/>
      <c r="C4538" s="84"/>
      <c r="D4538" s="116"/>
      <c r="E4538" s="116"/>
    </row>
    <row r="4539" spans="1:5" x14ac:dyDescent="0.25">
      <c r="A4539" s="83"/>
      <c r="B4539" s="84"/>
      <c r="C4539" s="84"/>
      <c r="D4539" s="116"/>
      <c r="E4539" s="116"/>
    </row>
    <row r="4540" spans="1:5" x14ac:dyDescent="0.25">
      <c r="A4540" s="83"/>
      <c r="B4540" s="84"/>
      <c r="C4540" s="84"/>
      <c r="D4540" s="116"/>
      <c r="E4540" s="116"/>
    </row>
    <row r="4541" spans="1:5" x14ac:dyDescent="0.25">
      <c r="A4541" s="83"/>
      <c r="B4541" s="84"/>
      <c r="C4541" s="84"/>
      <c r="D4541" s="116"/>
      <c r="E4541" s="116"/>
    </row>
    <row r="4542" spans="1:5" x14ac:dyDescent="0.25">
      <c r="A4542" s="83"/>
      <c r="B4542" s="84"/>
      <c r="C4542" s="84"/>
      <c r="D4542" s="116"/>
      <c r="E4542" s="116"/>
    </row>
    <row r="4543" spans="1:5" x14ac:dyDescent="0.25">
      <c r="A4543" s="83"/>
      <c r="B4543" s="84"/>
      <c r="C4543" s="84"/>
      <c r="D4543" s="116"/>
      <c r="E4543" s="116"/>
    </row>
    <row r="4544" spans="1:5" x14ac:dyDescent="0.25">
      <c r="A4544" s="83"/>
      <c r="B4544" s="84"/>
      <c r="C4544" s="84"/>
      <c r="D4544" s="116"/>
      <c r="E4544" s="116"/>
    </row>
    <row r="4545" spans="1:5" x14ac:dyDescent="0.25">
      <c r="A4545" s="83"/>
      <c r="B4545" s="84"/>
      <c r="C4545" s="84"/>
      <c r="D4545" s="116"/>
      <c r="E4545" s="116"/>
    </row>
    <row r="4546" spans="1:5" x14ac:dyDescent="0.25">
      <c r="A4546" s="83"/>
      <c r="B4546" s="84"/>
      <c r="C4546" s="84"/>
      <c r="D4546" s="116"/>
      <c r="E4546" s="116"/>
    </row>
    <row r="4547" spans="1:5" x14ac:dyDescent="0.25">
      <c r="A4547" s="83"/>
      <c r="B4547" s="84"/>
      <c r="C4547" s="84"/>
      <c r="D4547" s="116"/>
      <c r="E4547" s="116"/>
    </row>
    <row r="4548" spans="1:5" x14ac:dyDescent="0.25">
      <c r="A4548" s="83"/>
      <c r="B4548" s="84"/>
      <c r="C4548" s="84"/>
      <c r="D4548" s="116"/>
      <c r="E4548" s="116"/>
    </row>
    <row r="4549" spans="1:5" x14ac:dyDescent="0.25">
      <c r="A4549" s="83"/>
      <c r="B4549" s="84"/>
      <c r="C4549" s="84"/>
      <c r="D4549" s="116"/>
      <c r="E4549" s="116"/>
    </row>
    <row r="4550" spans="1:5" x14ac:dyDescent="0.25">
      <c r="A4550" s="83"/>
      <c r="B4550" s="84"/>
      <c r="C4550" s="84"/>
      <c r="D4550" s="116"/>
      <c r="E4550" s="116"/>
    </row>
    <row r="4551" spans="1:5" x14ac:dyDescent="0.25">
      <c r="A4551" s="83"/>
      <c r="B4551" s="84"/>
      <c r="C4551" s="84"/>
      <c r="D4551" s="116"/>
      <c r="E4551" s="116"/>
    </row>
    <row r="4552" spans="1:5" x14ac:dyDescent="0.25">
      <c r="A4552" s="83"/>
      <c r="B4552" s="84"/>
      <c r="C4552" s="84"/>
      <c r="D4552" s="116"/>
      <c r="E4552" s="116"/>
    </row>
    <row r="4553" spans="1:5" x14ac:dyDescent="0.25">
      <c r="A4553" s="83"/>
      <c r="B4553" s="84"/>
      <c r="C4553" s="84"/>
      <c r="D4553" s="116"/>
      <c r="E4553" s="116"/>
    </row>
    <row r="4554" spans="1:5" x14ac:dyDescent="0.25">
      <c r="A4554" s="83"/>
      <c r="B4554" s="84"/>
      <c r="C4554" s="84"/>
      <c r="D4554" s="116"/>
      <c r="E4554" s="116"/>
    </row>
    <row r="4555" spans="1:5" x14ac:dyDescent="0.25">
      <c r="A4555" s="83"/>
      <c r="B4555" s="84"/>
      <c r="C4555" s="84"/>
      <c r="D4555" s="116"/>
      <c r="E4555" s="116"/>
    </row>
    <row r="4556" spans="1:5" x14ac:dyDescent="0.25">
      <c r="A4556" s="83"/>
      <c r="B4556" s="84"/>
      <c r="C4556" s="84"/>
      <c r="D4556" s="116"/>
      <c r="E4556" s="116"/>
    </row>
    <row r="4557" spans="1:5" x14ac:dyDescent="0.25">
      <c r="A4557" s="83"/>
      <c r="B4557" s="84"/>
      <c r="C4557" s="84"/>
      <c r="D4557" s="116"/>
      <c r="E4557" s="116"/>
    </row>
    <row r="4558" spans="1:5" x14ac:dyDescent="0.25">
      <c r="A4558" s="83"/>
      <c r="B4558" s="84"/>
      <c r="C4558" s="84"/>
      <c r="D4558" s="116"/>
      <c r="E4558" s="116"/>
    </row>
    <row r="4559" spans="1:5" x14ac:dyDescent="0.25">
      <c r="A4559" s="83"/>
      <c r="B4559" s="84"/>
      <c r="C4559" s="84"/>
      <c r="D4559" s="116"/>
      <c r="E4559" s="116"/>
    </row>
    <row r="4560" spans="1:5" x14ac:dyDescent="0.25">
      <c r="A4560" s="83"/>
      <c r="B4560" s="84"/>
      <c r="C4560" s="84"/>
      <c r="D4560" s="116"/>
      <c r="E4560" s="116"/>
    </row>
    <row r="4561" spans="1:5" x14ac:dyDescent="0.25">
      <c r="A4561" s="83"/>
      <c r="B4561" s="84"/>
      <c r="C4561" s="84"/>
      <c r="D4561" s="116"/>
      <c r="E4561" s="116"/>
    </row>
    <row r="4562" spans="1:5" x14ac:dyDescent="0.25">
      <c r="A4562" s="83"/>
      <c r="B4562" s="84"/>
      <c r="C4562" s="84"/>
      <c r="D4562" s="116"/>
      <c r="E4562" s="116"/>
    </row>
    <row r="4563" spans="1:5" x14ac:dyDescent="0.25">
      <c r="A4563" s="83"/>
      <c r="B4563" s="84"/>
      <c r="C4563" s="84"/>
      <c r="D4563" s="116"/>
      <c r="E4563" s="116"/>
    </row>
    <row r="4564" spans="1:5" x14ac:dyDescent="0.25">
      <c r="A4564" s="83"/>
      <c r="B4564" s="84"/>
      <c r="C4564" s="84"/>
      <c r="D4564" s="116"/>
      <c r="E4564" s="116"/>
    </row>
    <row r="4565" spans="1:5" x14ac:dyDescent="0.25">
      <c r="A4565" s="83"/>
      <c r="B4565" s="84"/>
      <c r="C4565" s="84"/>
      <c r="D4565" s="116"/>
      <c r="E4565" s="116"/>
    </row>
    <row r="4566" spans="1:5" x14ac:dyDescent="0.25">
      <c r="A4566" s="83"/>
      <c r="B4566" s="84"/>
      <c r="C4566" s="84"/>
      <c r="D4566" s="116"/>
      <c r="E4566" s="116"/>
    </row>
    <row r="4567" spans="1:5" x14ac:dyDescent="0.25">
      <c r="A4567" s="83"/>
      <c r="B4567" s="84"/>
      <c r="C4567" s="84"/>
      <c r="D4567" s="116"/>
      <c r="E4567" s="116"/>
    </row>
    <row r="4568" spans="1:5" x14ac:dyDescent="0.25">
      <c r="A4568" s="83"/>
      <c r="B4568" s="84"/>
      <c r="C4568" s="84"/>
      <c r="D4568" s="116"/>
      <c r="E4568" s="116"/>
    </row>
    <row r="4569" spans="1:5" x14ac:dyDescent="0.25">
      <c r="A4569" s="83"/>
      <c r="B4569" s="84"/>
      <c r="C4569" s="84"/>
      <c r="D4569" s="116"/>
      <c r="E4569" s="116"/>
    </row>
    <row r="4570" spans="1:5" x14ac:dyDescent="0.25">
      <c r="A4570" s="83"/>
      <c r="B4570" s="84"/>
      <c r="C4570" s="84"/>
      <c r="D4570" s="116"/>
      <c r="E4570" s="116"/>
    </row>
    <row r="4571" spans="1:5" x14ac:dyDescent="0.25">
      <c r="A4571" s="83"/>
      <c r="B4571" s="84"/>
      <c r="C4571" s="84"/>
      <c r="D4571" s="116"/>
      <c r="E4571" s="116"/>
    </row>
    <row r="4572" spans="1:5" x14ac:dyDescent="0.25">
      <c r="A4572" s="83"/>
      <c r="B4572" s="84"/>
      <c r="C4572" s="84"/>
      <c r="D4572" s="116"/>
      <c r="E4572" s="116"/>
    </row>
    <row r="4573" spans="1:5" x14ac:dyDescent="0.25">
      <c r="A4573" s="83"/>
      <c r="B4573" s="84"/>
      <c r="C4573" s="84"/>
      <c r="D4573" s="116"/>
      <c r="E4573" s="116"/>
    </row>
    <row r="4574" spans="1:5" x14ac:dyDescent="0.25">
      <c r="A4574" s="83"/>
      <c r="B4574" s="84"/>
      <c r="C4574" s="84"/>
      <c r="D4574" s="116"/>
      <c r="E4574" s="116"/>
    </row>
    <row r="4575" spans="1:5" x14ac:dyDescent="0.25">
      <c r="A4575" s="83"/>
      <c r="B4575" s="84"/>
      <c r="C4575" s="84"/>
      <c r="D4575" s="116"/>
      <c r="E4575" s="116"/>
    </row>
    <row r="4576" spans="1:5" x14ac:dyDescent="0.25">
      <c r="A4576" s="83"/>
      <c r="B4576" s="84"/>
      <c r="C4576" s="84"/>
      <c r="D4576" s="116"/>
      <c r="E4576" s="116"/>
    </row>
    <row r="4577" spans="1:5" x14ac:dyDescent="0.25">
      <c r="A4577" s="83"/>
      <c r="B4577" s="84"/>
      <c r="C4577" s="84"/>
      <c r="D4577" s="116"/>
      <c r="E4577" s="116"/>
    </row>
    <row r="4578" spans="1:5" x14ac:dyDescent="0.25">
      <c r="A4578" s="83"/>
      <c r="B4578" s="84"/>
      <c r="C4578" s="84"/>
      <c r="D4578" s="116"/>
      <c r="E4578" s="116"/>
    </row>
    <row r="4579" spans="1:5" x14ac:dyDescent="0.25">
      <c r="A4579" s="83"/>
      <c r="B4579" s="84"/>
      <c r="C4579" s="84"/>
      <c r="D4579" s="116"/>
      <c r="E4579" s="116"/>
    </row>
    <row r="4580" spans="1:5" x14ac:dyDescent="0.25">
      <c r="A4580" s="83"/>
      <c r="B4580" s="84"/>
      <c r="C4580" s="84"/>
      <c r="D4580" s="116"/>
      <c r="E4580" s="116"/>
    </row>
    <row r="4581" spans="1:5" x14ac:dyDescent="0.25">
      <c r="A4581" s="83"/>
      <c r="B4581" s="84"/>
      <c r="C4581" s="84"/>
      <c r="D4581" s="116"/>
      <c r="E4581" s="116"/>
    </row>
    <row r="4582" spans="1:5" x14ac:dyDescent="0.25">
      <c r="A4582" s="83"/>
      <c r="B4582" s="84"/>
      <c r="C4582" s="84"/>
      <c r="D4582" s="116"/>
      <c r="E4582" s="116"/>
    </row>
    <row r="4583" spans="1:5" x14ac:dyDescent="0.25">
      <c r="A4583" s="83"/>
      <c r="B4583" s="84"/>
      <c r="C4583" s="84"/>
      <c r="D4583" s="116"/>
      <c r="E4583" s="116"/>
    </row>
    <row r="4584" spans="1:5" x14ac:dyDescent="0.25">
      <c r="A4584" s="83"/>
      <c r="B4584" s="84"/>
      <c r="C4584" s="84"/>
      <c r="D4584" s="116"/>
      <c r="E4584" s="116"/>
    </row>
    <row r="4585" spans="1:5" x14ac:dyDescent="0.25">
      <c r="A4585" s="83"/>
      <c r="B4585" s="84"/>
      <c r="C4585" s="84"/>
      <c r="D4585" s="116"/>
      <c r="E4585" s="116"/>
    </row>
    <row r="4586" spans="1:5" x14ac:dyDescent="0.25">
      <c r="A4586" s="83"/>
      <c r="B4586" s="84"/>
      <c r="C4586" s="84"/>
      <c r="D4586" s="116"/>
      <c r="E4586" s="116"/>
    </row>
    <row r="4587" spans="1:5" x14ac:dyDescent="0.25">
      <c r="A4587" s="83"/>
      <c r="B4587" s="84"/>
      <c r="C4587" s="84"/>
      <c r="D4587" s="116"/>
      <c r="E4587" s="116"/>
    </row>
    <row r="4588" spans="1:5" x14ac:dyDescent="0.25">
      <c r="A4588" s="83"/>
      <c r="B4588" s="84"/>
      <c r="C4588" s="84"/>
      <c r="D4588" s="116"/>
      <c r="E4588" s="116"/>
    </row>
    <row r="4589" spans="1:5" x14ac:dyDescent="0.25">
      <c r="A4589" s="83"/>
      <c r="B4589" s="84"/>
      <c r="C4589" s="84"/>
      <c r="D4589" s="116"/>
      <c r="E4589" s="116"/>
    </row>
    <row r="4590" spans="1:5" x14ac:dyDescent="0.25">
      <c r="A4590" s="83"/>
      <c r="B4590" s="84"/>
      <c r="C4590" s="84"/>
      <c r="D4590" s="116"/>
      <c r="E4590" s="116"/>
    </row>
    <row r="4591" spans="1:5" x14ac:dyDescent="0.25">
      <c r="A4591" s="83"/>
      <c r="B4591" s="84"/>
      <c r="C4591" s="84"/>
      <c r="D4591" s="116"/>
      <c r="E4591" s="116"/>
    </row>
    <row r="4592" spans="1:5" x14ac:dyDescent="0.25">
      <c r="A4592" s="83"/>
      <c r="B4592" s="84"/>
      <c r="C4592" s="84"/>
      <c r="D4592" s="116"/>
      <c r="E4592" s="116"/>
    </row>
    <row r="4593" spans="1:5" x14ac:dyDescent="0.25">
      <c r="A4593" s="83"/>
      <c r="B4593" s="84"/>
      <c r="C4593" s="84"/>
      <c r="D4593" s="116"/>
      <c r="E4593" s="116"/>
    </row>
    <row r="4594" spans="1:5" x14ac:dyDescent="0.25">
      <c r="A4594" s="83"/>
      <c r="B4594" s="84"/>
      <c r="C4594" s="84"/>
      <c r="D4594" s="116"/>
      <c r="E4594" s="116"/>
    </row>
    <row r="4595" spans="1:5" x14ac:dyDescent="0.25">
      <c r="A4595" s="83"/>
      <c r="B4595" s="84"/>
      <c r="C4595" s="84"/>
      <c r="D4595" s="116"/>
      <c r="E4595" s="116"/>
    </row>
    <row r="4596" spans="1:5" x14ac:dyDescent="0.25">
      <c r="A4596" s="83"/>
      <c r="B4596" s="84"/>
      <c r="C4596" s="84"/>
      <c r="D4596" s="116"/>
      <c r="E4596" s="116"/>
    </row>
    <row r="4597" spans="1:5" x14ac:dyDescent="0.25">
      <c r="A4597" s="83"/>
      <c r="B4597" s="84"/>
      <c r="C4597" s="84"/>
      <c r="D4597" s="116"/>
      <c r="E4597" s="116"/>
    </row>
    <row r="4598" spans="1:5" x14ac:dyDescent="0.25">
      <c r="A4598" s="83"/>
      <c r="B4598" s="84"/>
      <c r="C4598" s="84"/>
      <c r="D4598" s="116"/>
      <c r="E4598" s="116"/>
    </row>
    <row r="4599" spans="1:5" x14ac:dyDescent="0.25">
      <c r="A4599" s="83"/>
      <c r="B4599" s="84"/>
      <c r="C4599" s="84"/>
      <c r="D4599" s="116"/>
      <c r="E4599" s="116"/>
    </row>
    <row r="4600" spans="1:5" x14ac:dyDescent="0.25">
      <c r="A4600" s="83"/>
      <c r="B4600" s="84"/>
      <c r="C4600" s="84"/>
      <c r="D4600" s="116"/>
      <c r="E4600" s="116"/>
    </row>
    <row r="4601" spans="1:5" x14ac:dyDescent="0.25">
      <c r="A4601" s="83"/>
      <c r="B4601" s="84"/>
      <c r="C4601" s="84"/>
      <c r="D4601" s="116"/>
      <c r="E4601" s="116"/>
    </row>
    <row r="4602" spans="1:5" x14ac:dyDescent="0.25">
      <c r="A4602" s="83"/>
      <c r="B4602" s="84"/>
      <c r="C4602" s="84"/>
      <c r="D4602" s="116"/>
      <c r="E4602" s="116"/>
    </row>
    <row r="4603" spans="1:5" x14ac:dyDescent="0.25">
      <c r="A4603" s="83"/>
      <c r="B4603" s="84"/>
      <c r="C4603" s="84"/>
      <c r="D4603" s="116"/>
      <c r="E4603" s="116"/>
    </row>
    <row r="4604" spans="1:5" x14ac:dyDescent="0.25">
      <c r="A4604" s="83"/>
      <c r="B4604" s="84"/>
      <c r="C4604" s="84"/>
      <c r="D4604" s="116"/>
      <c r="E4604" s="116"/>
    </row>
    <row r="4605" spans="1:5" x14ac:dyDescent="0.25">
      <c r="A4605" s="83"/>
      <c r="B4605" s="84"/>
      <c r="C4605" s="84"/>
      <c r="D4605" s="116"/>
      <c r="E4605" s="116"/>
    </row>
    <row r="4606" spans="1:5" x14ac:dyDescent="0.25">
      <c r="A4606" s="83"/>
      <c r="B4606" s="84"/>
      <c r="C4606" s="84"/>
      <c r="D4606" s="116"/>
      <c r="E4606" s="116"/>
    </row>
    <row r="4607" spans="1:5" x14ac:dyDescent="0.25">
      <c r="A4607" s="83"/>
      <c r="B4607" s="84"/>
      <c r="C4607" s="84"/>
      <c r="D4607" s="116"/>
      <c r="E4607" s="116"/>
    </row>
    <row r="4608" spans="1:5" x14ac:dyDescent="0.25">
      <c r="A4608" s="83"/>
      <c r="B4608" s="84"/>
      <c r="C4608" s="84"/>
      <c r="D4608" s="116"/>
      <c r="E4608" s="116"/>
    </row>
    <row r="4609" spans="1:5" x14ac:dyDescent="0.25">
      <c r="A4609" s="83"/>
      <c r="B4609" s="84"/>
      <c r="C4609" s="84"/>
      <c r="D4609" s="116"/>
      <c r="E4609" s="116"/>
    </row>
    <row r="4610" spans="1:5" x14ac:dyDescent="0.25">
      <c r="A4610" s="83"/>
      <c r="B4610" s="84"/>
      <c r="C4610" s="84"/>
      <c r="D4610" s="116"/>
      <c r="E4610" s="116"/>
    </row>
    <row r="4611" spans="1:5" x14ac:dyDescent="0.25">
      <c r="A4611" s="83"/>
      <c r="B4611" s="84"/>
      <c r="C4611" s="84"/>
      <c r="D4611" s="116"/>
      <c r="E4611" s="116"/>
    </row>
    <row r="4612" spans="1:5" x14ac:dyDescent="0.25">
      <c r="A4612" s="83"/>
      <c r="B4612" s="84"/>
      <c r="C4612" s="84"/>
      <c r="D4612" s="116"/>
      <c r="E4612" s="116"/>
    </row>
    <row r="4613" spans="1:5" x14ac:dyDescent="0.25">
      <c r="A4613" s="83"/>
      <c r="B4613" s="84"/>
      <c r="C4613" s="84"/>
      <c r="D4613" s="116"/>
      <c r="E4613" s="116"/>
    </row>
    <row r="4614" spans="1:5" x14ac:dyDescent="0.25">
      <c r="A4614" s="83"/>
      <c r="B4614" s="84"/>
      <c r="C4614" s="84"/>
      <c r="D4614" s="116"/>
      <c r="E4614" s="116"/>
    </row>
    <row r="4615" spans="1:5" x14ac:dyDescent="0.25">
      <c r="A4615" s="83"/>
      <c r="B4615" s="84"/>
      <c r="C4615" s="84"/>
      <c r="D4615" s="116"/>
      <c r="E4615" s="116"/>
    </row>
    <row r="4616" spans="1:5" x14ac:dyDescent="0.25">
      <c r="A4616" s="83"/>
      <c r="B4616" s="84"/>
      <c r="C4616" s="84"/>
      <c r="D4616" s="116"/>
      <c r="E4616" s="116"/>
    </row>
    <row r="4617" spans="1:5" x14ac:dyDescent="0.25">
      <c r="A4617" s="83"/>
      <c r="B4617" s="84"/>
      <c r="C4617" s="84"/>
      <c r="D4617" s="116"/>
      <c r="E4617" s="116"/>
    </row>
    <row r="4618" spans="1:5" x14ac:dyDescent="0.25">
      <c r="A4618" s="83"/>
      <c r="B4618" s="84"/>
      <c r="C4618" s="84"/>
      <c r="D4618" s="116"/>
      <c r="E4618" s="116"/>
    </row>
    <row r="4619" spans="1:5" x14ac:dyDescent="0.25">
      <c r="A4619" s="83"/>
      <c r="B4619" s="84"/>
      <c r="C4619" s="84"/>
      <c r="D4619" s="116"/>
      <c r="E4619" s="116"/>
    </row>
    <row r="4620" spans="1:5" x14ac:dyDescent="0.25">
      <c r="A4620" s="83"/>
      <c r="B4620" s="84"/>
      <c r="C4620" s="84"/>
      <c r="D4620" s="116"/>
      <c r="E4620" s="116"/>
    </row>
    <row r="4621" spans="1:5" x14ac:dyDescent="0.25">
      <c r="A4621" s="83"/>
      <c r="B4621" s="84"/>
      <c r="C4621" s="84"/>
      <c r="D4621" s="116"/>
      <c r="E4621" s="116"/>
    </row>
    <row r="4622" spans="1:5" x14ac:dyDescent="0.25">
      <c r="A4622" s="83"/>
      <c r="B4622" s="84"/>
      <c r="C4622" s="84"/>
      <c r="D4622" s="116"/>
      <c r="E4622" s="116"/>
    </row>
    <row r="4623" spans="1:5" x14ac:dyDescent="0.25">
      <c r="A4623" s="83"/>
      <c r="B4623" s="84"/>
      <c r="C4623" s="84"/>
      <c r="D4623" s="116"/>
      <c r="E4623" s="116"/>
    </row>
    <row r="4624" spans="1:5" x14ac:dyDescent="0.25">
      <c r="A4624" s="83"/>
      <c r="B4624" s="84"/>
      <c r="C4624" s="84"/>
      <c r="D4624" s="116"/>
      <c r="E4624" s="116"/>
    </row>
    <row r="4625" spans="1:5" x14ac:dyDescent="0.25">
      <c r="A4625" s="83"/>
      <c r="B4625" s="84"/>
      <c r="C4625" s="84"/>
      <c r="D4625" s="116"/>
      <c r="E4625" s="116"/>
    </row>
    <row r="4626" spans="1:5" x14ac:dyDescent="0.25">
      <c r="A4626" s="83"/>
      <c r="B4626" s="84"/>
      <c r="C4626" s="84"/>
      <c r="D4626" s="116"/>
      <c r="E4626" s="116"/>
    </row>
    <row r="4627" spans="1:5" x14ac:dyDescent="0.25">
      <c r="A4627" s="83"/>
      <c r="B4627" s="84"/>
      <c r="C4627" s="84"/>
      <c r="D4627" s="116"/>
      <c r="E4627" s="116"/>
    </row>
    <row r="4628" spans="1:5" x14ac:dyDescent="0.25">
      <c r="A4628" s="83"/>
      <c r="B4628" s="84"/>
      <c r="C4628" s="84"/>
      <c r="D4628" s="116"/>
      <c r="E4628" s="116"/>
    </row>
    <row r="4629" spans="1:5" x14ac:dyDescent="0.25">
      <c r="A4629" s="83"/>
      <c r="B4629" s="84"/>
      <c r="C4629" s="84"/>
      <c r="D4629" s="116"/>
      <c r="E4629" s="116"/>
    </row>
    <row r="4630" spans="1:5" x14ac:dyDescent="0.25">
      <c r="A4630" s="83"/>
      <c r="B4630" s="84"/>
      <c r="C4630" s="84"/>
      <c r="D4630" s="116"/>
      <c r="E4630" s="116"/>
    </row>
    <row r="4631" spans="1:5" x14ac:dyDescent="0.25">
      <c r="A4631" s="83"/>
      <c r="B4631" s="84"/>
      <c r="C4631" s="84"/>
      <c r="D4631" s="116"/>
      <c r="E4631" s="116"/>
    </row>
    <row r="4632" spans="1:5" x14ac:dyDescent="0.25">
      <c r="A4632" s="83"/>
      <c r="B4632" s="84"/>
      <c r="C4632" s="84"/>
      <c r="D4632" s="116"/>
      <c r="E4632" s="116"/>
    </row>
    <row r="4633" spans="1:5" x14ac:dyDescent="0.25">
      <c r="A4633" s="83"/>
      <c r="B4633" s="84"/>
      <c r="C4633" s="84"/>
      <c r="D4633" s="116"/>
      <c r="E4633" s="116"/>
    </row>
    <row r="4634" spans="1:5" x14ac:dyDescent="0.25">
      <c r="A4634" s="83"/>
      <c r="B4634" s="84"/>
      <c r="C4634" s="84"/>
      <c r="D4634" s="116"/>
      <c r="E4634" s="116"/>
    </row>
    <row r="4635" spans="1:5" x14ac:dyDescent="0.25">
      <c r="A4635" s="83"/>
      <c r="B4635" s="84"/>
      <c r="C4635" s="84"/>
      <c r="D4635" s="116"/>
      <c r="E4635" s="116"/>
    </row>
    <row r="4636" spans="1:5" x14ac:dyDescent="0.25">
      <c r="A4636" s="83"/>
      <c r="B4636" s="84"/>
      <c r="C4636" s="84"/>
      <c r="D4636" s="116"/>
      <c r="E4636" s="116"/>
    </row>
    <row r="4637" spans="1:5" x14ac:dyDescent="0.25">
      <c r="A4637" s="83"/>
      <c r="B4637" s="84"/>
      <c r="C4637" s="84"/>
      <c r="D4637" s="116"/>
      <c r="E4637" s="116"/>
    </row>
    <row r="4638" spans="1:5" x14ac:dyDescent="0.25">
      <c r="A4638" s="83"/>
      <c r="B4638" s="84"/>
      <c r="C4638" s="84"/>
      <c r="D4638" s="116"/>
      <c r="E4638" s="116"/>
    </row>
    <row r="4639" spans="1:5" x14ac:dyDescent="0.25">
      <c r="A4639" s="83"/>
      <c r="B4639" s="84"/>
      <c r="C4639" s="84"/>
      <c r="D4639" s="116"/>
      <c r="E4639" s="116"/>
    </row>
    <row r="4640" spans="1:5" x14ac:dyDescent="0.25">
      <c r="A4640" s="83"/>
      <c r="B4640" s="84"/>
      <c r="C4640" s="84"/>
      <c r="D4640" s="116"/>
      <c r="E4640" s="116"/>
    </row>
    <row r="4641" spans="1:5" x14ac:dyDescent="0.25">
      <c r="A4641" s="83"/>
      <c r="B4641" s="84"/>
      <c r="C4641" s="84"/>
      <c r="D4641" s="116"/>
      <c r="E4641" s="116"/>
    </row>
    <row r="4642" spans="1:5" x14ac:dyDescent="0.25">
      <c r="A4642" s="83"/>
      <c r="B4642" s="84"/>
      <c r="C4642" s="84"/>
      <c r="D4642" s="116"/>
      <c r="E4642" s="116"/>
    </row>
    <row r="4643" spans="1:5" x14ac:dyDescent="0.25">
      <c r="A4643" s="83"/>
      <c r="B4643" s="84"/>
      <c r="C4643" s="84"/>
      <c r="D4643" s="116"/>
      <c r="E4643" s="116"/>
    </row>
    <row r="4644" spans="1:5" x14ac:dyDescent="0.25">
      <c r="A4644" s="83"/>
      <c r="B4644" s="84"/>
      <c r="C4644" s="84"/>
      <c r="D4644" s="116"/>
      <c r="E4644" s="116"/>
    </row>
    <row r="4645" spans="1:5" x14ac:dyDescent="0.25">
      <c r="A4645" s="83"/>
      <c r="B4645" s="84"/>
      <c r="C4645" s="84"/>
      <c r="D4645" s="116"/>
      <c r="E4645" s="116"/>
    </row>
    <row r="4646" spans="1:5" x14ac:dyDescent="0.25">
      <c r="A4646" s="83"/>
      <c r="B4646" s="84"/>
      <c r="C4646" s="84"/>
      <c r="D4646" s="116"/>
      <c r="E4646" s="116"/>
    </row>
    <row r="4647" spans="1:5" x14ac:dyDescent="0.25">
      <c r="A4647" s="83"/>
      <c r="B4647" s="84"/>
      <c r="C4647" s="84"/>
      <c r="D4647" s="116"/>
      <c r="E4647" s="116"/>
    </row>
    <row r="4648" spans="1:5" x14ac:dyDescent="0.25">
      <c r="A4648" s="83"/>
      <c r="B4648" s="84"/>
      <c r="C4648" s="84"/>
      <c r="D4648" s="116"/>
      <c r="E4648" s="116"/>
    </row>
    <row r="4649" spans="1:5" x14ac:dyDescent="0.25">
      <c r="A4649" s="83"/>
      <c r="B4649" s="84"/>
      <c r="C4649" s="84"/>
      <c r="D4649" s="116"/>
      <c r="E4649" s="116"/>
    </row>
    <row r="4650" spans="1:5" x14ac:dyDescent="0.25">
      <c r="A4650" s="83"/>
      <c r="B4650" s="84"/>
      <c r="C4650" s="84"/>
      <c r="D4650" s="116"/>
      <c r="E4650" s="116"/>
    </row>
    <row r="4651" spans="1:5" x14ac:dyDescent="0.25">
      <c r="A4651" s="83"/>
      <c r="B4651" s="84"/>
      <c r="C4651" s="84"/>
      <c r="D4651" s="116"/>
      <c r="E4651" s="116"/>
    </row>
    <row r="4652" spans="1:5" x14ac:dyDescent="0.25">
      <c r="A4652" s="83"/>
      <c r="B4652" s="84"/>
      <c r="C4652" s="84"/>
      <c r="D4652" s="116"/>
      <c r="E4652" s="116"/>
    </row>
    <row r="4653" spans="1:5" x14ac:dyDescent="0.25">
      <c r="A4653" s="83"/>
      <c r="B4653" s="84"/>
      <c r="C4653" s="84"/>
      <c r="D4653" s="116"/>
      <c r="E4653" s="116"/>
    </row>
    <row r="4654" spans="1:5" x14ac:dyDescent="0.25">
      <c r="A4654" s="83"/>
      <c r="B4654" s="84"/>
      <c r="C4654" s="84"/>
      <c r="D4654" s="116"/>
      <c r="E4654" s="116"/>
    </row>
    <row r="4655" spans="1:5" x14ac:dyDescent="0.25">
      <c r="A4655" s="83"/>
      <c r="B4655" s="84"/>
      <c r="C4655" s="84"/>
      <c r="D4655" s="116"/>
      <c r="E4655" s="116"/>
    </row>
    <row r="4656" spans="1:5" x14ac:dyDescent="0.25">
      <c r="A4656" s="83"/>
      <c r="B4656" s="84"/>
      <c r="C4656" s="84"/>
      <c r="D4656" s="116"/>
      <c r="E4656" s="116"/>
    </row>
    <row r="4657" spans="1:5" x14ac:dyDescent="0.25">
      <c r="A4657" s="83"/>
      <c r="B4657" s="84"/>
      <c r="C4657" s="84"/>
      <c r="D4657" s="116"/>
      <c r="E4657" s="116"/>
    </row>
    <row r="4658" spans="1:5" x14ac:dyDescent="0.25">
      <c r="A4658" s="83"/>
      <c r="B4658" s="84"/>
      <c r="C4658" s="84"/>
      <c r="D4658" s="116"/>
      <c r="E4658" s="116"/>
    </row>
    <row r="4659" spans="1:5" x14ac:dyDescent="0.25">
      <c r="A4659" s="83"/>
      <c r="B4659" s="84"/>
      <c r="C4659" s="84"/>
      <c r="D4659" s="116"/>
      <c r="E4659" s="116"/>
    </row>
    <row r="4660" spans="1:5" x14ac:dyDescent="0.25">
      <c r="A4660" s="83"/>
      <c r="B4660" s="84"/>
      <c r="C4660" s="84"/>
      <c r="D4660" s="116"/>
      <c r="E4660" s="116"/>
    </row>
    <row r="4661" spans="1:5" x14ac:dyDescent="0.25">
      <c r="A4661" s="83"/>
      <c r="B4661" s="84"/>
      <c r="C4661" s="84"/>
      <c r="D4661" s="116"/>
      <c r="E4661" s="116"/>
    </row>
    <row r="4662" spans="1:5" x14ac:dyDescent="0.25">
      <c r="A4662" s="83"/>
      <c r="B4662" s="84"/>
      <c r="C4662" s="84"/>
      <c r="D4662" s="116"/>
      <c r="E4662" s="116"/>
    </row>
    <row r="4663" spans="1:5" x14ac:dyDescent="0.25">
      <c r="A4663" s="83"/>
      <c r="B4663" s="84"/>
      <c r="C4663" s="84"/>
      <c r="D4663" s="116"/>
      <c r="E4663" s="116"/>
    </row>
    <row r="4664" spans="1:5" x14ac:dyDescent="0.25">
      <c r="A4664" s="83"/>
      <c r="B4664" s="84"/>
      <c r="C4664" s="84"/>
      <c r="D4664" s="116"/>
      <c r="E4664" s="116"/>
    </row>
    <row r="4665" spans="1:5" x14ac:dyDescent="0.25">
      <c r="A4665" s="83"/>
      <c r="B4665" s="84"/>
      <c r="C4665" s="84"/>
      <c r="D4665" s="116"/>
      <c r="E4665" s="116"/>
    </row>
    <row r="4666" spans="1:5" x14ac:dyDescent="0.25">
      <c r="A4666" s="83"/>
      <c r="B4666" s="84"/>
      <c r="C4666" s="84"/>
      <c r="D4666" s="116"/>
      <c r="E4666" s="116"/>
    </row>
    <row r="4667" spans="1:5" x14ac:dyDescent="0.25">
      <c r="A4667" s="83"/>
      <c r="B4667" s="84"/>
      <c r="C4667" s="84"/>
      <c r="D4667" s="116"/>
      <c r="E4667" s="116"/>
    </row>
    <row r="4668" spans="1:5" x14ac:dyDescent="0.25">
      <c r="A4668" s="83"/>
      <c r="B4668" s="84"/>
      <c r="C4668" s="84"/>
      <c r="D4668" s="116"/>
      <c r="E4668" s="116"/>
    </row>
    <row r="4669" spans="1:5" x14ac:dyDescent="0.25">
      <c r="A4669" s="83"/>
      <c r="B4669" s="84"/>
      <c r="C4669" s="84"/>
      <c r="D4669" s="116"/>
      <c r="E4669" s="116"/>
    </row>
    <row r="4670" spans="1:5" x14ac:dyDescent="0.25">
      <c r="A4670" s="83"/>
      <c r="B4670" s="84"/>
      <c r="C4670" s="84"/>
      <c r="D4670" s="116"/>
      <c r="E4670" s="116"/>
    </row>
    <row r="4671" spans="1:5" x14ac:dyDescent="0.25">
      <c r="A4671" s="83"/>
      <c r="B4671" s="84"/>
      <c r="C4671" s="84"/>
      <c r="D4671" s="116"/>
      <c r="E4671" s="116"/>
    </row>
    <row r="4672" spans="1:5" x14ac:dyDescent="0.25">
      <c r="A4672" s="83"/>
      <c r="B4672" s="84"/>
      <c r="C4672" s="84"/>
      <c r="D4672" s="116"/>
      <c r="E4672" s="116"/>
    </row>
    <row r="4673" spans="1:5" x14ac:dyDescent="0.25">
      <c r="A4673" s="83"/>
      <c r="B4673" s="84"/>
      <c r="C4673" s="84"/>
      <c r="D4673" s="116"/>
      <c r="E4673" s="116"/>
    </row>
    <row r="4674" spans="1:5" x14ac:dyDescent="0.25">
      <c r="A4674" s="83"/>
      <c r="B4674" s="84"/>
      <c r="C4674" s="84"/>
      <c r="D4674" s="116"/>
      <c r="E4674" s="116"/>
    </row>
    <row r="4675" spans="1:5" x14ac:dyDescent="0.25">
      <c r="A4675" s="83"/>
      <c r="B4675" s="84"/>
      <c r="C4675" s="84"/>
      <c r="D4675" s="116"/>
      <c r="E4675" s="116"/>
    </row>
    <row r="4676" spans="1:5" x14ac:dyDescent="0.25">
      <c r="A4676" s="83"/>
      <c r="B4676" s="84"/>
      <c r="C4676" s="84"/>
      <c r="D4676" s="116"/>
      <c r="E4676" s="116"/>
    </row>
    <row r="4677" spans="1:5" x14ac:dyDescent="0.25">
      <c r="A4677" s="83"/>
      <c r="B4677" s="84"/>
      <c r="C4677" s="84"/>
      <c r="D4677" s="116"/>
      <c r="E4677" s="116"/>
    </row>
    <row r="4678" spans="1:5" x14ac:dyDescent="0.25">
      <c r="A4678" s="83"/>
      <c r="B4678" s="84"/>
      <c r="C4678" s="84"/>
      <c r="D4678" s="116"/>
      <c r="E4678" s="116"/>
    </row>
    <row r="4679" spans="1:5" x14ac:dyDescent="0.25">
      <c r="A4679" s="83"/>
      <c r="B4679" s="84"/>
      <c r="C4679" s="84"/>
      <c r="D4679" s="116"/>
      <c r="E4679" s="116"/>
    </row>
    <row r="4680" spans="1:5" x14ac:dyDescent="0.25">
      <c r="A4680" s="83"/>
      <c r="B4680" s="84"/>
      <c r="C4680" s="84"/>
      <c r="D4680" s="116"/>
      <c r="E4680" s="116"/>
    </row>
    <row r="4681" spans="1:5" x14ac:dyDescent="0.25">
      <c r="A4681" s="83"/>
      <c r="B4681" s="84"/>
      <c r="C4681" s="84"/>
      <c r="D4681" s="116"/>
      <c r="E4681" s="116"/>
    </row>
    <row r="4682" spans="1:5" x14ac:dyDescent="0.25">
      <c r="A4682" s="83"/>
      <c r="B4682" s="84"/>
      <c r="C4682" s="84"/>
      <c r="D4682" s="116"/>
      <c r="E4682" s="116"/>
    </row>
    <row r="4683" spans="1:5" x14ac:dyDescent="0.25">
      <c r="A4683" s="83"/>
      <c r="B4683" s="84"/>
      <c r="C4683" s="84"/>
      <c r="D4683" s="116"/>
      <c r="E4683" s="116"/>
    </row>
    <row r="4684" spans="1:5" x14ac:dyDescent="0.25">
      <c r="A4684" s="83"/>
      <c r="B4684" s="84"/>
      <c r="C4684" s="84"/>
      <c r="D4684" s="116"/>
      <c r="E4684" s="116"/>
    </row>
    <row r="4685" spans="1:5" x14ac:dyDescent="0.25">
      <c r="A4685" s="83"/>
      <c r="B4685" s="84"/>
      <c r="C4685" s="84"/>
      <c r="D4685" s="116"/>
      <c r="E4685" s="116"/>
    </row>
    <row r="4686" spans="1:5" x14ac:dyDescent="0.25">
      <c r="A4686" s="83"/>
      <c r="B4686" s="84"/>
      <c r="C4686" s="84"/>
      <c r="D4686" s="116"/>
      <c r="E4686" s="116"/>
    </row>
    <row r="4687" spans="1:5" x14ac:dyDescent="0.25">
      <c r="A4687" s="83"/>
      <c r="B4687" s="84"/>
      <c r="C4687" s="84"/>
      <c r="D4687" s="116"/>
      <c r="E4687" s="116"/>
    </row>
    <row r="4688" spans="1:5" x14ac:dyDescent="0.25">
      <c r="A4688" s="83"/>
      <c r="B4688" s="84"/>
      <c r="C4688" s="84"/>
      <c r="D4688" s="116"/>
      <c r="E4688" s="116"/>
    </row>
    <row r="4689" spans="1:5" x14ac:dyDescent="0.25">
      <c r="A4689" s="83"/>
      <c r="B4689" s="84"/>
      <c r="C4689" s="84"/>
      <c r="D4689" s="116"/>
      <c r="E4689" s="116"/>
    </row>
    <row r="4690" spans="1:5" x14ac:dyDescent="0.25">
      <c r="A4690" s="83"/>
      <c r="B4690" s="84"/>
      <c r="C4690" s="84"/>
      <c r="D4690" s="116"/>
      <c r="E4690" s="116"/>
    </row>
    <row r="4691" spans="1:5" x14ac:dyDescent="0.25">
      <c r="A4691" s="83"/>
      <c r="B4691" s="84"/>
      <c r="C4691" s="84"/>
      <c r="D4691" s="116"/>
      <c r="E4691" s="116"/>
    </row>
    <row r="4692" spans="1:5" x14ac:dyDescent="0.25">
      <c r="A4692" s="83"/>
      <c r="B4692" s="84"/>
      <c r="C4692" s="84"/>
      <c r="D4692" s="116"/>
      <c r="E4692" s="116"/>
    </row>
    <row r="4693" spans="1:5" x14ac:dyDescent="0.25">
      <c r="A4693" s="83"/>
      <c r="B4693" s="84"/>
      <c r="C4693" s="84"/>
      <c r="D4693" s="116"/>
      <c r="E4693" s="116"/>
    </row>
    <row r="4694" spans="1:5" x14ac:dyDescent="0.25">
      <c r="A4694" s="83"/>
      <c r="B4694" s="84"/>
      <c r="C4694" s="84"/>
      <c r="D4694" s="116"/>
      <c r="E4694" s="116"/>
    </row>
    <row r="4695" spans="1:5" x14ac:dyDescent="0.25">
      <c r="A4695" s="83"/>
      <c r="B4695" s="84"/>
      <c r="C4695" s="84"/>
      <c r="D4695" s="116"/>
      <c r="E4695" s="116"/>
    </row>
    <row r="4696" spans="1:5" x14ac:dyDescent="0.25">
      <c r="A4696" s="83"/>
      <c r="B4696" s="84"/>
      <c r="C4696" s="84"/>
      <c r="D4696" s="116"/>
      <c r="E4696" s="116"/>
    </row>
    <row r="4697" spans="1:5" x14ac:dyDescent="0.25">
      <c r="A4697" s="83"/>
      <c r="B4697" s="84"/>
      <c r="C4697" s="84"/>
      <c r="D4697" s="116"/>
      <c r="E4697" s="116"/>
    </row>
    <row r="4698" spans="1:5" x14ac:dyDescent="0.25">
      <c r="A4698" s="83"/>
      <c r="B4698" s="84"/>
      <c r="C4698" s="84"/>
      <c r="D4698" s="116"/>
      <c r="E4698" s="116"/>
    </row>
    <row r="4699" spans="1:5" x14ac:dyDescent="0.25">
      <c r="A4699" s="83"/>
      <c r="B4699" s="84"/>
      <c r="C4699" s="84"/>
      <c r="D4699" s="116"/>
      <c r="E4699" s="116"/>
    </row>
    <row r="4700" spans="1:5" x14ac:dyDescent="0.25">
      <c r="A4700" s="83"/>
      <c r="B4700" s="84"/>
      <c r="C4700" s="84"/>
      <c r="D4700" s="116"/>
      <c r="E4700" s="116"/>
    </row>
    <row r="4701" spans="1:5" x14ac:dyDescent="0.25">
      <c r="A4701" s="83"/>
      <c r="B4701" s="84"/>
      <c r="C4701" s="84"/>
      <c r="D4701" s="116"/>
      <c r="E4701" s="116"/>
    </row>
    <row r="4702" spans="1:5" x14ac:dyDescent="0.25">
      <c r="A4702" s="83"/>
      <c r="B4702" s="84"/>
      <c r="C4702" s="84"/>
      <c r="D4702" s="116"/>
      <c r="E4702" s="116"/>
    </row>
    <row r="4703" spans="1:5" x14ac:dyDescent="0.25">
      <c r="A4703" s="83"/>
      <c r="B4703" s="84"/>
      <c r="C4703" s="84"/>
      <c r="D4703" s="116"/>
      <c r="E4703" s="116"/>
    </row>
    <row r="4704" spans="1:5" x14ac:dyDescent="0.25">
      <c r="A4704" s="83"/>
      <c r="B4704" s="84"/>
      <c r="C4704" s="84"/>
      <c r="D4704" s="116"/>
      <c r="E4704" s="116"/>
    </row>
    <row r="4705" spans="1:5" x14ac:dyDescent="0.25">
      <c r="A4705" s="83"/>
      <c r="B4705" s="84"/>
      <c r="C4705" s="84"/>
      <c r="D4705" s="116"/>
      <c r="E4705" s="116"/>
    </row>
    <row r="4706" spans="1:5" x14ac:dyDescent="0.25">
      <c r="A4706" s="83"/>
      <c r="B4706" s="84"/>
      <c r="C4706" s="84"/>
      <c r="D4706" s="116"/>
      <c r="E4706" s="116"/>
    </row>
    <row r="4707" spans="1:5" x14ac:dyDescent="0.25">
      <c r="A4707" s="83"/>
      <c r="B4707" s="84"/>
      <c r="C4707" s="84"/>
      <c r="D4707" s="116"/>
      <c r="E4707" s="116"/>
    </row>
    <row r="4708" spans="1:5" x14ac:dyDescent="0.25">
      <c r="A4708" s="83"/>
      <c r="B4708" s="84"/>
      <c r="C4708" s="84"/>
      <c r="D4708" s="116"/>
      <c r="E4708" s="116"/>
    </row>
    <row r="4709" spans="1:5" x14ac:dyDescent="0.25">
      <c r="A4709" s="83"/>
      <c r="B4709" s="84"/>
      <c r="C4709" s="84"/>
      <c r="D4709" s="116"/>
      <c r="E4709" s="116"/>
    </row>
    <row r="4710" spans="1:5" x14ac:dyDescent="0.25">
      <c r="A4710" s="83"/>
      <c r="B4710" s="84"/>
      <c r="C4710" s="84"/>
      <c r="D4710" s="116"/>
      <c r="E4710" s="116"/>
    </row>
    <row r="4711" spans="1:5" x14ac:dyDescent="0.25">
      <c r="A4711" s="83"/>
      <c r="B4711" s="84"/>
      <c r="C4711" s="84"/>
      <c r="D4711" s="116"/>
      <c r="E4711" s="116"/>
    </row>
    <row r="4712" spans="1:5" x14ac:dyDescent="0.25">
      <c r="A4712" s="83"/>
      <c r="B4712" s="84"/>
      <c r="C4712" s="84"/>
      <c r="D4712" s="116"/>
      <c r="E4712" s="116"/>
    </row>
    <row r="4713" spans="1:5" x14ac:dyDescent="0.25">
      <c r="A4713" s="83"/>
      <c r="B4713" s="84"/>
      <c r="C4713" s="84"/>
      <c r="D4713" s="116"/>
      <c r="E4713" s="116"/>
    </row>
    <row r="4714" spans="1:5" x14ac:dyDescent="0.25">
      <c r="A4714" s="83"/>
      <c r="B4714" s="84"/>
      <c r="C4714" s="84"/>
      <c r="D4714" s="116"/>
      <c r="E4714" s="116"/>
    </row>
    <row r="4715" spans="1:5" x14ac:dyDescent="0.25">
      <c r="A4715" s="83"/>
      <c r="B4715" s="84"/>
      <c r="C4715" s="84"/>
      <c r="D4715" s="116"/>
      <c r="E4715" s="116"/>
    </row>
    <row r="4716" spans="1:5" x14ac:dyDescent="0.25">
      <c r="A4716" s="83"/>
      <c r="B4716" s="84"/>
      <c r="C4716" s="84"/>
      <c r="D4716" s="116"/>
      <c r="E4716" s="116"/>
    </row>
    <row r="4717" spans="1:5" x14ac:dyDescent="0.25">
      <c r="A4717" s="83"/>
      <c r="B4717" s="84"/>
      <c r="C4717" s="84"/>
      <c r="D4717" s="116"/>
      <c r="E4717" s="116"/>
    </row>
    <row r="4718" spans="1:5" x14ac:dyDescent="0.25">
      <c r="A4718" s="83"/>
      <c r="B4718" s="84"/>
      <c r="C4718" s="84"/>
      <c r="D4718" s="116"/>
      <c r="E4718" s="116"/>
    </row>
    <row r="4719" spans="1:5" x14ac:dyDescent="0.25">
      <c r="A4719" s="83"/>
      <c r="B4719" s="84"/>
      <c r="C4719" s="84"/>
      <c r="D4719" s="116"/>
      <c r="E4719" s="116"/>
    </row>
    <row r="4720" spans="1:5" x14ac:dyDescent="0.25">
      <c r="A4720" s="83"/>
      <c r="B4720" s="84"/>
      <c r="C4720" s="84"/>
      <c r="D4720" s="116"/>
      <c r="E4720" s="116"/>
    </row>
    <row r="4721" spans="1:5" x14ac:dyDescent="0.25">
      <c r="A4721" s="83"/>
      <c r="B4721" s="84"/>
      <c r="C4721" s="84"/>
      <c r="D4721" s="116"/>
      <c r="E4721" s="116"/>
    </row>
    <row r="4722" spans="1:5" x14ac:dyDescent="0.25">
      <c r="A4722" s="83"/>
      <c r="B4722" s="84"/>
      <c r="C4722" s="84"/>
      <c r="D4722" s="116"/>
      <c r="E4722" s="116"/>
    </row>
    <row r="4723" spans="1:5" x14ac:dyDescent="0.25">
      <c r="A4723" s="83"/>
      <c r="B4723" s="84"/>
      <c r="C4723" s="84"/>
      <c r="D4723" s="116"/>
      <c r="E4723" s="116"/>
    </row>
    <row r="4724" spans="1:5" x14ac:dyDescent="0.25">
      <c r="A4724" s="83"/>
      <c r="B4724" s="84"/>
      <c r="C4724" s="84"/>
      <c r="D4724" s="116"/>
      <c r="E4724" s="116"/>
    </row>
    <row r="4725" spans="1:5" x14ac:dyDescent="0.25">
      <c r="A4725" s="83"/>
      <c r="B4725" s="84"/>
      <c r="C4725" s="84"/>
      <c r="D4725" s="116"/>
      <c r="E4725" s="116"/>
    </row>
    <row r="4726" spans="1:5" x14ac:dyDescent="0.25">
      <c r="A4726" s="83"/>
      <c r="B4726" s="84"/>
      <c r="C4726" s="84"/>
      <c r="D4726" s="116"/>
      <c r="E4726" s="116"/>
    </row>
    <row r="4727" spans="1:5" x14ac:dyDescent="0.25">
      <c r="A4727" s="83"/>
      <c r="B4727" s="84"/>
      <c r="C4727" s="84"/>
      <c r="D4727" s="116"/>
      <c r="E4727" s="116"/>
    </row>
    <row r="4728" spans="1:5" x14ac:dyDescent="0.25">
      <c r="A4728" s="83"/>
      <c r="B4728" s="84"/>
      <c r="C4728" s="84"/>
      <c r="D4728" s="116"/>
      <c r="E4728" s="116"/>
    </row>
    <row r="4729" spans="1:5" x14ac:dyDescent="0.25">
      <c r="A4729" s="83"/>
      <c r="B4729" s="84"/>
      <c r="C4729" s="84"/>
      <c r="D4729" s="116"/>
      <c r="E4729" s="116"/>
    </row>
    <row r="4730" spans="1:5" x14ac:dyDescent="0.25">
      <c r="A4730" s="83"/>
      <c r="B4730" s="84"/>
      <c r="C4730" s="84"/>
      <c r="D4730" s="116"/>
      <c r="E4730" s="116"/>
    </row>
    <row r="4731" spans="1:5" x14ac:dyDescent="0.25">
      <c r="A4731" s="83"/>
      <c r="B4731" s="84"/>
      <c r="C4731" s="84"/>
      <c r="D4731" s="116"/>
      <c r="E4731" s="116"/>
    </row>
    <row r="4732" spans="1:5" x14ac:dyDescent="0.25">
      <c r="A4732" s="83"/>
      <c r="B4732" s="84"/>
      <c r="C4732" s="84"/>
      <c r="D4732" s="116"/>
      <c r="E4732" s="116"/>
    </row>
    <row r="4733" spans="1:5" x14ac:dyDescent="0.25">
      <c r="A4733" s="83"/>
      <c r="B4733" s="84"/>
      <c r="C4733" s="84"/>
      <c r="D4733" s="116"/>
      <c r="E4733" s="116"/>
    </row>
    <row r="4734" spans="1:5" x14ac:dyDescent="0.25">
      <c r="A4734" s="83"/>
      <c r="B4734" s="84"/>
      <c r="C4734" s="84"/>
      <c r="D4734" s="116"/>
      <c r="E4734" s="116"/>
    </row>
    <row r="4735" spans="1:5" x14ac:dyDescent="0.25">
      <c r="A4735" s="83"/>
      <c r="B4735" s="84"/>
      <c r="C4735" s="84"/>
      <c r="D4735" s="116"/>
      <c r="E4735" s="116"/>
    </row>
    <row r="4736" spans="1:5" x14ac:dyDescent="0.25">
      <c r="A4736" s="83"/>
      <c r="B4736" s="84"/>
      <c r="C4736" s="84"/>
      <c r="D4736" s="116"/>
      <c r="E4736" s="116"/>
    </row>
    <row r="4737" spans="1:5" x14ac:dyDescent="0.25">
      <c r="A4737" s="83"/>
      <c r="B4737" s="84"/>
      <c r="C4737" s="84"/>
      <c r="D4737" s="116"/>
      <c r="E4737" s="116"/>
    </row>
    <row r="4738" spans="1:5" x14ac:dyDescent="0.25">
      <c r="A4738" s="83"/>
      <c r="B4738" s="84"/>
      <c r="C4738" s="84"/>
      <c r="D4738" s="116"/>
      <c r="E4738" s="116"/>
    </row>
    <row r="4739" spans="1:5" x14ac:dyDescent="0.25">
      <c r="A4739" s="83"/>
      <c r="B4739" s="84"/>
      <c r="C4739" s="84"/>
      <c r="D4739" s="116"/>
      <c r="E4739" s="116"/>
    </row>
    <row r="4740" spans="1:5" x14ac:dyDescent="0.25">
      <c r="A4740" s="83"/>
      <c r="B4740" s="84"/>
      <c r="C4740" s="84"/>
      <c r="D4740" s="116"/>
      <c r="E4740" s="116"/>
    </row>
    <row r="4741" spans="1:5" x14ac:dyDescent="0.25">
      <c r="A4741" s="83"/>
      <c r="B4741" s="84"/>
      <c r="C4741" s="84"/>
      <c r="D4741" s="116"/>
      <c r="E4741" s="116"/>
    </row>
    <row r="4742" spans="1:5" x14ac:dyDescent="0.25">
      <c r="A4742" s="83"/>
      <c r="B4742" s="84"/>
      <c r="C4742" s="84"/>
      <c r="D4742" s="116"/>
      <c r="E4742" s="116"/>
    </row>
    <row r="4743" spans="1:5" x14ac:dyDescent="0.25">
      <c r="A4743" s="83"/>
      <c r="B4743" s="84"/>
      <c r="C4743" s="84"/>
      <c r="D4743" s="116"/>
      <c r="E4743" s="116"/>
    </row>
    <row r="4744" spans="1:5" x14ac:dyDescent="0.25">
      <c r="A4744" s="83"/>
      <c r="B4744" s="84"/>
      <c r="C4744" s="84"/>
      <c r="D4744" s="116"/>
      <c r="E4744" s="116"/>
    </row>
    <row r="4745" spans="1:5" x14ac:dyDescent="0.25">
      <c r="A4745" s="83"/>
      <c r="B4745" s="84"/>
      <c r="C4745" s="84"/>
      <c r="D4745" s="116"/>
      <c r="E4745" s="116"/>
    </row>
    <row r="4746" spans="1:5" x14ac:dyDescent="0.25">
      <c r="A4746" s="83"/>
      <c r="B4746" s="84"/>
      <c r="C4746" s="84"/>
      <c r="D4746" s="116"/>
      <c r="E4746" s="116"/>
    </row>
    <row r="4747" spans="1:5" x14ac:dyDescent="0.25">
      <c r="A4747" s="83"/>
      <c r="B4747" s="84"/>
      <c r="C4747" s="84"/>
      <c r="D4747" s="116"/>
      <c r="E4747" s="116"/>
    </row>
    <row r="4748" spans="1:5" x14ac:dyDescent="0.25">
      <c r="A4748" s="83"/>
      <c r="B4748" s="84"/>
      <c r="C4748" s="84"/>
      <c r="D4748" s="116"/>
      <c r="E4748" s="116"/>
    </row>
    <row r="4749" spans="1:5" x14ac:dyDescent="0.25">
      <c r="A4749" s="83"/>
      <c r="B4749" s="84"/>
      <c r="C4749" s="84"/>
      <c r="D4749" s="116"/>
      <c r="E4749" s="116"/>
    </row>
    <row r="4750" spans="1:5" x14ac:dyDescent="0.25">
      <c r="A4750" s="83"/>
      <c r="B4750" s="84"/>
      <c r="C4750" s="84"/>
      <c r="D4750" s="116"/>
      <c r="E4750" s="116"/>
    </row>
    <row r="4751" spans="1:5" x14ac:dyDescent="0.25">
      <c r="A4751" s="83"/>
      <c r="B4751" s="84"/>
      <c r="C4751" s="84"/>
      <c r="D4751" s="116"/>
      <c r="E4751" s="116"/>
    </row>
    <row r="4752" spans="1:5" x14ac:dyDescent="0.25">
      <c r="A4752" s="83"/>
      <c r="B4752" s="84"/>
      <c r="C4752" s="84"/>
      <c r="D4752" s="116"/>
      <c r="E4752" s="116"/>
    </row>
    <row r="4753" spans="1:5" x14ac:dyDescent="0.25">
      <c r="A4753" s="83"/>
      <c r="B4753" s="84"/>
      <c r="C4753" s="84"/>
      <c r="D4753" s="116"/>
      <c r="E4753" s="116"/>
    </row>
    <row r="4754" spans="1:5" x14ac:dyDescent="0.25">
      <c r="A4754" s="83"/>
      <c r="B4754" s="84"/>
      <c r="C4754" s="84"/>
      <c r="D4754" s="116"/>
      <c r="E4754" s="116"/>
    </row>
    <row r="4755" spans="1:5" x14ac:dyDescent="0.25">
      <c r="A4755" s="83"/>
      <c r="B4755" s="84"/>
      <c r="C4755" s="84"/>
      <c r="D4755" s="116"/>
      <c r="E4755" s="116"/>
    </row>
    <row r="4756" spans="1:5" x14ac:dyDescent="0.25">
      <c r="A4756" s="83"/>
      <c r="B4756" s="84"/>
      <c r="C4756" s="84"/>
      <c r="D4756" s="116"/>
      <c r="E4756" s="116"/>
    </row>
    <row r="4757" spans="1:5" x14ac:dyDescent="0.25">
      <c r="A4757" s="83"/>
      <c r="B4757" s="84"/>
      <c r="C4757" s="84"/>
      <c r="D4757" s="116"/>
      <c r="E4757" s="116"/>
    </row>
    <row r="4758" spans="1:5" x14ac:dyDescent="0.25">
      <c r="A4758" s="83"/>
      <c r="B4758" s="84"/>
      <c r="C4758" s="84"/>
      <c r="D4758" s="116"/>
      <c r="E4758" s="116"/>
    </row>
    <row r="4759" spans="1:5" x14ac:dyDescent="0.25">
      <c r="A4759" s="83"/>
      <c r="B4759" s="84"/>
      <c r="C4759" s="84"/>
      <c r="D4759" s="116"/>
      <c r="E4759" s="116"/>
    </row>
    <row r="4760" spans="1:5" x14ac:dyDescent="0.25">
      <c r="A4760" s="83"/>
      <c r="B4760" s="84"/>
      <c r="C4760" s="84"/>
      <c r="D4760" s="116"/>
      <c r="E4760" s="116"/>
    </row>
    <row r="4761" spans="1:5" x14ac:dyDescent="0.25">
      <c r="A4761" s="83"/>
      <c r="B4761" s="84"/>
      <c r="C4761" s="84"/>
      <c r="D4761" s="116"/>
      <c r="E4761" s="116"/>
    </row>
    <row r="4762" spans="1:5" x14ac:dyDescent="0.25">
      <c r="A4762" s="83"/>
      <c r="B4762" s="84"/>
      <c r="C4762" s="84"/>
      <c r="D4762" s="116"/>
      <c r="E4762" s="116"/>
    </row>
    <row r="4763" spans="1:5" x14ac:dyDescent="0.25">
      <c r="A4763" s="83"/>
      <c r="B4763" s="84"/>
      <c r="C4763" s="84"/>
      <c r="D4763" s="116"/>
      <c r="E4763" s="116"/>
    </row>
    <row r="4764" spans="1:5" x14ac:dyDescent="0.25">
      <c r="A4764" s="83"/>
      <c r="B4764" s="84"/>
      <c r="C4764" s="84"/>
      <c r="D4764" s="116"/>
      <c r="E4764" s="116"/>
    </row>
    <row r="4765" spans="1:5" x14ac:dyDescent="0.25">
      <c r="A4765" s="83"/>
      <c r="B4765" s="84"/>
      <c r="C4765" s="84"/>
      <c r="D4765" s="116"/>
      <c r="E4765" s="116"/>
    </row>
    <row r="4766" spans="1:5" x14ac:dyDescent="0.25">
      <c r="A4766" s="83"/>
      <c r="B4766" s="84"/>
      <c r="C4766" s="84"/>
      <c r="D4766" s="116"/>
      <c r="E4766" s="116"/>
    </row>
    <row r="4767" spans="1:5" x14ac:dyDescent="0.25">
      <c r="A4767" s="83"/>
      <c r="B4767" s="84"/>
      <c r="C4767" s="84"/>
      <c r="D4767" s="116"/>
      <c r="E4767" s="116"/>
    </row>
    <row r="4768" spans="1:5" x14ac:dyDescent="0.25">
      <c r="A4768" s="83"/>
      <c r="B4768" s="84"/>
      <c r="C4768" s="84"/>
      <c r="D4768" s="116"/>
      <c r="E4768" s="116"/>
    </row>
    <row r="4769" spans="1:5" x14ac:dyDescent="0.25">
      <c r="A4769" s="83"/>
      <c r="B4769" s="84"/>
      <c r="C4769" s="84"/>
      <c r="D4769" s="116"/>
      <c r="E4769" s="116"/>
    </row>
    <row r="4770" spans="1:5" x14ac:dyDescent="0.25">
      <c r="A4770" s="83"/>
      <c r="B4770" s="84"/>
      <c r="C4770" s="84"/>
      <c r="D4770" s="116"/>
      <c r="E4770" s="116"/>
    </row>
    <row r="4771" spans="1:5" x14ac:dyDescent="0.25">
      <c r="A4771" s="83"/>
      <c r="B4771" s="84"/>
      <c r="C4771" s="84"/>
      <c r="D4771" s="116"/>
      <c r="E4771" s="116"/>
    </row>
    <row r="4772" spans="1:5" x14ac:dyDescent="0.25">
      <c r="A4772" s="83"/>
      <c r="B4772" s="84"/>
      <c r="C4772" s="84"/>
      <c r="D4772" s="116"/>
      <c r="E4772" s="116"/>
    </row>
    <row r="4773" spans="1:5" x14ac:dyDescent="0.25">
      <c r="A4773" s="83"/>
      <c r="B4773" s="84"/>
      <c r="C4773" s="84"/>
      <c r="D4773" s="116"/>
      <c r="E4773" s="116"/>
    </row>
    <row r="4774" spans="1:5" x14ac:dyDescent="0.25">
      <c r="A4774" s="83"/>
      <c r="B4774" s="84"/>
      <c r="C4774" s="84"/>
      <c r="D4774" s="116"/>
      <c r="E4774" s="116"/>
    </row>
    <row r="4775" spans="1:5" x14ac:dyDescent="0.25">
      <c r="A4775" s="83"/>
      <c r="B4775" s="84"/>
      <c r="C4775" s="84"/>
      <c r="D4775" s="116"/>
      <c r="E4775" s="116"/>
    </row>
    <row r="4776" spans="1:5" x14ac:dyDescent="0.25">
      <c r="A4776" s="83"/>
      <c r="B4776" s="84"/>
      <c r="C4776" s="84"/>
      <c r="D4776" s="116"/>
      <c r="E4776" s="116"/>
    </row>
    <row r="4777" spans="1:5" x14ac:dyDescent="0.25">
      <c r="A4777" s="83"/>
      <c r="B4777" s="84"/>
      <c r="C4777" s="84"/>
      <c r="D4777" s="116"/>
      <c r="E4777" s="116"/>
    </row>
    <row r="4778" spans="1:5" x14ac:dyDescent="0.25">
      <c r="A4778" s="83"/>
      <c r="B4778" s="84"/>
      <c r="C4778" s="84"/>
      <c r="D4778" s="116"/>
      <c r="E4778" s="116"/>
    </row>
    <row r="4779" spans="1:5" x14ac:dyDescent="0.25">
      <c r="A4779" s="83"/>
      <c r="B4779" s="84"/>
      <c r="C4779" s="84"/>
      <c r="D4779" s="116"/>
      <c r="E4779" s="116"/>
    </row>
    <row r="4780" spans="1:5" x14ac:dyDescent="0.25">
      <c r="A4780" s="83"/>
      <c r="B4780" s="84"/>
      <c r="C4780" s="84"/>
      <c r="D4780" s="116"/>
      <c r="E4780" s="116"/>
    </row>
    <row r="4781" spans="1:5" x14ac:dyDescent="0.25">
      <c r="A4781" s="83"/>
      <c r="B4781" s="84"/>
      <c r="C4781" s="84"/>
      <c r="D4781" s="116"/>
      <c r="E4781" s="116"/>
    </row>
    <row r="4782" spans="1:5" x14ac:dyDescent="0.25">
      <c r="A4782" s="83"/>
      <c r="B4782" s="84"/>
      <c r="C4782" s="84"/>
      <c r="D4782" s="116"/>
      <c r="E4782" s="116"/>
    </row>
    <row r="4783" spans="1:5" x14ac:dyDescent="0.25">
      <c r="A4783" s="83"/>
      <c r="B4783" s="84"/>
      <c r="C4783" s="84"/>
      <c r="D4783" s="116"/>
      <c r="E4783" s="116"/>
    </row>
    <row r="4784" spans="1:5" x14ac:dyDescent="0.25">
      <c r="A4784" s="83"/>
      <c r="B4784" s="84"/>
      <c r="C4784" s="84"/>
      <c r="D4784" s="116"/>
      <c r="E4784" s="116"/>
    </row>
    <row r="4785" spans="1:5" x14ac:dyDescent="0.25">
      <c r="A4785" s="83"/>
      <c r="B4785" s="84"/>
      <c r="C4785" s="84"/>
      <c r="D4785" s="116"/>
      <c r="E4785" s="116"/>
    </row>
    <row r="4786" spans="1:5" x14ac:dyDescent="0.25">
      <c r="A4786" s="83"/>
      <c r="B4786" s="84"/>
      <c r="C4786" s="84"/>
      <c r="D4786" s="116"/>
      <c r="E4786" s="116"/>
    </row>
    <row r="4787" spans="1:5" x14ac:dyDescent="0.25">
      <c r="A4787" s="83"/>
      <c r="B4787" s="84"/>
      <c r="C4787" s="84"/>
      <c r="D4787" s="116"/>
      <c r="E4787" s="116"/>
    </row>
    <row r="4788" spans="1:5" x14ac:dyDescent="0.25">
      <c r="A4788" s="83"/>
      <c r="B4788" s="84"/>
      <c r="C4788" s="84"/>
      <c r="D4788" s="116"/>
      <c r="E4788" s="116"/>
    </row>
    <row r="4789" spans="1:5" x14ac:dyDescent="0.25">
      <c r="A4789" s="83"/>
      <c r="B4789" s="84"/>
      <c r="C4789" s="84"/>
      <c r="D4789" s="116"/>
      <c r="E4789" s="116"/>
    </row>
    <row r="4790" spans="1:5" x14ac:dyDescent="0.25">
      <c r="A4790" s="83"/>
      <c r="B4790" s="84"/>
      <c r="C4790" s="84"/>
      <c r="D4790" s="116"/>
      <c r="E4790" s="116"/>
    </row>
    <row r="4791" spans="1:5" x14ac:dyDescent="0.25">
      <c r="A4791" s="83"/>
      <c r="B4791" s="84"/>
      <c r="C4791" s="84"/>
      <c r="D4791" s="116"/>
      <c r="E4791" s="116"/>
    </row>
    <row r="4792" spans="1:5" x14ac:dyDescent="0.25">
      <c r="A4792" s="83"/>
      <c r="B4792" s="84"/>
      <c r="C4792" s="84"/>
      <c r="D4792" s="116"/>
      <c r="E4792" s="116"/>
    </row>
    <row r="4793" spans="1:5" x14ac:dyDescent="0.25">
      <c r="A4793" s="83"/>
      <c r="B4793" s="84"/>
      <c r="C4793" s="84"/>
      <c r="D4793" s="116"/>
      <c r="E4793" s="116"/>
    </row>
    <row r="4794" spans="1:5" x14ac:dyDescent="0.25">
      <c r="A4794" s="83"/>
      <c r="B4794" s="84"/>
      <c r="C4794" s="84"/>
      <c r="D4794" s="116"/>
      <c r="E4794" s="116"/>
    </row>
    <row r="4795" spans="1:5" x14ac:dyDescent="0.25">
      <c r="A4795" s="83"/>
      <c r="B4795" s="84"/>
      <c r="C4795" s="84"/>
      <c r="D4795" s="116"/>
      <c r="E4795" s="116"/>
    </row>
    <row r="4796" spans="1:5" x14ac:dyDescent="0.25">
      <c r="A4796" s="83"/>
      <c r="B4796" s="84"/>
      <c r="C4796" s="84"/>
      <c r="D4796" s="116"/>
      <c r="E4796" s="116"/>
    </row>
    <row r="4797" spans="1:5" x14ac:dyDescent="0.25">
      <c r="A4797" s="83"/>
      <c r="B4797" s="84"/>
      <c r="C4797" s="84"/>
      <c r="D4797" s="116"/>
      <c r="E4797" s="116"/>
    </row>
    <row r="4798" spans="1:5" x14ac:dyDescent="0.25">
      <c r="A4798" s="83"/>
      <c r="B4798" s="84"/>
      <c r="C4798" s="84"/>
      <c r="D4798" s="116"/>
      <c r="E4798" s="116"/>
    </row>
    <row r="4799" spans="1:5" x14ac:dyDescent="0.25">
      <c r="A4799" s="83"/>
      <c r="B4799" s="84"/>
      <c r="C4799" s="84"/>
      <c r="D4799" s="116"/>
      <c r="E4799" s="116"/>
    </row>
    <row r="4800" spans="1:5" x14ac:dyDescent="0.25">
      <c r="A4800" s="83"/>
      <c r="B4800" s="84"/>
      <c r="C4800" s="84"/>
      <c r="D4800" s="116"/>
      <c r="E4800" s="116"/>
    </row>
    <row r="4801" spans="1:5" x14ac:dyDescent="0.25">
      <c r="A4801" s="83"/>
      <c r="B4801" s="84"/>
      <c r="C4801" s="84"/>
      <c r="D4801" s="116"/>
      <c r="E4801" s="116"/>
    </row>
    <row r="4802" spans="1:5" x14ac:dyDescent="0.25">
      <c r="A4802" s="83"/>
      <c r="B4802" s="84"/>
      <c r="C4802" s="84"/>
      <c r="D4802" s="116"/>
      <c r="E4802" s="116"/>
    </row>
    <row r="4803" spans="1:5" x14ac:dyDescent="0.25">
      <c r="A4803" s="83"/>
      <c r="B4803" s="84"/>
      <c r="C4803" s="84"/>
      <c r="D4803" s="116"/>
      <c r="E4803" s="116"/>
    </row>
    <row r="4804" spans="1:5" x14ac:dyDescent="0.25">
      <c r="A4804" s="83"/>
      <c r="B4804" s="84"/>
      <c r="C4804" s="84"/>
      <c r="D4804" s="116"/>
      <c r="E4804" s="116"/>
    </row>
    <row r="4805" spans="1:5" x14ac:dyDescent="0.25">
      <c r="A4805" s="83"/>
      <c r="B4805" s="84"/>
      <c r="C4805" s="84"/>
      <c r="D4805" s="116"/>
      <c r="E4805" s="116"/>
    </row>
    <row r="4806" spans="1:5" x14ac:dyDescent="0.25">
      <c r="A4806" s="83"/>
      <c r="B4806" s="84"/>
      <c r="C4806" s="84"/>
      <c r="D4806" s="116"/>
      <c r="E4806" s="116"/>
    </row>
    <row r="4807" spans="1:5" x14ac:dyDescent="0.25">
      <c r="A4807" s="83"/>
      <c r="B4807" s="84"/>
      <c r="C4807" s="84"/>
      <c r="D4807" s="116"/>
      <c r="E4807" s="116"/>
    </row>
    <row r="4808" spans="1:5" x14ac:dyDescent="0.25">
      <c r="A4808" s="83"/>
      <c r="B4808" s="84"/>
      <c r="C4808" s="84"/>
      <c r="D4808" s="116"/>
      <c r="E4808" s="116"/>
    </row>
    <row r="4809" spans="1:5" x14ac:dyDescent="0.25">
      <c r="A4809" s="83"/>
      <c r="B4809" s="84"/>
      <c r="C4809" s="84"/>
      <c r="D4809" s="116"/>
      <c r="E4809" s="116"/>
    </row>
    <row r="4810" spans="1:5" x14ac:dyDescent="0.25">
      <c r="A4810" s="83"/>
      <c r="B4810" s="84"/>
      <c r="C4810" s="84"/>
      <c r="D4810" s="116"/>
      <c r="E4810" s="116"/>
    </row>
    <row r="4811" spans="1:5" x14ac:dyDescent="0.25">
      <c r="A4811" s="83"/>
      <c r="B4811" s="84"/>
      <c r="C4811" s="84"/>
      <c r="D4811" s="116"/>
      <c r="E4811" s="116"/>
    </row>
    <row r="4812" spans="1:5" x14ac:dyDescent="0.25">
      <c r="A4812" s="83"/>
      <c r="B4812" s="84"/>
      <c r="C4812" s="84"/>
      <c r="D4812" s="116"/>
      <c r="E4812" s="116"/>
    </row>
    <row r="4813" spans="1:5" x14ac:dyDescent="0.25">
      <c r="A4813" s="83"/>
      <c r="B4813" s="84"/>
      <c r="C4813" s="84"/>
      <c r="D4813" s="116"/>
      <c r="E4813" s="116"/>
    </row>
    <row r="4814" spans="1:5" x14ac:dyDescent="0.25">
      <c r="A4814" s="83"/>
      <c r="B4814" s="84"/>
      <c r="C4814" s="84"/>
      <c r="D4814" s="116"/>
      <c r="E4814" s="116"/>
    </row>
    <row r="4815" spans="1:5" x14ac:dyDescent="0.25">
      <c r="A4815" s="83"/>
      <c r="B4815" s="84"/>
      <c r="C4815" s="84"/>
      <c r="D4815" s="116"/>
      <c r="E4815" s="116"/>
    </row>
    <row r="4816" spans="1:5" x14ac:dyDescent="0.25">
      <c r="A4816" s="83"/>
      <c r="B4816" s="84"/>
      <c r="C4816" s="84"/>
      <c r="D4816" s="116"/>
      <c r="E4816" s="116"/>
    </row>
    <row r="4817" spans="1:5" x14ac:dyDescent="0.25">
      <c r="A4817" s="83"/>
      <c r="B4817" s="84"/>
      <c r="C4817" s="84"/>
      <c r="D4817" s="116"/>
      <c r="E4817" s="116"/>
    </row>
    <row r="4818" spans="1:5" x14ac:dyDescent="0.25">
      <c r="A4818" s="83"/>
      <c r="B4818" s="84"/>
      <c r="C4818" s="84"/>
      <c r="D4818" s="116"/>
      <c r="E4818" s="116"/>
    </row>
    <row r="4819" spans="1:5" x14ac:dyDescent="0.25">
      <c r="A4819" s="83"/>
      <c r="B4819" s="84"/>
      <c r="C4819" s="84"/>
      <c r="D4819" s="116"/>
      <c r="E4819" s="116"/>
    </row>
    <row r="4820" spans="1:5" x14ac:dyDescent="0.25">
      <c r="A4820" s="83"/>
      <c r="B4820" s="84"/>
      <c r="C4820" s="84"/>
      <c r="D4820" s="116"/>
      <c r="E4820" s="116"/>
    </row>
    <row r="4821" spans="1:5" x14ac:dyDescent="0.25">
      <c r="A4821" s="83"/>
      <c r="B4821" s="84"/>
      <c r="C4821" s="84"/>
      <c r="D4821" s="116"/>
      <c r="E4821" s="116"/>
    </row>
    <row r="4822" spans="1:5" x14ac:dyDescent="0.25">
      <c r="A4822" s="83"/>
      <c r="B4822" s="84"/>
      <c r="C4822" s="84"/>
      <c r="D4822" s="116"/>
      <c r="E4822" s="116"/>
    </row>
    <row r="4823" spans="1:5" x14ac:dyDescent="0.25">
      <c r="A4823" s="83"/>
      <c r="B4823" s="84"/>
      <c r="C4823" s="84"/>
      <c r="D4823" s="116"/>
      <c r="E4823" s="116"/>
    </row>
    <row r="4824" spans="1:5" x14ac:dyDescent="0.25">
      <c r="A4824" s="83"/>
      <c r="B4824" s="84"/>
      <c r="C4824" s="84"/>
      <c r="D4824" s="116"/>
      <c r="E4824" s="116"/>
    </row>
    <row r="4825" spans="1:5" x14ac:dyDescent="0.25">
      <c r="A4825" s="83"/>
      <c r="B4825" s="84"/>
      <c r="C4825" s="84"/>
      <c r="D4825" s="116"/>
      <c r="E4825" s="116"/>
    </row>
    <row r="4826" spans="1:5" x14ac:dyDescent="0.25">
      <c r="A4826" s="83"/>
      <c r="B4826" s="84"/>
      <c r="C4826" s="84"/>
      <c r="D4826" s="116"/>
      <c r="E4826" s="116"/>
    </row>
    <row r="4827" spans="1:5" x14ac:dyDescent="0.25">
      <c r="A4827" s="83"/>
      <c r="B4827" s="84"/>
      <c r="C4827" s="84"/>
      <c r="D4827" s="116"/>
      <c r="E4827" s="116"/>
    </row>
    <row r="4828" spans="1:5" x14ac:dyDescent="0.25">
      <c r="A4828" s="83"/>
      <c r="B4828" s="84"/>
      <c r="C4828" s="84"/>
      <c r="D4828" s="116"/>
      <c r="E4828" s="116"/>
    </row>
    <row r="4829" spans="1:5" x14ac:dyDescent="0.25">
      <c r="A4829" s="83"/>
      <c r="B4829" s="84"/>
      <c r="C4829" s="84"/>
      <c r="D4829" s="116"/>
      <c r="E4829" s="116"/>
    </row>
    <row r="4830" spans="1:5" x14ac:dyDescent="0.25">
      <c r="A4830" s="83"/>
      <c r="B4830" s="84"/>
      <c r="C4830" s="84"/>
      <c r="D4830" s="116"/>
      <c r="E4830" s="116"/>
    </row>
    <row r="4831" spans="1:5" x14ac:dyDescent="0.25">
      <c r="A4831" s="83"/>
      <c r="B4831" s="84"/>
      <c r="C4831" s="84"/>
      <c r="D4831" s="116"/>
      <c r="E4831" s="116"/>
    </row>
    <row r="4832" spans="1:5" x14ac:dyDescent="0.25">
      <c r="A4832" s="83"/>
      <c r="B4832" s="84"/>
      <c r="C4832" s="84"/>
      <c r="D4832" s="116"/>
      <c r="E4832" s="116"/>
    </row>
    <row r="4833" spans="1:5" x14ac:dyDescent="0.25">
      <c r="A4833" s="83"/>
      <c r="B4833" s="84"/>
      <c r="C4833" s="84"/>
      <c r="D4833" s="116"/>
      <c r="E4833" s="116"/>
    </row>
    <row r="4834" spans="1:5" x14ac:dyDescent="0.25">
      <c r="A4834" s="83"/>
      <c r="B4834" s="84"/>
      <c r="C4834" s="84"/>
      <c r="D4834" s="116"/>
      <c r="E4834" s="116"/>
    </row>
    <row r="4835" spans="1:5" x14ac:dyDescent="0.25">
      <c r="A4835" s="83"/>
      <c r="B4835" s="84"/>
      <c r="C4835" s="84"/>
      <c r="D4835" s="116"/>
      <c r="E4835" s="116"/>
    </row>
    <row r="4836" spans="1:5" x14ac:dyDescent="0.25">
      <c r="A4836" s="83"/>
      <c r="B4836" s="84"/>
      <c r="C4836" s="84"/>
      <c r="D4836" s="116"/>
      <c r="E4836" s="116"/>
    </row>
    <row r="4837" spans="1:5" x14ac:dyDescent="0.25">
      <c r="A4837" s="83"/>
      <c r="B4837" s="84"/>
      <c r="C4837" s="84"/>
      <c r="D4837" s="116"/>
      <c r="E4837" s="116"/>
    </row>
    <row r="4838" spans="1:5" x14ac:dyDescent="0.25">
      <c r="A4838" s="83"/>
      <c r="B4838" s="84"/>
      <c r="C4838" s="84"/>
      <c r="D4838" s="116"/>
      <c r="E4838" s="116"/>
    </row>
    <row r="4839" spans="1:5" x14ac:dyDescent="0.25">
      <c r="A4839" s="83"/>
      <c r="B4839" s="84"/>
      <c r="C4839" s="84"/>
      <c r="D4839" s="116"/>
      <c r="E4839" s="116"/>
    </row>
    <row r="4840" spans="1:5" x14ac:dyDescent="0.25">
      <c r="A4840" s="83"/>
      <c r="B4840" s="84"/>
      <c r="C4840" s="84"/>
      <c r="D4840" s="116"/>
      <c r="E4840" s="116"/>
    </row>
    <row r="4841" spans="1:5" x14ac:dyDescent="0.25">
      <c r="A4841" s="83"/>
      <c r="B4841" s="84"/>
      <c r="C4841" s="84"/>
      <c r="D4841" s="116"/>
      <c r="E4841" s="116"/>
    </row>
    <row r="4842" spans="1:5" x14ac:dyDescent="0.25">
      <c r="A4842" s="83"/>
      <c r="B4842" s="84"/>
      <c r="C4842" s="84"/>
      <c r="D4842" s="116"/>
      <c r="E4842" s="116"/>
    </row>
    <row r="4843" spans="1:5" x14ac:dyDescent="0.25">
      <c r="A4843" s="83"/>
      <c r="B4843" s="84"/>
      <c r="C4843" s="84"/>
      <c r="D4843" s="116"/>
      <c r="E4843" s="116"/>
    </row>
    <row r="4844" spans="1:5" x14ac:dyDescent="0.25">
      <c r="A4844" s="83"/>
      <c r="B4844" s="84"/>
      <c r="C4844" s="84"/>
      <c r="D4844" s="116"/>
      <c r="E4844" s="116"/>
    </row>
    <row r="4845" spans="1:5" x14ac:dyDescent="0.25">
      <c r="A4845" s="83"/>
      <c r="B4845" s="84"/>
      <c r="C4845" s="84"/>
      <c r="D4845" s="116"/>
      <c r="E4845" s="116"/>
    </row>
    <row r="4846" spans="1:5" x14ac:dyDescent="0.25">
      <c r="A4846" s="83"/>
      <c r="B4846" s="84"/>
      <c r="C4846" s="84"/>
      <c r="D4846" s="116"/>
      <c r="E4846" s="116"/>
    </row>
    <row r="4847" spans="1:5" x14ac:dyDescent="0.25">
      <c r="A4847" s="83"/>
      <c r="B4847" s="84"/>
      <c r="C4847" s="84"/>
      <c r="D4847" s="116"/>
      <c r="E4847" s="116"/>
    </row>
    <row r="4848" spans="1:5" x14ac:dyDescent="0.25">
      <c r="A4848" s="83"/>
      <c r="B4848" s="84"/>
      <c r="C4848" s="84"/>
      <c r="D4848" s="116"/>
      <c r="E4848" s="116"/>
    </row>
    <row r="4849" spans="1:5" x14ac:dyDescent="0.25">
      <c r="A4849" s="83"/>
      <c r="B4849" s="84"/>
      <c r="C4849" s="84"/>
      <c r="D4849" s="116"/>
      <c r="E4849" s="116"/>
    </row>
    <row r="4850" spans="1:5" x14ac:dyDescent="0.25">
      <c r="A4850" s="83"/>
      <c r="B4850" s="84"/>
      <c r="C4850" s="84"/>
      <c r="D4850" s="116"/>
      <c r="E4850" s="116"/>
    </row>
    <row r="4851" spans="1:5" x14ac:dyDescent="0.25">
      <c r="A4851" s="83"/>
      <c r="B4851" s="84"/>
      <c r="C4851" s="84"/>
      <c r="D4851" s="116"/>
      <c r="E4851" s="116"/>
    </row>
    <row r="4852" spans="1:5" x14ac:dyDescent="0.25">
      <c r="A4852" s="83"/>
      <c r="B4852" s="84"/>
      <c r="C4852" s="84"/>
      <c r="D4852" s="116"/>
      <c r="E4852" s="116"/>
    </row>
    <row r="4853" spans="1:5" x14ac:dyDescent="0.25">
      <c r="A4853" s="83"/>
      <c r="B4853" s="84"/>
      <c r="C4853" s="84"/>
      <c r="D4853" s="116"/>
      <c r="E4853" s="116"/>
    </row>
    <row r="4854" spans="1:5" x14ac:dyDescent="0.25">
      <c r="A4854" s="83"/>
      <c r="B4854" s="84"/>
      <c r="C4854" s="84"/>
      <c r="D4854" s="116"/>
      <c r="E4854" s="116"/>
    </row>
    <row r="4855" spans="1:5" x14ac:dyDescent="0.25">
      <c r="A4855" s="83"/>
      <c r="B4855" s="84"/>
      <c r="C4855" s="84"/>
      <c r="D4855" s="116"/>
      <c r="E4855" s="116"/>
    </row>
    <row r="4856" spans="1:5" x14ac:dyDescent="0.25">
      <c r="A4856" s="83"/>
      <c r="B4856" s="84"/>
      <c r="C4856" s="84"/>
      <c r="D4856" s="116"/>
      <c r="E4856" s="116"/>
    </row>
    <row r="4857" spans="1:5" x14ac:dyDescent="0.25">
      <c r="A4857" s="83"/>
      <c r="B4857" s="84"/>
      <c r="C4857" s="84"/>
      <c r="D4857" s="116"/>
      <c r="E4857" s="116"/>
    </row>
    <row r="4858" spans="1:5" x14ac:dyDescent="0.25">
      <c r="A4858" s="83"/>
      <c r="B4858" s="84"/>
      <c r="C4858" s="84"/>
      <c r="D4858" s="116"/>
      <c r="E4858" s="116"/>
    </row>
    <row r="4859" spans="1:5" x14ac:dyDescent="0.25">
      <c r="A4859" s="83"/>
      <c r="B4859" s="84"/>
      <c r="C4859" s="84"/>
      <c r="D4859" s="116"/>
      <c r="E4859" s="116"/>
    </row>
    <row r="4860" spans="1:5" x14ac:dyDescent="0.25">
      <c r="A4860" s="83"/>
      <c r="B4860" s="84"/>
      <c r="C4860" s="84"/>
      <c r="D4860" s="116"/>
      <c r="E4860" s="116"/>
    </row>
    <row r="4861" spans="1:5" x14ac:dyDescent="0.25">
      <c r="A4861" s="83"/>
      <c r="B4861" s="84"/>
      <c r="C4861" s="84"/>
      <c r="D4861" s="116"/>
      <c r="E4861" s="116"/>
    </row>
    <row r="4862" spans="1:5" x14ac:dyDescent="0.25">
      <c r="A4862" s="83"/>
      <c r="B4862" s="84"/>
      <c r="C4862" s="84"/>
      <c r="D4862" s="116"/>
      <c r="E4862" s="116"/>
    </row>
    <row r="4863" spans="1:5" x14ac:dyDescent="0.25">
      <c r="A4863" s="83"/>
      <c r="B4863" s="84"/>
      <c r="C4863" s="84"/>
      <c r="D4863" s="116"/>
      <c r="E4863" s="116"/>
    </row>
    <row r="4864" spans="1:5" x14ac:dyDescent="0.25">
      <c r="A4864" s="83"/>
      <c r="B4864" s="84"/>
      <c r="C4864" s="84"/>
      <c r="D4864" s="116"/>
      <c r="E4864" s="116"/>
    </row>
    <row r="4865" spans="1:5" x14ac:dyDescent="0.25">
      <c r="A4865" s="83"/>
      <c r="B4865" s="84"/>
      <c r="C4865" s="84"/>
      <c r="D4865" s="116"/>
      <c r="E4865" s="116"/>
    </row>
    <row r="4866" spans="1:5" x14ac:dyDescent="0.25">
      <c r="A4866" s="83"/>
      <c r="B4866" s="84"/>
      <c r="C4866" s="84"/>
      <c r="D4866" s="116"/>
      <c r="E4866" s="116"/>
    </row>
    <row r="4867" spans="1:5" x14ac:dyDescent="0.25">
      <c r="A4867" s="83"/>
      <c r="B4867" s="84"/>
      <c r="C4867" s="84"/>
      <c r="D4867" s="116"/>
      <c r="E4867" s="116"/>
    </row>
    <row r="4868" spans="1:5" x14ac:dyDescent="0.25">
      <c r="A4868" s="83"/>
      <c r="B4868" s="84"/>
      <c r="C4868" s="84"/>
      <c r="D4868" s="116"/>
      <c r="E4868" s="116"/>
    </row>
    <row r="4869" spans="1:5" x14ac:dyDescent="0.25">
      <c r="A4869" s="83"/>
      <c r="B4869" s="84"/>
      <c r="C4869" s="84"/>
      <c r="D4869" s="116"/>
      <c r="E4869" s="116"/>
    </row>
    <row r="4870" spans="1:5" x14ac:dyDescent="0.25">
      <c r="A4870" s="83"/>
      <c r="B4870" s="84"/>
      <c r="C4870" s="84"/>
      <c r="D4870" s="116"/>
      <c r="E4870" s="116"/>
    </row>
    <row r="4871" spans="1:5" x14ac:dyDescent="0.25">
      <c r="A4871" s="83"/>
      <c r="B4871" s="84"/>
      <c r="C4871" s="84"/>
      <c r="D4871" s="116"/>
      <c r="E4871" s="116"/>
    </row>
    <row r="4872" spans="1:5" x14ac:dyDescent="0.25">
      <c r="A4872" s="83"/>
      <c r="B4872" s="84"/>
      <c r="C4872" s="84"/>
      <c r="D4872" s="116"/>
      <c r="E4872" s="116"/>
    </row>
    <row r="4873" spans="1:5" x14ac:dyDescent="0.25">
      <c r="A4873" s="83"/>
      <c r="B4873" s="84"/>
      <c r="C4873" s="84"/>
      <c r="D4873" s="116"/>
      <c r="E4873" s="116"/>
    </row>
    <row r="4874" spans="1:5" x14ac:dyDescent="0.25">
      <c r="A4874" s="83"/>
      <c r="B4874" s="84"/>
      <c r="C4874" s="84"/>
      <c r="D4874" s="116"/>
      <c r="E4874" s="116"/>
    </row>
    <row r="4875" spans="1:5" x14ac:dyDescent="0.25">
      <c r="A4875" s="83"/>
      <c r="B4875" s="84"/>
      <c r="C4875" s="84"/>
      <c r="D4875" s="116"/>
      <c r="E4875" s="116"/>
    </row>
    <row r="4876" spans="1:5" x14ac:dyDescent="0.25">
      <c r="A4876" s="83"/>
      <c r="B4876" s="84"/>
      <c r="C4876" s="84"/>
      <c r="D4876" s="116"/>
      <c r="E4876" s="116"/>
    </row>
    <row r="4877" spans="1:5" x14ac:dyDescent="0.25">
      <c r="A4877" s="83"/>
      <c r="B4877" s="84"/>
      <c r="C4877" s="84"/>
      <c r="D4877" s="116"/>
      <c r="E4877" s="116"/>
    </row>
    <row r="4878" spans="1:5" x14ac:dyDescent="0.25">
      <c r="A4878" s="83"/>
      <c r="B4878" s="84"/>
      <c r="C4878" s="84"/>
      <c r="D4878" s="116"/>
      <c r="E4878" s="116"/>
    </row>
    <row r="4879" spans="1:5" x14ac:dyDescent="0.25">
      <c r="A4879" s="83"/>
      <c r="B4879" s="84"/>
      <c r="C4879" s="84"/>
      <c r="D4879" s="116"/>
      <c r="E4879" s="116"/>
    </row>
    <row r="4880" spans="1:5" x14ac:dyDescent="0.25">
      <c r="A4880" s="83"/>
      <c r="B4880" s="84"/>
      <c r="C4880" s="84"/>
      <c r="D4880" s="116"/>
      <c r="E4880" s="116"/>
    </row>
    <row r="4881" spans="1:5" x14ac:dyDescent="0.25">
      <c r="A4881" s="83"/>
      <c r="B4881" s="84"/>
      <c r="C4881" s="84"/>
      <c r="D4881" s="116"/>
      <c r="E4881" s="116"/>
    </row>
    <row r="4882" spans="1:5" x14ac:dyDescent="0.25">
      <c r="A4882" s="83"/>
      <c r="B4882" s="84"/>
      <c r="C4882" s="84"/>
      <c r="D4882" s="116"/>
      <c r="E4882" s="116"/>
    </row>
    <row r="4883" spans="1:5" x14ac:dyDescent="0.25">
      <c r="A4883" s="83"/>
      <c r="B4883" s="84"/>
      <c r="C4883" s="84"/>
      <c r="D4883" s="116"/>
      <c r="E4883" s="116"/>
    </row>
    <row r="4884" spans="1:5" x14ac:dyDescent="0.25">
      <c r="A4884" s="83"/>
      <c r="B4884" s="84"/>
      <c r="C4884" s="84"/>
      <c r="D4884" s="116"/>
      <c r="E4884" s="116"/>
    </row>
    <row r="4885" spans="1:5" x14ac:dyDescent="0.25">
      <c r="A4885" s="83"/>
      <c r="B4885" s="84"/>
      <c r="C4885" s="84"/>
      <c r="D4885" s="116"/>
      <c r="E4885" s="116"/>
    </row>
    <row r="4886" spans="1:5" x14ac:dyDescent="0.25">
      <c r="A4886" s="83"/>
      <c r="B4886" s="84"/>
      <c r="C4886" s="84"/>
      <c r="D4886" s="116"/>
      <c r="E4886" s="116"/>
    </row>
    <row r="4887" spans="1:5" x14ac:dyDescent="0.25">
      <c r="A4887" s="83"/>
      <c r="B4887" s="84"/>
      <c r="C4887" s="84"/>
      <c r="D4887" s="116"/>
      <c r="E4887" s="116"/>
    </row>
    <row r="4888" spans="1:5" x14ac:dyDescent="0.25">
      <c r="A4888" s="83"/>
      <c r="B4888" s="84"/>
      <c r="C4888" s="84"/>
      <c r="D4888" s="116"/>
      <c r="E4888" s="116"/>
    </row>
    <row r="4889" spans="1:5" x14ac:dyDescent="0.25">
      <c r="A4889" s="83"/>
      <c r="B4889" s="84"/>
      <c r="C4889" s="84"/>
      <c r="D4889" s="116"/>
      <c r="E4889" s="116"/>
    </row>
    <row r="4890" spans="1:5" x14ac:dyDescent="0.25">
      <c r="A4890" s="83"/>
      <c r="B4890" s="84"/>
      <c r="C4890" s="84"/>
      <c r="D4890" s="116"/>
      <c r="E4890" s="116"/>
    </row>
    <row r="4891" spans="1:5" x14ac:dyDescent="0.25">
      <c r="A4891" s="83"/>
      <c r="B4891" s="84"/>
      <c r="C4891" s="84"/>
      <c r="D4891" s="116"/>
      <c r="E4891" s="116"/>
    </row>
    <row r="4892" spans="1:5" x14ac:dyDescent="0.25">
      <c r="A4892" s="83"/>
      <c r="B4892" s="84"/>
      <c r="C4892" s="84"/>
      <c r="D4892" s="116"/>
      <c r="E4892" s="116"/>
    </row>
    <row r="4893" spans="1:5" x14ac:dyDescent="0.25">
      <c r="A4893" s="83"/>
      <c r="B4893" s="84"/>
      <c r="C4893" s="84"/>
      <c r="D4893" s="116"/>
      <c r="E4893" s="116"/>
    </row>
    <row r="4894" spans="1:5" x14ac:dyDescent="0.25">
      <c r="A4894" s="83"/>
      <c r="B4894" s="84"/>
      <c r="C4894" s="84"/>
      <c r="D4894" s="116"/>
      <c r="E4894" s="116"/>
    </row>
    <row r="4895" spans="1:5" x14ac:dyDescent="0.25">
      <c r="A4895" s="83"/>
      <c r="B4895" s="84"/>
      <c r="C4895" s="84"/>
      <c r="D4895" s="116"/>
      <c r="E4895" s="116"/>
    </row>
    <row r="4896" spans="1:5" x14ac:dyDescent="0.25">
      <c r="A4896" s="83"/>
      <c r="B4896" s="84"/>
      <c r="C4896" s="84"/>
      <c r="D4896" s="116"/>
      <c r="E4896" s="116"/>
    </row>
    <row r="4897" spans="1:5" x14ac:dyDescent="0.25">
      <c r="A4897" s="83"/>
      <c r="B4897" s="84"/>
      <c r="C4897" s="84"/>
      <c r="D4897" s="116"/>
      <c r="E4897" s="116"/>
    </row>
    <row r="4898" spans="1:5" x14ac:dyDescent="0.25">
      <c r="A4898" s="83"/>
      <c r="B4898" s="84"/>
      <c r="C4898" s="84"/>
      <c r="D4898" s="116"/>
      <c r="E4898" s="116"/>
    </row>
    <row r="4899" spans="1:5" x14ac:dyDescent="0.25">
      <c r="A4899" s="83"/>
      <c r="B4899" s="84"/>
      <c r="C4899" s="84"/>
      <c r="D4899" s="116"/>
      <c r="E4899" s="116"/>
    </row>
    <row r="4900" spans="1:5" x14ac:dyDescent="0.25">
      <c r="A4900" s="83"/>
      <c r="B4900" s="84"/>
      <c r="C4900" s="84"/>
      <c r="D4900" s="116"/>
      <c r="E4900" s="116"/>
    </row>
    <row r="4901" spans="1:5" x14ac:dyDescent="0.25">
      <c r="A4901" s="83"/>
      <c r="B4901" s="84"/>
      <c r="C4901" s="84"/>
      <c r="D4901" s="116"/>
      <c r="E4901" s="116"/>
    </row>
    <row r="4902" spans="1:5" x14ac:dyDescent="0.25">
      <c r="A4902" s="83"/>
      <c r="B4902" s="84"/>
      <c r="C4902" s="84"/>
      <c r="D4902" s="116"/>
      <c r="E4902" s="116"/>
    </row>
    <row r="4903" spans="1:5" x14ac:dyDescent="0.25">
      <c r="A4903" s="83"/>
      <c r="B4903" s="84"/>
      <c r="C4903" s="84"/>
      <c r="D4903" s="116"/>
      <c r="E4903" s="116"/>
    </row>
    <row r="4904" spans="1:5" x14ac:dyDescent="0.25">
      <c r="A4904" s="83"/>
      <c r="B4904" s="84"/>
      <c r="C4904" s="84"/>
      <c r="D4904" s="116"/>
      <c r="E4904" s="116"/>
    </row>
    <row r="4905" spans="1:5" x14ac:dyDescent="0.25">
      <c r="A4905" s="83"/>
      <c r="B4905" s="84"/>
      <c r="C4905" s="84"/>
      <c r="D4905" s="116"/>
      <c r="E4905" s="116"/>
    </row>
    <row r="4906" spans="1:5" x14ac:dyDescent="0.25">
      <c r="A4906" s="83"/>
      <c r="B4906" s="84"/>
      <c r="C4906" s="84"/>
      <c r="D4906" s="116"/>
      <c r="E4906" s="116"/>
    </row>
    <row r="4907" spans="1:5" x14ac:dyDescent="0.25">
      <c r="A4907" s="83"/>
      <c r="B4907" s="84"/>
      <c r="C4907" s="84"/>
      <c r="D4907" s="116"/>
      <c r="E4907" s="116"/>
    </row>
    <row r="4908" spans="1:5" x14ac:dyDescent="0.25">
      <c r="A4908" s="83"/>
      <c r="B4908" s="84"/>
      <c r="C4908" s="84"/>
      <c r="D4908" s="116"/>
      <c r="E4908" s="116"/>
    </row>
    <row r="4909" spans="1:5" x14ac:dyDescent="0.25">
      <c r="A4909" s="83"/>
      <c r="B4909" s="84"/>
      <c r="C4909" s="84"/>
      <c r="D4909" s="116"/>
      <c r="E4909" s="116"/>
    </row>
    <row r="4910" spans="1:5" x14ac:dyDescent="0.25">
      <c r="A4910" s="83"/>
      <c r="B4910" s="84"/>
      <c r="C4910" s="84"/>
      <c r="D4910" s="116"/>
      <c r="E4910" s="116"/>
    </row>
    <row r="4911" spans="1:5" x14ac:dyDescent="0.25">
      <c r="A4911" s="83"/>
      <c r="B4911" s="84"/>
      <c r="C4911" s="84"/>
      <c r="D4911" s="116"/>
      <c r="E4911" s="116"/>
    </row>
    <row r="4912" spans="1:5" x14ac:dyDescent="0.25">
      <c r="A4912" s="83"/>
      <c r="B4912" s="84"/>
      <c r="C4912" s="84"/>
      <c r="D4912" s="116"/>
      <c r="E4912" s="116"/>
    </row>
    <row r="4913" spans="1:5" x14ac:dyDescent="0.25">
      <c r="A4913" s="83"/>
      <c r="B4913" s="84"/>
      <c r="C4913" s="84"/>
      <c r="D4913" s="116"/>
      <c r="E4913" s="116"/>
    </row>
    <row r="4914" spans="1:5" x14ac:dyDescent="0.25">
      <c r="A4914" s="83"/>
      <c r="B4914" s="84"/>
      <c r="C4914" s="84"/>
      <c r="D4914" s="116"/>
      <c r="E4914" s="116"/>
    </row>
    <row r="4915" spans="1:5" x14ac:dyDescent="0.25">
      <c r="A4915" s="83"/>
      <c r="B4915" s="84"/>
      <c r="C4915" s="84"/>
      <c r="D4915" s="116"/>
      <c r="E4915" s="116"/>
    </row>
    <row r="4916" spans="1:5" x14ac:dyDescent="0.25">
      <c r="A4916" s="83"/>
      <c r="B4916" s="84"/>
      <c r="C4916" s="84"/>
      <c r="D4916" s="116"/>
      <c r="E4916" s="116"/>
    </row>
    <row r="4917" spans="1:5" x14ac:dyDescent="0.25">
      <c r="A4917" s="83"/>
      <c r="B4917" s="84"/>
      <c r="C4917" s="84"/>
      <c r="D4917" s="116"/>
      <c r="E4917" s="116"/>
    </row>
    <row r="4918" spans="1:5" x14ac:dyDescent="0.25">
      <c r="A4918" s="83"/>
      <c r="B4918" s="84"/>
      <c r="C4918" s="84"/>
      <c r="D4918" s="116"/>
      <c r="E4918" s="116"/>
    </row>
    <row r="4919" spans="1:5" x14ac:dyDescent="0.25">
      <c r="A4919" s="83"/>
      <c r="B4919" s="84"/>
      <c r="C4919" s="84"/>
      <c r="D4919" s="116"/>
      <c r="E4919" s="116"/>
    </row>
    <row r="4920" spans="1:5" x14ac:dyDescent="0.25">
      <c r="A4920" s="83"/>
      <c r="B4920" s="84"/>
      <c r="C4920" s="84"/>
      <c r="D4920" s="116"/>
      <c r="E4920" s="116"/>
    </row>
    <row r="4921" spans="1:5" x14ac:dyDescent="0.25">
      <c r="A4921" s="83"/>
      <c r="B4921" s="84"/>
      <c r="C4921" s="84"/>
      <c r="D4921" s="116"/>
      <c r="E4921" s="116"/>
    </row>
    <row r="4922" spans="1:5" x14ac:dyDescent="0.25">
      <c r="A4922" s="83"/>
      <c r="B4922" s="84"/>
      <c r="C4922" s="84"/>
      <c r="D4922" s="116"/>
      <c r="E4922" s="116"/>
    </row>
    <row r="4923" spans="1:5" x14ac:dyDescent="0.25">
      <c r="A4923" s="83"/>
      <c r="B4923" s="84"/>
      <c r="C4923" s="84"/>
      <c r="D4923" s="116"/>
      <c r="E4923" s="116"/>
    </row>
    <row r="4924" spans="1:5" x14ac:dyDescent="0.25">
      <c r="A4924" s="83"/>
      <c r="B4924" s="84"/>
      <c r="C4924" s="84"/>
      <c r="D4924" s="116"/>
      <c r="E4924" s="116"/>
    </row>
    <row r="4925" spans="1:5" x14ac:dyDescent="0.25">
      <c r="A4925" s="83"/>
      <c r="B4925" s="84"/>
      <c r="C4925" s="84"/>
      <c r="D4925" s="116"/>
      <c r="E4925" s="116"/>
    </row>
    <row r="4926" spans="1:5" x14ac:dyDescent="0.25">
      <c r="A4926" s="83"/>
      <c r="B4926" s="84"/>
      <c r="C4926" s="84"/>
      <c r="D4926" s="116"/>
      <c r="E4926" s="116"/>
    </row>
    <row r="4927" spans="1:5" x14ac:dyDescent="0.25">
      <c r="A4927" s="83"/>
      <c r="B4927" s="84"/>
      <c r="C4927" s="84"/>
      <c r="D4927" s="116"/>
      <c r="E4927" s="116"/>
    </row>
    <row r="4928" spans="1:5" x14ac:dyDescent="0.25">
      <c r="A4928" s="83"/>
      <c r="B4928" s="84"/>
      <c r="C4928" s="84"/>
      <c r="D4928" s="116"/>
      <c r="E4928" s="116"/>
    </row>
    <row r="4929" spans="1:5" x14ac:dyDescent="0.25">
      <c r="A4929" s="83"/>
      <c r="B4929" s="84"/>
      <c r="C4929" s="84"/>
      <c r="D4929" s="116"/>
      <c r="E4929" s="116"/>
    </row>
    <row r="4930" spans="1:5" x14ac:dyDescent="0.25">
      <c r="A4930" s="83"/>
      <c r="B4930" s="84"/>
      <c r="C4930" s="84"/>
      <c r="D4930" s="116"/>
      <c r="E4930" s="116"/>
    </row>
    <row r="4931" spans="1:5" x14ac:dyDescent="0.25">
      <c r="A4931" s="83"/>
      <c r="B4931" s="84"/>
      <c r="C4931" s="84"/>
      <c r="D4931" s="116"/>
      <c r="E4931" s="116"/>
    </row>
    <row r="4932" spans="1:5" x14ac:dyDescent="0.25">
      <c r="A4932" s="83"/>
      <c r="B4932" s="84"/>
      <c r="C4932" s="84"/>
      <c r="D4932" s="116"/>
      <c r="E4932" s="116"/>
    </row>
    <row r="4933" spans="1:5" x14ac:dyDescent="0.25">
      <c r="A4933" s="83"/>
      <c r="B4933" s="84"/>
      <c r="C4933" s="84"/>
      <c r="D4933" s="116"/>
      <c r="E4933" s="116"/>
    </row>
    <row r="4934" spans="1:5" x14ac:dyDescent="0.25">
      <c r="A4934" s="83"/>
      <c r="B4934" s="84"/>
      <c r="C4934" s="84"/>
      <c r="D4934" s="116"/>
      <c r="E4934" s="116"/>
    </row>
    <row r="4935" spans="1:5" x14ac:dyDescent="0.25">
      <c r="A4935" s="83"/>
      <c r="B4935" s="84"/>
      <c r="C4935" s="84"/>
      <c r="D4935" s="116"/>
      <c r="E4935" s="116"/>
    </row>
    <row r="4936" spans="1:5" x14ac:dyDescent="0.25">
      <c r="A4936" s="83"/>
      <c r="B4936" s="84"/>
      <c r="C4936" s="84"/>
      <c r="D4936" s="116"/>
      <c r="E4936" s="116"/>
    </row>
    <row r="4937" spans="1:5" x14ac:dyDescent="0.25">
      <c r="A4937" s="83"/>
      <c r="B4937" s="84"/>
      <c r="C4937" s="84"/>
      <c r="D4937" s="116"/>
      <c r="E4937" s="116"/>
    </row>
    <row r="4938" spans="1:5" x14ac:dyDescent="0.25">
      <c r="A4938" s="83"/>
      <c r="B4938" s="84"/>
      <c r="C4938" s="84"/>
      <c r="D4938" s="116"/>
      <c r="E4938" s="116"/>
    </row>
    <row r="4939" spans="1:5" x14ac:dyDescent="0.25">
      <c r="A4939" s="83"/>
      <c r="B4939" s="84"/>
      <c r="C4939" s="84"/>
      <c r="D4939" s="116"/>
      <c r="E4939" s="116"/>
    </row>
    <row r="4940" spans="1:5" x14ac:dyDescent="0.25">
      <c r="A4940" s="83"/>
      <c r="B4940" s="84"/>
      <c r="C4940" s="84"/>
      <c r="D4940" s="116"/>
      <c r="E4940" s="116"/>
    </row>
    <row r="4941" spans="1:5" x14ac:dyDescent="0.25">
      <c r="A4941" s="83"/>
      <c r="B4941" s="84"/>
      <c r="C4941" s="84"/>
      <c r="D4941" s="116"/>
      <c r="E4941" s="116"/>
    </row>
    <row r="4942" spans="1:5" x14ac:dyDescent="0.25">
      <c r="A4942" s="83"/>
      <c r="B4942" s="84"/>
      <c r="C4942" s="84"/>
      <c r="D4942" s="116"/>
      <c r="E4942" s="116"/>
    </row>
    <row r="4943" spans="1:5" x14ac:dyDescent="0.25">
      <c r="A4943" s="83"/>
      <c r="B4943" s="84"/>
      <c r="C4943" s="84"/>
      <c r="D4943" s="116"/>
      <c r="E4943" s="116"/>
    </row>
    <row r="4944" spans="1:5" x14ac:dyDescent="0.25">
      <c r="A4944" s="83"/>
      <c r="B4944" s="84"/>
      <c r="C4944" s="84"/>
      <c r="D4944" s="116"/>
      <c r="E4944" s="116"/>
    </row>
    <row r="4945" spans="1:5" x14ac:dyDescent="0.25">
      <c r="A4945" s="83"/>
      <c r="B4945" s="84"/>
      <c r="C4945" s="84"/>
      <c r="D4945" s="116"/>
      <c r="E4945" s="116"/>
    </row>
    <row r="4946" spans="1:5" x14ac:dyDescent="0.25">
      <c r="A4946" s="83"/>
      <c r="B4946" s="84"/>
      <c r="C4946" s="84"/>
      <c r="D4946" s="116"/>
      <c r="E4946" s="116"/>
    </row>
    <row r="4947" spans="1:5" x14ac:dyDescent="0.25">
      <c r="A4947" s="83"/>
      <c r="B4947" s="84"/>
      <c r="C4947" s="84"/>
      <c r="D4947" s="116"/>
      <c r="E4947" s="116"/>
    </row>
    <row r="4948" spans="1:5" x14ac:dyDescent="0.25">
      <c r="A4948" s="83"/>
      <c r="B4948" s="84"/>
      <c r="C4948" s="84"/>
      <c r="D4948" s="116"/>
      <c r="E4948" s="116"/>
    </row>
    <row r="4949" spans="1:5" x14ac:dyDescent="0.25">
      <c r="A4949" s="83"/>
      <c r="B4949" s="84"/>
      <c r="C4949" s="84"/>
      <c r="D4949" s="116"/>
      <c r="E4949" s="116"/>
    </row>
    <row r="4950" spans="1:5" x14ac:dyDescent="0.25">
      <c r="A4950" s="83"/>
      <c r="B4950" s="84"/>
      <c r="C4950" s="84"/>
      <c r="D4950" s="116"/>
      <c r="E4950" s="116"/>
    </row>
    <row r="4951" spans="1:5" x14ac:dyDescent="0.25">
      <c r="A4951" s="83"/>
      <c r="B4951" s="84"/>
      <c r="C4951" s="84"/>
      <c r="D4951" s="116"/>
      <c r="E4951" s="116"/>
    </row>
    <row r="4952" spans="1:5" x14ac:dyDescent="0.25">
      <c r="A4952" s="83"/>
      <c r="B4952" s="84"/>
      <c r="C4952" s="84"/>
      <c r="D4952" s="116"/>
      <c r="E4952" s="116"/>
    </row>
    <row r="4953" spans="1:5" x14ac:dyDescent="0.25">
      <c r="A4953" s="83"/>
      <c r="B4953" s="84"/>
      <c r="C4953" s="84"/>
      <c r="D4953" s="116"/>
      <c r="E4953" s="116"/>
    </row>
    <row r="4954" spans="1:5" x14ac:dyDescent="0.25">
      <c r="A4954" s="83"/>
      <c r="B4954" s="84"/>
      <c r="C4954" s="84"/>
      <c r="D4954" s="116"/>
      <c r="E4954" s="116"/>
    </row>
    <row r="4955" spans="1:5" x14ac:dyDescent="0.25">
      <c r="A4955" s="83"/>
      <c r="B4955" s="84"/>
      <c r="C4955" s="84"/>
      <c r="D4955" s="116"/>
      <c r="E4955" s="116"/>
    </row>
    <row r="4956" spans="1:5" x14ac:dyDescent="0.25">
      <c r="A4956" s="83"/>
      <c r="B4956" s="84"/>
      <c r="C4956" s="84"/>
      <c r="D4956" s="116"/>
      <c r="E4956" s="116"/>
    </row>
    <row r="4957" spans="1:5" x14ac:dyDescent="0.25">
      <c r="A4957" s="83"/>
      <c r="B4957" s="84"/>
      <c r="C4957" s="84"/>
      <c r="D4957" s="116"/>
      <c r="E4957" s="116"/>
    </row>
    <row r="4958" spans="1:5" x14ac:dyDescent="0.25">
      <c r="A4958" s="83"/>
      <c r="B4958" s="84"/>
      <c r="C4958" s="84"/>
      <c r="D4958" s="116"/>
      <c r="E4958" s="116"/>
    </row>
    <row r="4959" spans="1:5" x14ac:dyDescent="0.25">
      <c r="A4959" s="83"/>
      <c r="B4959" s="84"/>
      <c r="C4959" s="84"/>
      <c r="D4959" s="116"/>
      <c r="E4959" s="116"/>
    </row>
    <row r="4960" spans="1:5" x14ac:dyDescent="0.25">
      <c r="A4960" s="83"/>
      <c r="B4960" s="84"/>
      <c r="C4960" s="84"/>
      <c r="D4960" s="116"/>
      <c r="E4960" s="116"/>
    </row>
    <row r="4961" spans="1:5" x14ac:dyDescent="0.25">
      <c r="A4961" s="83"/>
      <c r="B4961" s="84"/>
      <c r="C4961" s="84"/>
      <c r="D4961" s="116"/>
      <c r="E4961" s="116"/>
    </row>
    <row r="4962" spans="1:5" x14ac:dyDescent="0.25">
      <c r="A4962" s="83"/>
      <c r="B4962" s="84"/>
      <c r="C4962" s="84"/>
      <c r="D4962" s="116"/>
      <c r="E4962" s="116"/>
    </row>
    <row r="4963" spans="1:5" x14ac:dyDescent="0.25">
      <c r="A4963" s="83"/>
      <c r="B4963" s="84"/>
      <c r="C4963" s="84"/>
      <c r="D4963" s="116"/>
      <c r="E4963" s="116"/>
    </row>
    <row r="4964" spans="1:5" x14ac:dyDescent="0.25">
      <c r="A4964" s="83"/>
      <c r="B4964" s="84"/>
      <c r="C4964" s="84"/>
      <c r="D4964" s="116"/>
      <c r="E4964" s="116"/>
    </row>
    <row r="4965" spans="1:5" x14ac:dyDescent="0.25">
      <c r="A4965" s="83"/>
      <c r="B4965" s="84"/>
      <c r="C4965" s="84"/>
      <c r="D4965" s="116"/>
      <c r="E4965" s="116"/>
    </row>
    <row r="4966" spans="1:5" x14ac:dyDescent="0.25">
      <c r="A4966" s="83"/>
      <c r="B4966" s="84"/>
      <c r="C4966" s="84"/>
      <c r="D4966" s="116"/>
      <c r="E4966" s="116"/>
    </row>
    <row r="4967" spans="1:5" x14ac:dyDescent="0.25">
      <c r="A4967" s="83"/>
      <c r="B4967" s="84"/>
      <c r="C4967" s="84"/>
      <c r="D4967" s="116"/>
      <c r="E4967" s="116"/>
    </row>
    <row r="4968" spans="1:5" x14ac:dyDescent="0.25">
      <c r="A4968" s="83"/>
      <c r="B4968" s="84"/>
      <c r="C4968" s="84"/>
      <c r="D4968" s="116"/>
      <c r="E4968" s="116"/>
    </row>
    <row r="4969" spans="1:5" x14ac:dyDescent="0.25">
      <c r="A4969" s="83"/>
      <c r="B4969" s="84"/>
      <c r="C4969" s="84"/>
      <c r="D4969" s="116"/>
      <c r="E4969" s="116"/>
    </row>
    <row r="4970" spans="1:5" x14ac:dyDescent="0.25">
      <c r="A4970" s="83"/>
      <c r="B4970" s="84"/>
      <c r="C4970" s="84"/>
      <c r="D4970" s="116"/>
      <c r="E4970" s="116"/>
    </row>
    <row r="4971" spans="1:5" x14ac:dyDescent="0.25">
      <c r="A4971" s="83"/>
      <c r="B4971" s="84"/>
      <c r="C4971" s="84"/>
      <c r="D4971" s="116"/>
      <c r="E4971" s="116"/>
    </row>
    <row r="4972" spans="1:5" x14ac:dyDescent="0.25">
      <c r="A4972" s="83"/>
      <c r="B4972" s="84"/>
      <c r="C4972" s="84"/>
      <c r="D4972" s="116"/>
      <c r="E4972" s="116"/>
    </row>
    <row r="4973" spans="1:5" x14ac:dyDescent="0.25">
      <c r="A4973" s="83"/>
      <c r="B4973" s="84"/>
      <c r="C4973" s="84"/>
      <c r="D4973" s="116"/>
      <c r="E4973" s="116"/>
    </row>
    <row r="4974" spans="1:5" x14ac:dyDescent="0.25">
      <c r="A4974" s="83"/>
      <c r="B4974" s="84"/>
      <c r="C4974" s="84"/>
      <c r="D4974" s="116"/>
      <c r="E4974" s="116"/>
    </row>
    <row r="4975" spans="1:5" x14ac:dyDescent="0.25">
      <c r="A4975" s="83"/>
      <c r="B4975" s="84"/>
      <c r="C4975" s="84"/>
      <c r="D4975" s="116"/>
      <c r="E4975" s="116"/>
    </row>
    <row r="4976" spans="1:5" x14ac:dyDescent="0.25">
      <c r="A4976" s="83"/>
      <c r="B4976" s="84"/>
      <c r="C4976" s="84"/>
      <c r="D4976" s="116"/>
      <c r="E4976" s="116"/>
    </row>
    <row r="4977" spans="1:5" x14ac:dyDescent="0.25">
      <c r="A4977" s="83"/>
      <c r="B4977" s="84"/>
      <c r="C4977" s="84"/>
      <c r="D4977" s="116"/>
      <c r="E4977" s="116"/>
    </row>
    <row r="4978" spans="1:5" x14ac:dyDescent="0.25">
      <c r="A4978" s="83"/>
      <c r="B4978" s="84"/>
      <c r="C4978" s="84"/>
      <c r="D4978" s="116"/>
      <c r="E4978" s="116"/>
    </row>
    <row r="4979" spans="1:5" x14ac:dyDescent="0.25">
      <c r="A4979" s="83"/>
      <c r="B4979" s="84"/>
      <c r="C4979" s="84"/>
      <c r="D4979" s="116"/>
      <c r="E4979" s="116"/>
    </row>
    <row r="4980" spans="1:5" x14ac:dyDescent="0.25">
      <c r="A4980" s="83"/>
      <c r="B4980" s="84"/>
      <c r="C4980" s="84"/>
      <c r="D4980" s="116"/>
      <c r="E4980" s="116"/>
    </row>
    <row r="4981" spans="1:5" x14ac:dyDescent="0.25">
      <c r="A4981" s="83"/>
      <c r="B4981" s="84"/>
      <c r="C4981" s="84"/>
      <c r="D4981" s="116"/>
      <c r="E4981" s="116"/>
    </row>
    <row r="4982" spans="1:5" x14ac:dyDescent="0.25">
      <c r="A4982" s="83"/>
      <c r="B4982" s="84"/>
      <c r="C4982" s="84"/>
      <c r="D4982" s="116"/>
      <c r="E4982" s="116"/>
    </row>
    <row r="4983" spans="1:5" x14ac:dyDescent="0.25">
      <c r="A4983" s="83"/>
      <c r="B4983" s="84"/>
      <c r="C4983" s="84"/>
      <c r="D4983" s="116"/>
      <c r="E4983" s="116"/>
    </row>
    <row r="4984" spans="1:5" x14ac:dyDescent="0.25">
      <c r="A4984" s="83"/>
      <c r="B4984" s="84"/>
      <c r="C4984" s="84"/>
      <c r="D4984" s="116"/>
      <c r="E4984" s="116"/>
    </row>
    <row r="4985" spans="1:5" x14ac:dyDescent="0.25">
      <c r="A4985" s="83"/>
      <c r="B4985" s="84"/>
      <c r="C4985" s="84"/>
      <c r="D4985" s="116"/>
      <c r="E4985" s="116"/>
    </row>
    <row r="4986" spans="1:5" x14ac:dyDescent="0.25">
      <c r="A4986" s="83"/>
      <c r="B4986" s="84"/>
      <c r="C4986" s="84"/>
      <c r="D4986" s="116"/>
      <c r="E4986" s="116"/>
    </row>
    <row r="4987" spans="1:5" x14ac:dyDescent="0.25">
      <c r="A4987" s="83"/>
      <c r="B4987" s="84"/>
      <c r="C4987" s="84"/>
      <c r="D4987" s="116"/>
      <c r="E4987" s="116"/>
    </row>
    <row r="4988" spans="1:5" x14ac:dyDescent="0.25">
      <c r="A4988" s="83"/>
      <c r="B4988" s="84"/>
      <c r="C4988" s="84"/>
      <c r="D4988" s="116"/>
      <c r="E4988" s="116"/>
    </row>
    <row r="4989" spans="1:5" x14ac:dyDescent="0.25">
      <c r="A4989" s="83"/>
      <c r="B4989" s="84"/>
      <c r="C4989" s="84"/>
      <c r="D4989" s="116"/>
      <c r="E4989" s="116"/>
    </row>
    <row r="4990" spans="1:5" x14ac:dyDescent="0.25">
      <c r="A4990" s="83"/>
      <c r="B4990" s="84"/>
      <c r="C4990" s="84"/>
      <c r="D4990" s="116"/>
      <c r="E4990" s="116"/>
    </row>
    <row r="4991" spans="1:5" x14ac:dyDescent="0.25">
      <c r="A4991" s="83"/>
      <c r="B4991" s="84"/>
      <c r="C4991" s="84"/>
      <c r="D4991" s="116"/>
      <c r="E4991" s="116"/>
    </row>
    <row r="4992" spans="1:5" x14ac:dyDescent="0.25">
      <c r="A4992" s="83"/>
      <c r="B4992" s="84"/>
      <c r="C4992" s="84"/>
      <c r="D4992" s="116"/>
      <c r="E4992" s="116"/>
    </row>
    <row r="4993" spans="1:5" x14ac:dyDescent="0.25">
      <c r="A4993" s="83"/>
      <c r="B4993" s="84"/>
      <c r="C4993" s="84"/>
      <c r="D4993" s="116"/>
      <c r="E4993" s="116"/>
    </row>
    <row r="4994" spans="1:5" x14ac:dyDescent="0.25">
      <c r="A4994" s="83"/>
      <c r="B4994" s="84"/>
      <c r="C4994" s="84"/>
      <c r="D4994" s="116"/>
      <c r="E4994" s="116"/>
    </row>
    <row r="4995" spans="1:5" x14ac:dyDescent="0.25">
      <c r="A4995" s="83"/>
      <c r="B4995" s="84"/>
      <c r="C4995" s="84"/>
      <c r="D4995" s="116"/>
      <c r="E4995" s="116"/>
    </row>
    <row r="4996" spans="1:5" x14ac:dyDescent="0.25">
      <c r="A4996" s="83"/>
      <c r="B4996" s="84"/>
      <c r="C4996" s="84"/>
      <c r="D4996" s="116"/>
      <c r="E4996" s="116"/>
    </row>
    <row r="4997" spans="1:5" x14ac:dyDescent="0.25">
      <c r="A4997" s="83"/>
      <c r="B4997" s="84"/>
      <c r="C4997" s="84"/>
      <c r="D4997" s="116"/>
      <c r="E4997" s="116"/>
    </row>
    <row r="4998" spans="1:5" x14ac:dyDescent="0.25">
      <c r="A4998" s="83"/>
      <c r="B4998" s="84"/>
      <c r="C4998" s="84"/>
      <c r="D4998" s="116"/>
      <c r="E4998" s="116"/>
    </row>
    <row r="4999" spans="1:5" x14ac:dyDescent="0.25">
      <c r="A4999" s="83"/>
      <c r="B4999" s="84"/>
      <c r="C4999" s="84"/>
      <c r="D4999" s="116"/>
      <c r="E4999" s="116"/>
    </row>
    <row r="5000" spans="1:5" x14ac:dyDescent="0.25">
      <c r="A5000" s="83"/>
      <c r="B5000" s="84"/>
      <c r="C5000" s="84"/>
      <c r="D5000" s="116"/>
      <c r="E5000" s="116"/>
    </row>
    <row r="5001" spans="1:5" x14ac:dyDescent="0.25">
      <c r="A5001" s="83"/>
      <c r="B5001" s="84"/>
      <c r="C5001" s="84"/>
      <c r="D5001" s="116"/>
      <c r="E5001" s="116"/>
    </row>
    <row r="5002" spans="1:5" x14ac:dyDescent="0.25">
      <c r="A5002" s="83"/>
      <c r="B5002" s="84"/>
      <c r="C5002" s="84"/>
      <c r="D5002" s="116"/>
      <c r="E5002" s="116"/>
    </row>
    <row r="5003" spans="1:5" x14ac:dyDescent="0.25">
      <c r="A5003" s="83"/>
      <c r="B5003" s="84"/>
      <c r="C5003" s="84"/>
      <c r="D5003" s="116"/>
      <c r="E5003" s="116"/>
    </row>
    <row r="5004" spans="1:5" x14ac:dyDescent="0.25">
      <c r="A5004" s="83"/>
      <c r="B5004" s="84"/>
      <c r="C5004" s="84"/>
      <c r="D5004" s="116"/>
      <c r="E5004" s="116"/>
    </row>
    <row r="5005" spans="1:5" x14ac:dyDescent="0.25">
      <c r="A5005" s="83"/>
      <c r="B5005" s="84"/>
      <c r="C5005" s="84"/>
      <c r="D5005" s="116"/>
      <c r="E5005" s="116"/>
    </row>
    <row r="5006" spans="1:5" x14ac:dyDescent="0.25">
      <c r="A5006" s="83"/>
      <c r="B5006" s="84"/>
      <c r="C5006" s="84"/>
      <c r="D5006" s="116"/>
      <c r="E5006" s="116"/>
    </row>
    <row r="5007" spans="1:5" x14ac:dyDescent="0.25">
      <c r="A5007" s="83"/>
      <c r="B5007" s="84"/>
      <c r="C5007" s="84"/>
      <c r="D5007" s="116"/>
      <c r="E5007" s="116"/>
    </row>
    <row r="5008" spans="1:5" x14ac:dyDescent="0.25">
      <c r="A5008" s="83"/>
      <c r="B5008" s="84"/>
      <c r="C5008" s="84"/>
      <c r="D5008" s="116"/>
      <c r="E5008" s="116"/>
    </row>
    <row r="5009" spans="1:5" x14ac:dyDescent="0.25">
      <c r="A5009" s="83"/>
      <c r="B5009" s="84"/>
      <c r="C5009" s="84"/>
      <c r="D5009" s="116"/>
      <c r="E5009" s="116"/>
    </row>
    <row r="5010" spans="1:5" x14ac:dyDescent="0.25">
      <c r="A5010" s="83"/>
      <c r="B5010" s="84"/>
      <c r="C5010" s="84"/>
      <c r="D5010" s="116"/>
      <c r="E5010" s="116"/>
    </row>
    <row r="5011" spans="1:5" x14ac:dyDescent="0.25">
      <c r="A5011" s="83"/>
      <c r="B5011" s="84"/>
      <c r="C5011" s="84"/>
      <c r="D5011" s="116"/>
      <c r="E5011" s="116"/>
    </row>
    <row r="5012" spans="1:5" x14ac:dyDescent="0.25">
      <c r="A5012" s="83"/>
      <c r="B5012" s="84"/>
      <c r="C5012" s="84"/>
      <c r="D5012" s="116"/>
      <c r="E5012" s="116"/>
    </row>
    <row r="5013" spans="1:5" x14ac:dyDescent="0.25">
      <c r="A5013" s="83"/>
      <c r="B5013" s="84"/>
      <c r="C5013" s="84"/>
      <c r="D5013" s="116"/>
      <c r="E5013" s="116"/>
    </row>
    <row r="5014" spans="1:5" x14ac:dyDescent="0.25">
      <c r="A5014" s="83"/>
      <c r="B5014" s="84"/>
      <c r="C5014" s="84"/>
      <c r="D5014" s="116"/>
      <c r="E5014" s="116"/>
    </row>
    <row r="5015" spans="1:5" x14ac:dyDescent="0.25">
      <c r="A5015" s="83"/>
      <c r="B5015" s="84"/>
      <c r="C5015" s="84"/>
      <c r="D5015" s="116"/>
      <c r="E5015" s="116"/>
    </row>
    <row r="5016" spans="1:5" x14ac:dyDescent="0.25">
      <c r="A5016" s="83"/>
      <c r="B5016" s="84"/>
      <c r="C5016" s="84"/>
      <c r="D5016" s="116"/>
      <c r="E5016" s="116"/>
    </row>
    <row r="5017" spans="1:5" x14ac:dyDescent="0.25">
      <c r="A5017" s="83"/>
      <c r="B5017" s="84"/>
      <c r="C5017" s="84"/>
      <c r="D5017" s="116"/>
      <c r="E5017" s="116"/>
    </row>
    <row r="5018" spans="1:5" x14ac:dyDescent="0.25">
      <c r="A5018" s="83"/>
      <c r="B5018" s="84"/>
      <c r="C5018" s="84"/>
      <c r="D5018" s="116"/>
      <c r="E5018" s="116"/>
    </row>
    <row r="5019" spans="1:5" x14ac:dyDescent="0.25">
      <c r="A5019" s="83"/>
      <c r="B5019" s="84"/>
      <c r="C5019" s="84"/>
      <c r="D5019" s="116"/>
      <c r="E5019" s="116"/>
    </row>
    <row r="5020" spans="1:5" x14ac:dyDescent="0.25">
      <c r="A5020" s="83"/>
      <c r="B5020" s="84"/>
      <c r="C5020" s="84"/>
      <c r="D5020" s="116"/>
      <c r="E5020" s="116"/>
    </row>
    <row r="5021" spans="1:5" x14ac:dyDescent="0.25">
      <c r="A5021" s="83"/>
      <c r="B5021" s="84"/>
      <c r="C5021" s="84"/>
      <c r="D5021" s="116"/>
      <c r="E5021" s="116"/>
    </row>
    <row r="5022" spans="1:5" x14ac:dyDescent="0.25">
      <c r="A5022" s="83"/>
      <c r="B5022" s="84"/>
      <c r="C5022" s="84"/>
      <c r="D5022" s="116"/>
      <c r="E5022" s="116"/>
    </row>
    <row r="5023" spans="1:5" x14ac:dyDescent="0.25">
      <c r="A5023" s="83"/>
      <c r="B5023" s="84"/>
      <c r="C5023" s="84"/>
      <c r="D5023" s="116"/>
      <c r="E5023" s="116"/>
    </row>
    <row r="5024" spans="1:5" x14ac:dyDescent="0.25">
      <c r="A5024" s="83"/>
      <c r="B5024" s="84"/>
      <c r="C5024" s="84"/>
      <c r="D5024" s="116"/>
      <c r="E5024" s="116"/>
    </row>
    <row r="5025" spans="1:5" x14ac:dyDescent="0.25">
      <c r="A5025" s="83"/>
      <c r="B5025" s="84"/>
      <c r="C5025" s="84"/>
      <c r="D5025" s="116"/>
      <c r="E5025" s="116"/>
    </row>
    <row r="5026" spans="1:5" x14ac:dyDescent="0.25">
      <c r="A5026" s="83"/>
      <c r="B5026" s="84"/>
      <c r="C5026" s="84"/>
      <c r="D5026" s="116"/>
      <c r="E5026" s="116"/>
    </row>
    <row r="5027" spans="1:5" x14ac:dyDescent="0.25">
      <c r="A5027" s="83"/>
      <c r="B5027" s="84"/>
      <c r="C5027" s="84"/>
      <c r="D5027" s="116"/>
      <c r="E5027" s="116"/>
    </row>
    <row r="5028" spans="1:5" x14ac:dyDescent="0.25">
      <c r="A5028" s="83"/>
      <c r="B5028" s="84"/>
      <c r="C5028" s="84"/>
      <c r="D5028" s="116"/>
      <c r="E5028" s="116"/>
    </row>
    <row r="5029" spans="1:5" x14ac:dyDescent="0.25">
      <c r="A5029" s="83"/>
      <c r="B5029" s="84"/>
      <c r="C5029" s="84"/>
      <c r="D5029" s="116"/>
      <c r="E5029" s="116"/>
    </row>
    <row r="5030" spans="1:5" x14ac:dyDescent="0.25">
      <c r="A5030" s="83"/>
      <c r="B5030" s="84"/>
      <c r="C5030" s="84"/>
      <c r="D5030" s="116"/>
      <c r="E5030" s="116"/>
    </row>
    <row r="5031" spans="1:5" x14ac:dyDescent="0.25">
      <c r="A5031" s="83"/>
      <c r="B5031" s="84"/>
      <c r="C5031" s="84"/>
      <c r="D5031" s="116"/>
      <c r="E5031" s="116"/>
    </row>
    <row r="5032" spans="1:5" x14ac:dyDescent="0.25">
      <c r="A5032" s="83"/>
      <c r="B5032" s="84"/>
      <c r="C5032" s="84"/>
      <c r="D5032" s="116"/>
      <c r="E5032" s="116"/>
    </row>
    <row r="5033" spans="1:5" x14ac:dyDescent="0.25">
      <c r="A5033" s="83"/>
      <c r="B5033" s="84"/>
      <c r="C5033" s="84"/>
      <c r="D5033" s="116"/>
      <c r="E5033" s="116"/>
    </row>
    <row r="5034" spans="1:5" x14ac:dyDescent="0.25">
      <c r="A5034" s="83"/>
      <c r="B5034" s="84"/>
      <c r="C5034" s="84"/>
      <c r="D5034" s="116"/>
      <c r="E5034" s="116"/>
    </row>
    <row r="5035" spans="1:5" x14ac:dyDescent="0.25">
      <c r="A5035" s="83"/>
      <c r="B5035" s="84"/>
      <c r="C5035" s="84"/>
      <c r="D5035" s="116"/>
      <c r="E5035" s="116"/>
    </row>
    <row r="5036" spans="1:5" x14ac:dyDescent="0.25">
      <c r="A5036" s="83"/>
      <c r="B5036" s="84"/>
      <c r="C5036" s="84"/>
      <c r="D5036" s="116"/>
      <c r="E5036" s="116"/>
    </row>
    <row r="5037" spans="1:5" x14ac:dyDescent="0.25">
      <c r="A5037" s="83"/>
      <c r="B5037" s="84"/>
      <c r="C5037" s="84"/>
      <c r="D5037" s="116"/>
      <c r="E5037" s="116"/>
    </row>
    <row r="5038" spans="1:5" x14ac:dyDescent="0.25">
      <c r="A5038" s="83"/>
      <c r="B5038" s="84"/>
      <c r="C5038" s="84"/>
      <c r="D5038" s="116"/>
      <c r="E5038" s="116"/>
    </row>
    <row r="5039" spans="1:5" x14ac:dyDescent="0.25">
      <c r="A5039" s="83"/>
      <c r="B5039" s="84"/>
      <c r="C5039" s="84"/>
      <c r="D5039" s="116"/>
      <c r="E5039" s="116"/>
    </row>
    <row r="5040" spans="1:5" x14ac:dyDescent="0.25">
      <c r="A5040" s="83"/>
      <c r="B5040" s="84"/>
      <c r="C5040" s="84"/>
      <c r="D5040" s="116"/>
      <c r="E5040" s="116"/>
    </row>
    <row r="5041" spans="1:5" x14ac:dyDescent="0.25">
      <c r="A5041" s="83"/>
      <c r="B5041" s="84"/>
      <c r="C5041" s="84"/>
      <c r="D5041" s="116"/>
      <c r="E5041" s="116"/>
    </row>
    <row r="5042" spans="1:5" x14ac:dyDescent="0.25">
      <c r="A5042" s="83"/>
      <c r="B5042" s="84"/>
      <c r="C5042" s="84"/>
      <c r="D5042" s="116"/>
      <c r="E5042" s="116"/>
    </row>
    <row r="5043" spans="1:5" x14ac:dyDescent="0.25">
      <c r="A5043" s="83"/>
      <c r="B5043" s="84"/>
      <c r="C5043" s="84"/>
      <c r="D5043" s="116"/>
      <c r="E5043" s="116"/>
    </row>
    <row r="5044" spans="1:5" x14ac:dyDescent="0.25">
      <c r="A5044" s="83"/>
      <c r="B5044" s="84"/>
      <c r="C5044" s="84"/>
      <c r="D5044" s="116"/>
      <c r="E5044" s="116"/>
    </row>
    <row r="5045" spans="1:5" x14ac:dyDescent="0.25">
      <c r="A5045" s="83"/>
      <c r="B5045" s="84"/>
      <c r="C5045" s="84"/>
      <c r="D5045" s="116"/>
      <c r="E5045" s="116"/>
    </row>
    <row r="5046" spans="1:5" x14ac:dyDescent="0.25">
      <c r="A5046" s="83"/>
      <c r="B5046" s="84"/>
      <c r="C5046" s="84"/>
      <c r="D5046" s="116"/>
      <c r="E5046" s="116"/>
    </row>
    <row r="5047" spans="1:5" x14ac:dyDescent="0.25">
      <c r="A5047" s="83"/>
      <c r="B5047" s="84"/>
      <c r="C5047" s="84"/>
      <c r="D5047" s="116"/>
      <c r="E5047" s="116"/>
    </row>
    <row r="5048" spans="1:5" x14ac:dyDescent="0.25">
      <c r="A5048" s="83"/>
      <c r="B5048" s="84"/>
      <c r="C5048" s="84"/>
      <c r="D5048" s="116"/>
      <c r="E5048" s="116"/>
    </row>
    <row r="5049" spans="1:5" x14ac:dyDescent="0.25">
      <c r="A5049" s="83"/>
      <c r="B5049" s="84"/>
      <c r="C5049" s="84"/>
      <c r="D5049" s="116"/>
      <c r="E5049" s="116"/>
    </row>
    <row r="5050" spans="1:5" x14ac:dyDescent="0.25">
      <c r="A5050" s="83"/>
      <c r="B5050" s="84"/>
      <c r="C5050" s="84"/>
      <c r="D5050" s="116"/>
      <c r="E5050" s="116"/>
    </row>
    <row r="5051" spans="1:5" x14ac:dyDescent="0.25">
      <c r="A5051" s="83"/>
      <c r="B5051" s="84"/>
      <c r="C5051" s="84"/>
      <c r="D5051" s="116"/>
      <c r="E5051" s="116"/>
    </row>
    <row r="5052" spans="1:5" x14ac:dyDescent="0.25">
      <c r="A5052" s="83"/>
      <c r="B5052" s="84"/>
      <c r="C5052" s="84"/>
      <c r="D5052" s="116"/>
      <c r="E5052" s="116"/>
    </row>
    <row r="5053" spans="1:5" x14ac:dyDescent="0.25">
      <c r="A5053" s="83"/>
      <c r="B5053" s="84"/>
      <c r="C5053" s="84"/>
      <c r="D5053" s="116"/>
      <c r="E5053" s="116"/>
    </row>
    <row r="5054" spans="1:5" x14ac:dyDescent="0.25">
      <c r="A5054" s="83"/>
      <c r="B5054" s="84"/>
      <c r="C5054" s="84"/>
      <c r="D5054" s="116"/>
      <c r="E5054" s="116"/>
    </row>
    <row r="5055" spans="1:5" x14ac:dyDescent="0.25">
      <c r="A5055" s="83"/>
      <c r="B5055" s="84"/>
      <c r="C5055" s="84"/>
      <c r="D5055" s="116"/>
      <c r="E5055" s="116"/>
    </row>
    <row r="5056" spans="1:5" x14ac:dyDescent="0.25">
      <c r="A5056" s="83"/>
      <c r="B5056" s="84"/>
      <c r="C5056" s="84"/>
      <c r="D5056" s="116"/>
      <c r="E5056" s="116"/>
    </row>
    <row r="5057" spans="1:5" x14ac:dyDescent="0.25">
      <c r="A5057" s="83"/>
      <c r="B5057" s="84"/>
      <c r="C5057" s="84"/>
      <c r="D5057" s="116"/>
      <c r="E5057" s="116"/>
    </row>
    <row r="5058" spans="1:5" x14ac:dyDescent="0.25">
      <c r="A5058" s="83"/>
      <c r="B5058" s="84"/>
      <c r="C5058" s="84"/>
      <c r="D5058" s="116"/>
      <c r="E5058" s="116"/>
    </row>
    <row r="5059" spans="1:5" x14ac:dyDescent="0.25">
      <c r="A5059" s="83"/>
      <c r="B5059" s="84"/>
      <c r="C5059" s="84"/>
      <c r="D5059" s="116"/>
      <c r="E5059" s="116"/>
    </row>
    <row r="5060" spans="1:5" x14ac:dyDescent="0.25">
      <c r="A5060" s="83"/>
      <c r="B5060" s="84"/>
      <c r="C5060" s="84"/>
      <c r="D5060" s="116"/>
      <c r="E5060" s="116"/>
    </row>
    <row r="5061" spans="1:5" x14ac:dyDescent="0.25">
      <c r="A5061" s="83"/>
      <c r="B5061" s="84"/>
      <c r="C5061" s="84"/>
      <c r="D5061" s="116"/>
      <c r="E5061" s="116"/>
    </row>
    <row r="5062" spans="1:5" x14ac:dyDescent="0.25">
      <c r="A5062" s="83"/>
      <c r="B5062" s="84"/>
      <c r="C5062" s="84"/>
      <c r="D5062" s="116"/>
      <c r="E5062" s="116"/>
    </row>
    <row r="5063" spans="1:5" x14ac:dyDescent="0.25">
      <c r="A5063" s="83"/>
      <c r="B5063" s="84"/>
      <c r="C5063" s="84"/>
      <c r="D5063" s="116"/>
      <c r="E5063" s="116"/>
    </row>
    <row r="5064" spans="1:5" x14ac:dyDescent="0.25">
      <c r="A5064" s="83"/>
      <c r="B5064" s="84"/>
      <c r="C5064" s="84"/>
      <c r="D5064" s="116"/>
      <c r="E5064" s="116"/>
    </row>
    <row r="5065" spans="1:5" x14ac:dyDescent="0.25">
      <c r="A5065" s="83"/>
      <c r="B5065" s="84"/>
      <c r="C5065" s="84"/>
      <c r="D5065" s="116"/>
      <c r="E5065" s="116"/>
    </row>
    <row r="5066" spans="1:5" x14ac:dyDescent="0.25">
      <c r="A5066" s="83"/>
      <c r="B5066" s="84"/>
      <c r="C5066" s="84"/>
      <c r="D5066" s="116"/>
      <c r="E5066" s="116"/>
    </row>
    <row r="5067" spans="1:5" x14ac:dyDescent="0.25">
      <c r="A5067" s="83"/>
      <c r="B5067" s="84"/>
      <c r="C5067" s="84"/>
      <c r="D5067" s="116"/>
      <c r="E5067" s="116"/>
    </row>
    <row r="5068" spans="1:5" x14ac:dyDescent="0.25">
      <c r="A5068" s="83"/>
      <c r="B5068" s="84"/>
      <c r="C5068" s="84"/>
      <c r="D5068" s="116"/>
      <c r="E5068" s="116"/>
    </row>
    <row r="5069" spans="1:5" x14ac:dyDescent="0.25">
      <c r="A5069" s="83"/>
      <c r="B5069" s="84"/>
      <c r="C5069" s="84"/>
      <c r="D5069" s="116"/>
      <c r="E5069" s="116"/>
    </row>
    <row r="5070" spans="1:5" x14ac:dyDescent="0.25">
      <c r="A5070" s="83"/>
      <c r="B5070" s="84"/>
      <c r="C5070" s="84"/>
      <c r="D5070" s="116"/>
      <c r="E5070" s="116"/>
    </row>
    <row r="5071" spans="1:5" x14ac:dyDescent="0.25">
      <c r="A5071" s="83"/>
      <c r="B5071" s="84"/>
      <c r="C5071" s="84"/>
      <c r="D5071" s="116"/>
      <c r="E5071" s="116"/>
    </row>
    <row r="5072" spans="1:5" x14ac:dyDescent="0.25">
      <c r="A5072" s="83"/>
      <c r="B5072" s="84"/>
      <c r="C5072" s="84"/>
      <c r="D5072" s="116"/>
      <c r="E5072" s="116"/>
    </row>
    <row r="5073" spans="1:5" x14ac:dyDescent="0.25">
      <c r="A5073" s="83"/>
      <c r="B5073" s="84"/>
      <c r="C5073" s="84"/>
      <c r="D5073" s="116"/>
      <c r="E5073" s="116"/>
    </row>
    <row r="5074" spans="1:5" x14ac:dyDescent="0.25">
      <c r="A5074" s="83"/>
      <c r="B5074" s="84"/>
      <c r="C5074" s="84"/>
      <c r="D5074" s="116"/>
      <c r="E5074" s="116"/>
    </row>
    <row r="5075" spans="1:5" x14ac:dyDescent="0.25">
      <c r="A5075" s="83"/>
      <c r="B5075" s="84"/>
      <c r="C5075" s="84"/>
      <c r="D5075" s="116"/>
      <c r="E5075" s="116"/>
    </row>
    <row r="5076" spans="1:5" x14ac:dyDescent="0.25">
      <c r="A5076" s="83"/>
      <c r="B5076" s="84"/>
      <c r="C5076" s="84"/>
      <c r="D5076" s="116"/>
      <c r="E5076" s="116"/>
    </row>
    <row r="5077" spans="1:5" x14ac:dyDescent="0.25">
      <c r="A5077" s="83"/>
      <c r="B5077" s="84"/>
      <c r="C5077" s="84"/>
      <c r="D5077" s="116"/>
      <c r="E5077" s="116"/>
    </row>
    <row r="5078" spans="1:5" x14ac:dyDescent="0.25">
      <c r="A5078" s="83"/>
      <c r="B5078" s="84"/>
      <c r="C5078" s="84"/>
      <c r="D5078" s="116"/>
      <c r="E5078" s="116"/>
    </row>
    <row r="5079" spans="1:5" x14ac:dyDescent="0.25">
      <c r="A5079" s="83"/>
      <c r="B5079" s="84"/>
      <c r="C5079" s="84"/>
      <c r="D5079" s="116"/>
      <c r="E5079" s="116"/>
    </row>
    <row r="5080" spans="1:5" x14ac:dyDescent="0.25">
      <c r="A5080" s="83"/>
      <c r="B5080" s="84"/>
      <c r="C5080" s="84"/>
      <c r="D5080" s="116"/>
      <c r="E5080" s="116"/>
    </row>
    <row r="5081" spans="1:5" x14ac:dyDescent="0.25">
      <c r="A5081" s="83"/>
      <c r="B5081" s="84"/>
      <c r="C5081" s="84"/>
      <c r="D5081" s="116"/>
      <c r="E5081" s="116"/>
    </row>
    <row r="5082" spans="1:5" x14ac:dyDescent="0.25">
      <c r="A5082" s="83"/>
      <c r="B5082" s="84"/>
      <c r="C5082" s="84"/>
      <c r="D5082" s="116"/>
      <c r="E5082" s="116"/>
    </row>
    <row r="5083" spans="1:5" x14ac:dyDescent="0.25">
      <c r="A5083" s="83"/>
      <c r="B5083" s="84"/>
      <c r="C5083" s="84"/>
      <c r="D5083" s="116"/>
      <c r="E5083" s="116"/>
    </row>
    <row r="5084" spans="1:5" x14ac:dyDescent="0.25">
      <c r="A5084" s="83"/>
      <c r="B5084" s="84"/>
      <c r="C5084" s="84"/>
      <c r="D5084" s="116"/>
      <c r="E5084" s="116"/>
    </row>
    <row r="5085" spans="1:5" x14ac:dyDescent="0.25">
      <c r="A5085" s="83"/>
      <c r="B5085" s="84"/>
      <c r="C5085" s="84"/>
      <c r="D5085" s="116"/>
      <c r="E5085" s="116"/>
    </row>
    <row r="5086" spans="1:5" x14ac:dyDescent="0.25">
      <c r="A5086" s="83"/>
      <c r="B5086" s="84"/>
      <c r="C5086" s="84"/>
      <c r="D5086" s="116"/>
      <c r="E5086" s="116"/>
    </row>
    <row r="5087" spans="1:5" x14ac:dyDescent="0.25">
      <c r="A5087" s="83"/>
      <c r="B5087" s="84"/>
      <c r="C5087" s="84"/>
      <c r="D5087" s="116"/>
      <c r="E5087" s="116"/>
    </row>
    <row r="5088" spans="1:5" x14ac:dyDescent="0.25">
      <c r="A5088" s="83"/>
      <c r="B5088" s="84"/>
      <c r="C5088" s="84"/>
      <c r="D5088" s="116"/>
      <c r="E5088" s="116"/>
    </row>
    <row r="5089" spans="1:5" x14ac:dyDescent="0.25">
      <c r="A5089" s="83"/>
      <c r="B5089" s="84"/>
      <c r="C5089" s="84"/>
      <c r="D5089" s="116"/>
      <c r="E5089" s="116"/>
    </row>
    <row r="5090" spans="1:5" x14ac:dyDescent="0.25">
      <c r="A5090" s="83"/>
      <c r="B5090" s="84"/>
      <c r="C5090" s="84"/>
      <c r="D5090" s="116"/>
      <c r="E5090" s="116"/>
    </row>
    <row r="5091" spans="1:5" x14ac:dyDescent="0.25">
      <c r="A5091" s="83"/>
      <c r="B5091" s="84"/>
      <c r="C5091" s="84"/>
      <c r="D5091" s="116"/>
      <c r="E5091" s="116"/>
    </row>
    <row r="5092" spans="1:5" x14ac:dyDescent="0.25">
      <c r="A5092" s="83"/>
      <c r="B5092" s="84"/>
      <c r="C5092" s="84"/>
      <c r="D5092" s="116"/>
      <c r="E5092" s="116"/>
    </row>
    <row r="5093" spans="1:5" x14ac:dyDescent="0.25">
      <c r="A5093" s="83"/>
      <c r="B5093" s="84"/>
      <c r="C5093" s="84"/>
      <c r="D5093" s="116"/>
      <c r="E5093" s="116"/>
    </row>
    <row r="5094" spans="1:5" x14ac:dyDescent="0.25">
      <c r="A5094" s="83"/>
      <c r="B5094" s="84"/>
      <c r="C5094" s="84"/>
      <c r="D5094" s="116"/>
      <c r="E5094" s="116"/>
    </row>
    <row r="5095" spans="1:5" x14ac:dyDescent="0.25">
      <c r="A5095" s="83"/>
      <c r="B5095" s="84"/>
      <c r="C5095" s="84"/>
      <c r="D5095" s="116"/>
      <c r="E5095" s="116"/>
    </row>
    <row r="5096" spans="1:5" x14ac:dyDescent="0.25">
      <c r="A5096" s="83"/>
      <c r="B5096" s="84"/>
      <c r="C5096" s="84"/>
      <c r="D5096" s="116"/>
      <c r="E5096" s="116"/>
    </row>
    <row r="5097" spans="1:5" x14ac:dyDescent="0.25">
      <c r="A5097" s="83"/>
      <c r="B5097" s="84"/>
      <c r="C5097" s="84"/>
      <c r="D5097" s="116"/>
      <c r="E5097" s="116"/>
    </row>
    <row r="5098" spans="1:5" x14ac:dyDescent="0.25">
      <c r="A5098" s="83"/>
      <c r="B5098" s="84"/>
      <c r="C5098" s="84"/>
      <c r="D5098" s="116"/>
      <c r="E5098" s="116"/>
    </row>
    <row r="5099" spans="1:5" x14ac:dyDescent="0.25">
      <c r="A5099" s="83"/>
      <c r="B5099" s="84"/>
      <c r="C5099" s="84"/>
      <c r="D5099" s="116"/>
      <c r="E5099" s="116"/>
    </row>
    <row r="5100" spans="1:5" x14ac:dyDescent="0.25">
      <c r="A5100" s="83"/>
      <c r="B5100" s="84"/>
      <c r="C5100" s="84"/>
      <c r="D5100" s="116"/>
      <c r="E5100" s="116"/>
    </row>
    <row r="5101" spans="1:5" x14ac:dyDescent="0.25">
      <c r="A5101" s="83"/>
      <c r="B5101" s="84"/>
      <c r="C5101" s="84"/>
      <c r="D5101" s="116"/>
      <c r="E5101" s="116"/>
    </row>
    <row r="5102" spans="1:5" x14ac:dyDescent="0.25">
      <c r="A5102" s="83"/>
      <c r="B5102" s="84"/>
      <c r="C5102" s="84"/>
      <c r="D5102" s="116"/>
      <c r="E5102" s="116"/>
    </row>
    <row r="5103" spans="1:5" x14ac:dyDescent="0.25">
      <c r="A5103" s="83"/>
      <c r="B5103" s="84"/>
      <c r="C5103" s="84"/>
      <c r="D5103" s="116"/>
      <c r="E5103" s="116"/>
    </row>
    <row r="5104" spans="1:5" x14ac:dyDescent="0.25">
      <c r="A5104" s="83"/>
      <c r="B5104" s="84"/>
      <c r="C5104" s="84"/>
      <c r="D5104" s="116"/>
      <c r="E5104" s="116"/>
    </row>
    <row r="5105" spans="1:5" x14ac:dyDescent="0.25">
      <c r="A5105" s="83"/>
      <c r="B5105" s="84"/>
      <c r="C5105" s="84"/>
      <c r="D5105" s="116"/>
      <c r="E5105" s="116"/>
    </row>
    <row r="5106" spans="1:5" x14ac:dyDescent="0.25">
      <c r="A5106" s="83"/>
      <c r="B5106" s="84"/>
      <c r="C5106" s="84"/>
      <c r="D5106" s="116"/>
      <c r="E5106" s="116"/>
    </row>
    <row r="5107" spans="1:5" x14ac:dyDescent="0.25">
      <c r="A5107" s="83"/>
      <c r="B5107" s="84"/>
      <c r="C5107" s="84"/>
      <c r="D5107" s="116"/>
      <c r="E5107" s="116"/>
    </row>
    <row r="5108" spans="1:5" x14ac:dyDescent="0.25">
      <c r="A5108" s="83"/>
      <c r="B5108" s="84"/>
      <c r="C5108" s="84"/>
      <c r="D5108" s="116"/>
      <c r="E5108" s="116"/>
    </row>
    <row r="5109" spans="1:5" x14ac:dyDescent="0.25">
      <c r="A5109" s="83"/>
      <c r="B5109" s="84"/>
      <c r="C5109" s="84"/>
      <c r="D5109" s="116"/>
      <c r="E5109" s="116"/>
    </row>
    <row r="5110" spans="1:5" x14ac:dyDescent="0.25">
      <c r="A5110" s="83"/>
      <c r="B5110" s="84"/>
      <c r="C5110" s="84"/>
      <c r="D5110" s="116"/>
      <c r="E5110" s="116"/>
    </row>
    <row r="5111" spans="1:5" x14ac:dyDescent="0.25">
      <c r="A5111" s="83"/>
      <c r="B5111" s="84"/>
      <c r="C5111" s="84"/>
      <c r="D5111" s="116"/>
      <c r="E5111" s="116"/>
    </row>
    <row r="5112" spans="1:5" x14ac:dyDescent="0.25">
      <c r="A5112" s="83"/>
      <c r="B5112" s="84"/>
      <c r="C5112" s="84"/>
      <c r="D5112" s="116"/>
      <c r="E5112" s="116"/>
    </row>
    <row r="5113" spans="1:5" x14ac:dyDescent="0.25">
      <c r="A5113" s="83"/>
      <c r="B5113" s="84"/>
      <c r="C5113" s="84"/>
      <c r="D5113" s="116"/>
      <c r="E5113" s="116"/>
    </row>
    <row r="5114" spans="1:5" x14ac:dyDescent="0.25">
      <c r="A5114" s="83"/>
      <c r="B5114" s="84"/>
      <c r="C5114" s="84"/>
      <c r="D5114" s="116"/>
      <c r="E5114" s="116"/>
    </row>
    <row r="5115" spans="1:5" x14ac:dyDescent="0.25">
      <c r="A5115" s="83"/>
      <c r="B5115" s="84"/>
      <c r="C5115" s="84"/>
      <c r="D5115" s="116"/>
      <c r="E5115" s="116"/>
    </row>
    <row r="5116" spans="1:5" x14ac:dyDescent="0.25">
      <c r="A5116" s="83"/>
      <c r="B5116" s="84"/>
      <c r="C5116" s="84"/>
      <c r="D5116" s="116"/>
      <c r="E5116" s="116"/>
    </row>
    <row r="5117" spans="1:5" x14ac:dyDescent="0.25">
      <c r="A5117" s="83"/>
      <c r="B5117" s="84"/>
      <c r="C5117" s="84"/>
      <c r="D5117" s="116"/>
      <c r="E5117" s="116"/>
    </row>
    <row r="5118" spans="1:5" x14ac:dyDescent="0.25">
      <c r="A5118" s="83"/>
      <c r="B5118" s="84"/>
      <c r="C5118" s="84"/>
      <c r="D5118" s="116"/>
      <c r="E5118" s="116"/>
    </row>
    <row r="5119" spans="1:5" x14ac:dyDescent="0.25">
      <c r="A5119" s="83"/>
      <c r="B5119" s="84"/>
      <c r="C5119" s="84"/>
      <c r="D5119" s="116"/>
      <c r="E5119" s="116"/>
    </row>
    <row r="5120" spans="1:5" x14ac:dyDescent="0.25">
      <c r="A5120" s="83"/>
      <c r="B5120" s="84"/>
      <c r="C5120" s="84"/>
      <c r="D5120" s="116"/>
      <c r="E5120" s="116"/>
    </row>
    <row r="5121" spans="1:5" x14ac:dyDescent="0.25">
      <c r="A5121" s="83"/>
      <c r="B5121" s="84"/>
      <c r="C5121" s="84"/>
      <c r="D5121" s="116"/>
      <c r="E5121" s="116"/>
    </row>
    <row r="5122" spans="1:5" x14ac:dyDescent="0.25">
      <c r="A5122" s="83"/>
      <c r="B5122" s="84"/>
      <c r="C5122" s="84"/>
      <c r="D5122" s="116"/>
      <c r="E5122" s="116"/>
    </row>
    <row r="5123" spans="1:5" x14ac:dyDescent="0.25">
      <c r="A5123" s="83"/>
      <c r="B5123" s="84"/>
      <c r="C5123" s="84"/>
      <c r="D5123" s="116"/>
      <c r="E5123" s="116"/>
    </row>
    <row r="5124" spans="1:5" x14ac:dyDescent="0.25">
      <c r="A5124" s="83"/>
      <c r="B5124" s="84"/>
      <c r="C5124" s="84"/>
      <c r="D5124" s="116"/>
      <c r="E5124" s="116"/>
    </row>
    <row r="5125" spans="1:5" x14ac:dyDescent="0.25">
      <c r="A5125" s="83"/>
      <c r="B5125" s="84"/>
      <c r="C5125" s="84"/>
      <c r="D5125" s="116"/>
      <c r="E5125" s="116"/>
    </row>
    <row r="5126" spans="1:5" x14ac:dyDescent="0.25">
      <c r="A5126" s="83"/>
      <c r="B5126" s="84"/>
      <c r="C5126" s="84"/>
      <c r="D5126" s="116"/>
      <c r="E5126" s="116"/>
    </row>
    <row r="5127" spans="1:5" x14ac:dyDescent="0.25">
      <c r="A5127" s="83"/>
      <c r="B5127" s="84"/>
      <c r="C5127" s="84"/>
      <c r="D5127" s="116"/>
      <c r="E5127" s="116"/>
    </row>
    <row r="5128" spans="1:5" x14ac:dyDescent="0.25">
      <c r="A5128" s="83"/>
      <c r="B5128" s="84"/>
      <c r="C5128" s="84"/>
      <c r="D5128" s="116"/>
      <c r="E5128" s="116"/>
    </row>
    <row r="5129" spans="1:5" x14ac:dyDescent="0.25">
      <c r="A5129" s="83"/>
      <c r="B5129" s="84"/>
      <c r="C5129" s="84"/>
      <c r="D5129" s="116"/>
      <c r="E5129" s="116"/>
    </row>
    <row r="5130" spans="1:5" x14ac:dyDescent="0.25">
      <c r="A5130" s="83"/>
      <c r="B5130" s="84"/>
      <c r="C5130" s="84"/>
      <c r="D5130" s="116"/>
      <c r="E5130" s="116"/>
    </row>
    <row r="5131" spans="1:5" x14ac:dyDescent="0.25">
      <c r="A5131" s="83"/>
      <c r="B5131" s="84"/>
      <c r="C5131" s="84"/>
      <c r="D5131" s="116"/>
      <c r="E5131" s="116"/>
    </row>
    <row r="5132" spans="1:5" x14ac:dyDescent="0.25">
      <c r="A5132" s="83"/>
      <c r="B5132" s="84"/>
      <c r="C5132" s="84"/>
      <c r="D5132" s="116"/>
      <c r="E5132" s="116"/>
    </row>
    <row r="5133" spans="1:5" x14ac:dyDescent="0.25">
      <c r="A5133" s="83"/>
      <c r="B5133" s="84"/>
      <c r="C5133" s="84"/>
      <c r="D5133" s="116"/>
      <c r="E5133" s="116"/>
    </row>
    <row r="5134" spans="1:5" x14ac:dyDescent="0.25">
      <c r="A5134" s="83"/>
      <c r="B5134" s="84"/>
      <c r="C5134" s="84"/>
      <c r="D5134" s="116"/>
      <c r="E5134" s="116"/>
    </row>
    <row r="5135" spans="1:5" x14ac:dyDescent="0.25">
      <c r="A5135" s="83"/>
      <c r="B5135" s="84"/>
      <c r="C5135" s="84"/>
      <c r="D5135" s="116"/>
      <c r="E5135" s="116"/>
    </row>
    <row r="5136" spans="1:5" x14ac:dyDescent="0.25">
      <c r="A5136" s="83"/>
      <c r="B5136" s="84"/>
      <c r="C5136" s="84"/>
      <c r="D5136" s="116"/>
      <c r="E5136" s="116"/>
    </row>
    <row r="5137" spans="1:5" x14ac:dyDescent="0.25">
      <c r="A5137" s="83"/>
      <c r="B5137" s="84"/>
      <c r="C5137" s="84"/>
      <c r="D5137" s="116"/>
      <c r="E5137" s="116"/>
    </row>
    <row r="5138" spans="1:5" x14ac:dyDescent="0.25">
      <c r="A5138" s="83"/>
      <c r="B5138" s="84"/>
      <c r="C5138" s="84"/>
      <c r="D5138" s="116"/>
      <c r="E5138" s="116"/>
    </row>
    <row r="5139" spans="1:5" x14ac:dyDescent="0.25">
      <c r="A5139" s="83"/>
      <c r="B5139" s="84"/>
      <c r="C5139" s="84"/>
      <c r="D5139" s="116"/>
      <c r="E5139" s="116"/>
    </row>
    <row r="5140" spans="1:5" x14ac:dyDescent="0.25">
      <c r="A5140" s="83"/>
      <c r="B5140" s="84"/>
      <c r="C5140" s="84"/>
      <c r="D5140" s="116"/>
      <c r="E5140" s="116"/>
    </row>
    <row r="5141" spans="1:5" x14ac:dyDescent="0.25">
      <c r="A5141" s="83"/>
      <c r="B5141" s="84"/>
      <c r="C5141" s="84"/>
      <c r="D5141" s="116"/>
      <c r="E5141" s="116"/>
    </row>
    <row r="5142" spans="1:5" x14ac:dyDescent="0.25">
      <c r="A5142" s="83"/>
      <c r="B5142" s="84"/>
      <c r="C5142" s="84"/>
      <c r="D5142" s="116"/>
      <c r="E5142" s="116"/>
    </row>
    <row r="5143" spans="1:5" x14ac:dyDescent="0.25">
      <c r="A5143" s="83"/>
      <c r="B5143" s="84"/>
      <c r="C5143" s="84"/>
      <c r="D5143" s="116"/>
      <c r="E5143" s="116"/>
    </row>
    <row r="5144" spans="1:5" x14ac:dyDescent="0.25">
      <c r="A5144" s="83"/>
      <c r="B5144" s="84"/>
      <c r="C5144" s="84"/>
      <c r="D5144" s="116"/>
      <c r="E5144" s="116"/>
    </row>
    <row r="5145" spans="1:5" x14ac:dyDescent="0.25">
      <c r="A5145" s="83"/>
      <c r="B5145" s="84"/>
      <c r="C5145" s="84"/>
      <c r="D5145" s="116"/>
      <c r="E5145" s="116"/>
    </row>
    <row r="5146" spans="1:5" x14ac:dyDescent="0.25">
      <c r="A5146" s="83"/>
      <c r="B5146" s="84"/>
      <c r="C5146" s="84"/>
      <c r="D5146" s="116"/>
      <c r="E5146" s="116"/>
    </row>
    <row r="5147" spans="1:5" x14ac:dyDescent="0.25">
      <c r="A5147" s="83"/>
      <c r="B5147" s="84"/>
      <c r="C5147" s="84"/>
      <c r="D5147" s="116"/>
      <c r="E5147" s="116"/>
    </row>
    <row r="5148" spans="1:5" x14ac:dyDescent="0.25">
      <c r="A5148" s="83"/>
      <c r="B5148" s="84"/>
      <c r="C5148" s="84"/>
      <c r="D5148" s="116"/>
      <c r="E5148" s="116"/>
    </row>
    <row r="5149" spans="1:5" x14ac:dyDescent="0.25">
      <c r="A5149" s="83"/>
      <c r="B5149" s="84"/>
      <c r="C5149" s="84"/>
      <c r="D5149" s="116"/>
      <c r="E5149" s="116"/>
    </row>
    <row r="5150" spans="1:5" x14ac:dyDescent="0.25">
      <c r="A5150" s="83"/>
      <c r="B5150" s="84"/>
      <c r="C5150" s="84"/>
      <c r="D5150" s="116"/>
      <c r="E5150" s="116"/>
    </row>
    <row r="5151" spans="1:5" x14ac:dyDescent="0.25">
      <c r="A5151" s="83"/>
      <c r="B5151" s="84"/>
      <c r="C5151" s="84"/>
      <c r="D5151" s="116"/>
      <c r="E5151" s="116"/>
    </row>
    <row r="5152" spans="1:5" x14ac:dyDescent="0.25">
      <c r="A5152" s="83"/>
      <c r="B5152" s="84"/>
      <c r="C5152" s="84"/>
      <c r="D5152" s="116"/>
      <c r="E5152" s="116"/>
    </row>
    <row r="5153" spans="1:5" x14ac:dyDescent="0.25">
      <c r="A5153" s="83"/>
      <c r="B5153" s="84"/>
      <c r="C5153" s="84"/>
      <c r="D5153" s="116"/>
      <c r="E5153" s="116"/>
    </row>
    <row r="5154" spans="1:5" x14ac:dyDescent="0.25">
      <c r="A5154" s="83"/>
      <c r="B5154" s="84"/>
      <c r="C5154" s="84"/>
      <c r="D5154" s="116"/>
      <c r="E5154" s="116"/>
    </row>
    <row r="5155" spans="1:5" x14ac:dyDescent="0.25">
      <c r="A5155" s="83"/>
      <c r="B5155" s="84"/>
      <c r="C5155" s="84"/>
      <c r="D5155" s="116"/>
      <c r="E5155" s="116"/>
    </row>
    <row r="5156" spans="1:5" x14ac:dyDescent="0.25">
      <c r="A5156" s="83"/>
      <c r="B5156" s="84"/>
      <c r="C5156" s="84"/>
      <c r="D5156" s="116"/>
      <c r="E5156" s="116"/>
    </row>
    <row r="5157" spans="1:5" x14ac:dyDescent="0.25">
      <c r="A5157" s="83"/>
      <c r="B5157" s="84"/>
      <c r="C5157" s="84"/>
      <c r="D5157" s="116"/>
      <c r="E5157" s="116"/>
    </row>
    <row r="5158" spans="1:5" x14ac:dyDescent="0.25">
      <c r="A5158" s="83"/>
      <c r="B5158" s="84"/>
      <c r="C5158" s="84"/>
      <c r="D5158" s="116"/>
      <c r="E5158" s="116"/>
    </row>
    <row r="5159" spans="1:5" x14ac:dyDescent="0.25">
      <c r="A5159" s="83"/>
      <c r="B5159" s="84"/>
      <c r="C5159" s="84"/>
      <c r="D5159" s="116"/>
      <c r="E5159" s="116"/>
    </row>
    <row r="5160" spans="1:5" x14ac:dyDescent="0.25">
      <c r="A5160" s="83"/>
      <c r="B5160" s="84"/>
      <c r="C5160" s="84"/>
      <c r="D5160" s="116"/>
      <c r="E5160" s="116"/>
    </row>
    <row r="5161" spans="1:5" x14ac:dyDescent="0.25">
      <c r="A5161" s="83"/>
      <c r="B5161" s="84"/>
      <c r="C5161" s="84"/>
      <c r="D5161" s="116"/>
      <c r="E5161" s="116"/>
    </row>
    <row r="5162" spans="1:5" x14ac:dyDescent="0.25">
      <c r="A5162" s="83"/>
      <c r="B5162" s="84"/>
      <c r="C5162" s="84"/>
      <c r="D5162" s="116"/>
      <c r="E5162" s="116"/>
    </row>
    <row r="5163" spans="1:5" x14ac:dyDescent="0.25">
      <c r="A5163" s="83"/>
      <c r="B5163" s="84"/>
      <c r="C5163" s="84"/>
      <c r="D5163" s="116"/>
      <c r="E5163" s="116"/>
    </row>
    <row r="5164" spans="1:5" x14ac:dyDescent="0.25">
      <c r="A5164" s="83"/>
      <c r="B5164" s="84"/>
      <c r="C5164" s="84"/>
      <c r="D5164" s="116"/>
      <c r="E5164" s="116"/>
    </row>
    <row r="5165" spans="1:5" x14ac:dyDescent="0.25">
      <c r="A5165" s="83"/>
      <c r="B5165" s="84"/>
      <c r="C5165" s="84"/>
      <c r="D5165" s="116"/>
      <c r="E5165" s="116"/>
    </row>
    <row r="5166" spans="1:5" x14ac:dyDescent="0.25">
      <c r="A5166" s="83"/>
      <c r="B5166" s="84"/>
      <c r="C5166" s="84"/>
      <c r="D5166" s="116"/>
      <c r="E5166" s="116"/>
    </row>
    <row r="5167" spans="1:5" x14ac:dyDescent="0.25">
      <c r="A5167" s="83"/>
      <c r="B5167" s="84"/>
      <c r="C5167" s="84"/>
      <c r="D5167" s="116"/>
      <c r="E5167" s="116"/>
    </row>
    <row r="5168" spans="1:5" x14ac:dyDescent="0.25">
      <c r="A5168" s="83"/>
      <c r="B5168" s="84"/>
      <c r="C5168" s="84"/>
      <c r="D5168" s="116"/>
      <c r="E5168" s="116"/>
    </row>
    <row r="5169" spans="1:5" x14ac:dyDescent="0.25">
      <c r="A5169" s="83"/>
      <c r="B5169" s="84"/>
      <c r="C5169" s="84"/>
      <c r="D5169" s="116"/>
      <c r="E5169" s="116"/>
    </row>
    <row r="5170" spans="1:5" x14ac:dyDescent="0.25">
      <c r="A5170" s="83"/>
      <c r="B5170" s="84"/>
      <c r="C5170" s="84"/>
      <c r="D5170" s="116"/>
      <c r="E5170" s="116"/>
    </row>
    <row r="5171" spans="1:5" x14ac:dyDescent="0.25">
      <c r="A5171" s="83"/>
      <c r="B5171" s="84"/>
      <c r="C5171" s="84"/>
      <c r="D5171" s="116"/>
      <c r="E5171" s="116"/>
    </row>
    <row r="5172" spans="1:5" x14ac:dyDescent="0.25">
      <c r="A5172" s="83"/>
      <c r="B5172" s="84"/>
      <c r="C5172" s="84"/>
      <c r="D5172" s="116"/>
      <c r="E5172" s="116"/>
    </row>
    <row r="5173" spans="1:5" x14ac:dyDescent="0.25">
      <c r="A5173" s="83"/>
      <c r="B5173" s="84"/>
      <c r="C5173" s="84"/>
      <c r="D5173" s="116"/>
      <c r="E5173" s="116"/>
    </row>
    <row r="5174" spans="1:5" x14ac:dyDescent="0.25">
      <c r="A5174" s="83"/>
      <c r="B5174" s="84"/>
      <c r="C5174" s="84"/>
      <c r="D5174" s="116"/>
      <c r="E5174" s="116"/>
    </row>
    <row r="5175" spans="1:5" x14ac:dyDescent="0.25">
      <c r="A5175" s="83"/>
      <c r="B5175" s="84"/>
      <c r="C5175" s="84"/>
      <c r="D5175" s="116"/>
      <c r="E5175" s="116"/>
    </row>
    <row r="5176" spans="1:5" x14ac:dyDescent="0.25">
      <c r="A5176" s="83"/>
      <c r="B5176" s="84"/>
      <c r="C5176" s="84"/>
      <c r="D5176" s="116"/>
      <c r="E5176" s="116"/>
    </row>
    <row r="5177" spans="1:5" x14ac:dyDescent="0.25">
      <c r="A5177" s="83"/>
      <c r="B5177" s="84"/>
      <c r="C5177" s="84"/>
      <c r="D5177" s="116"/>
      <c r="E5177" s="116"/>
    </row>
    <row r="5178" spans="1:5" x14ac:dyDescent="0.25">
      <c r="A5178" s="83"/>
      <c r="B5178" s="84"/>
      <c r="C5178" s="84"/>
      <c r="D5178" s="116"/>
      <c r="E5178" s="116"/>
    </row>
    <row r="5179" spans="1:5" x14ac:dyDescent="0.25">
      <c r="A5179" s="83"/>
      <c r="B5179" s="84"/>
      <c r="C5179" s="84"/>
      <c r="D5179" s="116"/>
      <c r="E5179" s="116"/>
    </row>
    <row r="5180" spans="1:5" x14ac:dyDescent="0.25">
      <c r="A5180" s="83"/>
      <c r="B5180" s="84"/>
      <c r="C5180" s="84"/>
      <c r="D5180" s="116"/>
      <c r="E5180" s="116"/>
    </row>
    <row r="5181" spans="1:5" x14ac:dyDescent="0.25">
      <c r="A5181" s="83"/>
      <c r="B5181" s="84"/>
      <c r="C5181" s="84"/>
      <c r="D5181" s="116"/>
      <c r="E5181" s="116"/>
    </row>
    <row r="5182" spans="1:5" x14ac:dyDescent="0.25">
      <c r="A5182" s="83"/>
      <c r="B5182" s="84"/>
      <c r="C5182" s="84"/>
      <c r="D5182" s="116"/>
      <c r="E5182" s="116"/>
    </row>
    <row r="5183" spans="1:5" x14ac:dyDescent="0.25">
      <c r="A5183" s="83"/>
      <c r="B5183" s="84"/>
      <c r="C5183" s="84"/>
      <c r="D5183" s="116"/>
      <c r="E5183" s="116"/>
    </row>
    <row r="5184" spans="1:5" x14ac:dyDescent="0.25">
      <c r="A5184" s="83"/>
      <c r="B5184" s="84"/>
      <c r="C5184" s="84"/>
      <c r="D5184" s="116"/>
      <c r="E5184" s="116"/>
    </row>
    <row r="5185" spans="1:5" x14ac:dyDescent="0.25">
      <c r="A5185" s="83"/>
      <c r="B5185" s="84"/>
      <c r="C5185" s="84"/>
      <c r="D5185" s="116"/>
      <c r="E5185" s="116"/>
    </row>
    <row r="5186" spans="1:5" x14ac:dyDescent="0.25">
      <c r="A5186" s="83"/>
      <c r="B5186" s="84"/>
      <c r="C5186" s="84"/>
      <c r="D5186" s="116"/>
      <c r="E5186" s="116"/>
    </row>
    <row r="5187" spans="1:5" x14ac:dyDescent="0.25">
      <c r="A5187" s="83"/>
      <c r="B5187" s="84"/>
      <c r="C5187" s="84"/>
      <c r="D5187" s="116"/>
      <c r="E5187" s="116"/>
    </row>
    <row r="5188" spans="1:5" x14ac:dyDescent="0.25">
      <c r="A5188" s="83"/>
      <c r="B5188" s="84"/>
      <c r="C5188" s="84"/>
      <c r="D5188" s="116"/>
      <c r="E5188" s="116"/>
    </row>
    <row r="5189" spans="1:5" x14ac:dyDescent="0.25">
      <c r="A5189" s="83"/>
      <c r="B5189" s="84"/>
      <c r="C5189" s="84"/>
      <c r="D5189" s="116"/>
      <c r="E5189" s="116"/>
    </row>
    <row r="5190" spans="1:5" x14ac:dyDescent="0.25">
      <c r="A5190" s="83"/>
      <c r="B5190" s="84"/>
      <c r="C5190" s="84"/>
      <c r="D5190" s="116"/>
      <c r="E5190" s="116"/>
    </row>
    <row r="5191" spans="1:5" x14ac:dyDescent="0.25">
      <c r="A5191" s="83"/>
      <c r="B5191" s="84"/>
      <c r="C5191" s="84"/>
      <c r="D5191" s="116"/>
      <c r="E5191" s="116"/>
    </row>
    <row r="5192" spans="1:5" x14ac:dyDescent="0.25">
      <c r="A5192" s="83"/>
      <c r="B5192" s="84"/>
      <c r="C5192" s="84"/>
      <c r="D5192" s="116"/>
      <c r="E5192" s="116"/>
    </row>
    <row r="5193" spans="1:5" x14ac:dyDescent="0.25">
      <c r="A5193" s="83"/>
      <c r="B5193" s="84"/>
      <c r="C5193" s="84"/>
      <c r="D5193" s="116"/>
      <c r="E5193" s="116"/>
    </row>
    <row r="5194" spans="1:5" x14ac:dyDescent="0.25">
      <c r="A5194" s="83"/>
      <c r="B5194" s="84"/>
      <c r="C5194" s="84"/>
      <c r="D5194" s="116"/>
      <c r="E5194" s="116"/>
    </row>
    <row r="5195" spans="1:5" x14ac:dyDescent="0.25">
      <c r="A5195" s="83"/>
      <c r="B5195" s="84"/>
      <c r="C5195" s="84"/>
      <c r="D5195" s="116"/>
      <c r="E5195" s="116"/>
    </row>
    <row r="5196" spans="1:5" x14ac:dyDescent="0.25">
      <c r="A5196" s="83"/>
      <c r="B5196" s="84"/>
      <c r="C5196" s="84"/>
      <c r="D5196" s="116"/>
      <c r="E5196" s="116"/>
    </row>
    <row r="5197" spans="1:5" x14ac:dyDescent="0.25">
      <c r="A5197" s="83"/>
      <c r="B5197" s="84"/>
      <c r="C5197" s="84"/>
      <c r="D5197" s="116"/>
      <c r="E5197" s="116"/>
    </row>
    <row r="5198" spans="1:5" x14ac:dyDescent="0.25">
      <c r="A5198" s="83"/>
      <c r="B5198" s="84"/>
      <c r="C5198" s="84"/>
      <c r="D5198" s="116"/>
      <c r="E5198" s="116"/>
    </row>
    <row r="5199" spans="1:5" x14ac:dyDescent="0.25">
      <c r="A5199" s="83"/>
      <c r="B5199" s="84"/>
      <c r="C5199" s="84"/>
      <c r="D5199" s="116"/>
      <c r="E5199" s="116"/>
    </row>
    <row r="5200" spans="1:5" x14ac:dyDescent="0.25">
      <c r="A5200" s="83"/>
      <c r="B5200" s="84"/>
      <c r="C5200" s="84"/>
      <c r="D5200" s="116"/>
      <c r="E5200" s="116"/>
    </row>
    <row r="5201" spans="1:5" x14ac:dyDescent="0.25">
      <c r="A5201" s="83"/>
      <c r="B5201" s="84"/>
      <c r="C5201" s="84"/>
      <c r="D5201" s="116"/>
      <c r="E5201" s="116"/>
    </row>
    <row r="5202" spans="1:5" x14ac:dyDescent="0.25">
      <c r="A5202" s="83"/>
      <c r="B5202" s="84"/>
      <c r="C5202" s="84"/>
      <c r="D5202" s="116"/>
      <c r="E5202" s="116"/>
    </row>
    <row r="5203" spans="1:5" x14ac:dyDescent="0.25">
      <c r="A5203" s="83"/>
      <c r="B5203" s="84"/>
      <c r="C5203" s="84"/>
      <c r="D5203" s="116"/>
      <c r="E5203" s="116"/>
    </row>
    <row r="5204" spans="1:5" x14ac:dyDescent="0.25">
      <c r="A5204" s="83"/>
      <c r="B5204" s="84"/>
      <c r="C5204" s="84"/>
      <c r="D5204" s="116"/>
      <c r="E5204" s="116"/>
    </row>
    <row r="5205" spans="1:5" x14ac:dyDescent="0.25">
      <c r="A5205" s="83"/>
      <c r="B5205" s="84"/>
      <c r="C5205" s="84"/>
      <c r="D5205" s="116"/>
      <c r="E5205" s="116"/>
    </row>
    <row r="5206" spans="1:5" x14ac:dyDescent="0.25">
      <c r="A5206" s="83"/>
      <c r="B5206" s="84"/>
      <c r="C5206" s="84"/>
      <c r="D5206" s="116"/>
      <c r="E5206" s="116"/>
    </row>
    <row r="5207" spans="1:5" x14ac:dyDescent="0.25">
      <c r="A5207" s="83"/>
      <c r="B5207" s="84"/>
      <c r="C5207" s="84"/>
      <c r="D5207" s="116"/>
      <c r="E5207" s="116"/>
    </row>
    <row r="5208" spans="1:5" x14ac:dyDescent="0.25">
      <c r="A5208" s="83"/>
      <c r="B5208" s="84"/>
      <c r="C5208" s="84"/>
      <c r="D5208" s="116"/>
      <c r="E5208" s="116"/>
    </row>
    <row r="5209" spans="1:5" x14ac:dyDescent="0.25">
      <c r="A5209" s="83"/>
      <c r="B5209" s="84"/>
      <c r="C5209" s="84"/>
      <c r="D5209" s="116"/>
      <c r="E5209" s="116"/>
    </row>
    <row r="5210" spans="1:5" x14ac:dyDescent="0.25">
      <c r="A5210" s="83"/>
      <c r="B5210" s="84"/>
      <c r="C5210" s="84"/>
      <c r="D5210" s="116"/>
      <c r="E5210" s="116"/>
    </row>
    <row r="5211" spans="1:5" x14ac:dyDescent="0.25">
      <c r="A5211" s="83"/>
      <c r="B5211" s="84"/>
      <c r="C5211" s="84"/>
      <c r="D5211" s="116"/>
      <c r="E5211" s="116"/>
    </row>
    <row r="5212" spans="1:5" x14ac:dyDescent="0.25">
      <c r="A5212" s="83"/>
      <c r="B5212" s="84"/>
      <c r="C5212" s="84"/>
      <c r="D5212" s="116"/>
      <c r="E5212" s="116"/>
    </row>
    <row r="5213" spans="1:5" x14ac:dyDescent="0.25">
      <c r="A5213" s="83"/>
      <c r="B5213" s="84"/>
      <c r="C5213" s="84"/>
      <c r="D5213" s="116"/>
      <c r="E5213" s="116"/>
    </row>
    <row r="5214" spans="1:5" x14ac:dyDescent="0.25">
      <c r="A5214" s="83"/>
      <c r="B5214" s="84"/>
      <c r="C5214" s="84"/>
      <c r="D5214" s="116"/>
      <c r="E5214" s="116"/>
    </row>
    <row r="5215" spans="1:5" x14ac:dyDescent="0.25">
      <c r="A5215" s="83"/>
      <c r="B5215" s="84"/>
      <c r="C5215" s="84"/>
      <c r="D5215" s="116"/>
      <c r="E5215" s="116"/>
    </row>
    <row r="5216" spans="1:5" x14ac:dyDescent="0.25">
      <c r="A5216" s="83"/>
      <c r="B5216" s="84"/>
      <c r="C5216" s="84"/>
      <c r="D5216" s="116"/>
      <c r="E5216" s="116"/>
    </row>
    <row r="5217" spans="1:5" x14ac:dyDescent="0.25">
      <c r="A5217" s="83"/>
      <c r="B5217" s="84"/>
      <c r="C5217" s="84"/>
      <c r="D5217" s="116"/>
      <c r="E5217" s="116"/>
    </row>
    <row r="5218" spans="1:5" x14ac:dyDescent="0.25">
      <c r="A5218" s="83"/>
      <c r="B5218" s="84"/>
      <c r="C5218" s="84"/>
      <c r="D5218" s="116"/>
      <c r="E5218" s="116"/>
    </row>
    <row r="5219" spans="1:5" x14ac:dyDescent="0.25">
      <c r="A5219" s="83"/>
      <c r="B5219" s="84"/>
      <c r="C5219" s="84"/>
      <c r="D5219" s="116"/>
      <c r="E5219" s="116"/>
    </row>
    <row r="5220" spans="1:5" x14ac:dyDescent="0.25">
      <c r="A5220" s="83"/>
      <c r="B5220" s="84"/>
      <c r="C5220" s="84"/>
      <c r="D5220" s="116"/>
      <c r="E5220" s="116"/>
    </row>
    <row r="5221" spans="1:5" x14ac:dyDescent="0.25">
      <c r="A5221" s="83"/>
      <c r="B5221" s="84"/>
      <c r="C5221" s="84"/>
      <c r="D5221" s="116"/>
      <c r="E5221" s="116"/>
    </row>
    <row r="5222" spans="1:5" x14ac:dyDescent="0.25">
      <c r="A5222" s="83"/>
      <c r="B5222" s="84"/>
      <c r="C5222" s="84"/>
      <c r="D5222" s="116"/>
      <c r="E5222" s="116"/>
    </row>
    <row r="5223" spans="1:5" x14ac:dyDescent="0.25">
      <c r="A5223" s="83"/>
      <c r="B5223" s="84"/>
      <c r="C5223" s="84"/>
      <c r="D5223" s="116"/>
      <c r="E5223" s="116"/>
    </row>
    <row r="5224" spans="1:5" x14ac:dyDescent="0.25">
      <c r="A5224" s="83"/>
      <c r="B5224" s="84"/>
      <c r="C5224" s="84"/>
      <c r="D5224" s="116"/>
      <c r="E5224" s="116"/>
    </row>
    <row r="5225" spans="1:5" x14ac:dyDescent="0.25">
      <c r="A5225" s="83"/>
      <c r="B5225" s="84"/>
      <c r="C5225" s="84"/>
      <c r="D5225" s="116"/>
      <c r="E5225" s="116"/>
    </row>
    <row r="5226" spans="1:5" x14ac:dyDescent="0.25">
      <c r="A5226" s="83"/>
      <c r="B5226" s="84"/>
      <c r="C5226" s="84"/>
      <c r="D5226" s="116"/>
      <c r="E5226" s="116"/>
    </row>
    <row r="5227" spans="1:5" x14ac:dyDescent="0.25">
      <c r="A5227" s="83"/>
      <c r="B5227" s="84"/>
      <c r="C5227" s="84"/>
      <c r="D5227" s="116"/>
      <c r="E5227" s="116"/>
    </row>
    <row r="5228" spans="1:5" x14ac:dyDescent="0.25">
      <c r="A5228" s="83"/>
      <c r="B5228" s="84"/>
      <c r="C5228" s="84"/>
      <c r="D5228" s="116"/>
      <c r="E5228" s="116"/>
    </row>
    <row r="5229" spans="1:5" x14ac:dyDescent="0.25">
      <c r="A5229" s="83"/>
      <c r="B5229" s="84"/>
      <c r="C5229" s="84"/>
      <c r="D5229" s="116"/>
      <c r="E5229" s="116"/>
    </row>
    <row r="5230" spans="1:5" x14ac:dyDescent="0.25">
      <c r="A5230" s="83"/>
      <c r="B5230" s="84"/>
      <c r="C5230" s="84"/>
      <c r="D5230" s="116"/>
      <c r="E5230" s="116"/>
    </row>
    <row r="5231" spans="1:5" x14ac:dyDescent="0.25">
      <c r="A5231" s="83"/>
      <c r="B5231" s="84"/>
      <c r="C5231" s="84"/>
      <c r="D5231" s="116"/>
      <c r="E5231" s="116"/>
    </row>
    <row r="5232" spans="1:5" x14ac:dyDescent="0.25">
      <c r="A5232" s="83"/>
      <c r="B5232" s="84"/>
      <c r="C5232" s="84"/>
      <c r="D5232" s="116"/>
      <c r="E5232" s="116"/>
    </row>
    <row r="5233" spans="1:5" x14ac:dyDescent="0.25">
      <c r="A5233" s="83"/>
      <c r="B5233" s="84"/>
      <c r="C5233" s="84"/>
      <c r="D5233" s="116"/>
      <c r="E5233" s="116"/>
    </row>
    <row r="5234" spans="1:5" x14ac:dyDescent="0.25">
      <c r="A5234" s="83"/>
      <c r="B5234" s="84"/>
      <c r="C5234" s="84"/>
      <c r="D5234" s="116"/>
      <c r="E5234" s="116"/>
    </row>
    <row r="5235" spans="1:5" x14ac:dyDescent="0.25">
      <c r="A5235" s="83"/>
      <c r="B5235" s="84"/>
      <c r="C5235" s="84"/>
      <c r="D5235" s="116"/>
      <c r="E5235" s="116"/>
    </row>
    <row r="5236" spans="1:5" x14ac:dyDescent="0.25">
      <c r="A5236" s="83"/>
      <c r="B5236" s="84"/>
      <c r="C5236" s="84"/>
      <c r="D5236" s="116"/>
      <c r="E5236" s="116"/>
    </row>
    <row r="5237" spans="1:5" x14ac:dyDescent="0.25">
      <c r="A5237" s="83"/>
      <c r="B5237" s="84"/>
      <c r="C5237" s="84"/>
      <c r="D5237" s="116"/>
      <c r="E5237" s="116"/>
    </row>
    <row r="5238" spans="1:5" x14ac:dyDescent="0.25">
      <c r="A5238" s="83"/>
      <c r="B5238" s="84"/>
      <c r="C5238" s="84"/>
      <c r="D5238" s="116"/>
      <c r="E5238" s="116"/>
    </row>
    <row r="5239" spans="1:5" x14ac:dyDescent="0.25">
      <c r="A5239" s="83"/>
      <c r="B5239" s="84"/>
      <c r="C5239" s="84"/>
      <c r="D5239" s="116"/>
      <c r="E5239" s="116"/>
    </row>
    <row r="5240" spans="1:5" x14ac:dyDescent="0.25">
      <c r="A5240" s="83"/>
      <c r="B5240" s="84"/>
      <c r="C5240" s="84"/>
      <c r="D5240" s="116"/>
      <c r="E5240" s="116"/>
    </row>
    <row r="5241" spans="1:5" x14ac:dyDescent="0.25">
      <c r="A5241" s="83"/>
      <c r="B5241" s="84"/>
      <c r="C5241" s="84"/>
      <c r="D5241" s="116"/>
      <c r="E5241" s="116"/>
    </row>
    <row r="5242" spans="1:5" x14ac:dyDescent="0.25">
      <c r="A5242" s="83"/>
      <c r="B5242" s="84"/>
      <c r="C5242" s="84"/>
      <c r="D5242" s="116"/>
      <c r="E5242" s="116"/>
    </row>
    <row r="5243" spans="1:5" x14ac:dyDescent="0.25">
      <c r="A5243" s="83"/>
      <c r="B5243" s="84"/>
      <c r="C5243" s="84"/>
      <c r="D5243" s="116"/>
      <c r="E5243" s="116"/>
    </row>
    <row r="5244" spans="1:5" x14ac:dyDescent="0.25">
      <c r="A5244" s="83"/>
      <c r="B5244" s="84"/>
      <c r="C5244" s="84"/>
      <c r="D5244" s="116"/>
      <c r="E5244" s="116"/>
    </row>
    <row r="5245" spans="1:5" x14ac:dyDescent="0.25">
      <c r="A5245" s="83"/>
      <c r="B5245" s="84"/>
      <c r="C5245" s="84"/>
      <c r="D5245" s="116"/>
      <c r="E5245" s="116"/>
    </row>
    <row r="5246" spans="1:5" x14ac:dyDescent="0.25">
      <c r="A5246" s="83"/>
      <c r="B5246" s="84"/>
      <c r="C5246" s="84"/>
      <c r="D5246" s="116"/>
      <c r="E5246" s="116"/>
    </row>
    <row r="5247" spans="1:5" x14ac:dyDescent="0.25">
      <c r="A5247" s="83"/>
      <c r="B5247" s="84"/>
      <c r="C5247" s="84"/>
      <c r="D5247" s="116"/>
      <c r="E5247" s="116"/>
    </row>
    <row r="5248" spans="1:5" x14ac:dyDescent="0.25">
      <c r="A5248" s="83"/>
      <c r="B5248" s="84"/>
      <c r="C5248" s="84"/>
      <c r="D5248" s="116"/>
      <c r="E5248" s="116"/>
    </row>
    <row r="5249" spans="1:5" x14ac:dyDescent="0.25">
      <c r="A5249" s="83"/>
      <c r="B5249" s="84"/>
      <c r="C5249" s="84"/>
      <c r="D5249" s="116"/>
      <c r="E5249" s="116"/>
    </row>
    <row r="5250" spans="1:5" x14ac:dyDescent="0.25">
      <c r="A5250" s="83"/>
      <c r="B5250" s="84"/>
      <c r="C5250" s="84"/>
      <c r="D5250" s="116"/>
      <c r="E5250" s="116"/>
    </row>
    <row r="5251" spans="1:5" x14ac:dyDescent="0.25">
      <c r="A5251" s="83"/>
      <c r="B5251" s="84"/>
      <c r="C5251" s="84"/>
      <c r="D5251" s="116"/>
      <c r="E5251" s="116"/>
    </row>
    <row r="5252" spans="1:5" x14ac:dyDescent="0.25">
      <c r="A5252" s="83"/>
      <c r="B5252" s="84"/>
      <c r="C5252" s="84"/>
      <c r="D5252" s="116"/>
      <c r="E5252" s="116"/>
    </row>
    <row r="5253" spans="1:5" x14ac:dyDescent="0.25">
      <c r="A5253" s="83"/>
      <c r="B5253" s="84"/>
      <c r="C5253" s="84"/>
      <c r="D5253" s="116"/>
      <c r="E5253" s="116"/>
    </row>
    <row r="5254" spans="1:5" x14ac:dyDescent="0.25">
      <c r="A5254" s="83"/>
      <c r="B5254" s="84"/>
      <c r="C5254" s="84"/>
      <c r="D5254" s="116"/>
      <c r="E5254" s="116"/>
    </row>
    <row r="5255" spans="1:5" x14ac:dyDescent="0.25">
      <c r="A5255" s="83"/>
      <c r="B5255" s="84"/>
      <c r="C5255" s="84"/>
      <c r="D5255" s="116"/>
      <c r="E5255" s="116"/>
    </row>
    <row r="5256" spans="1:5" x14ac:dyDescent="0.25">
      <c r="A5256" s="83"/>
      <c r="B5256" s="84"/>
      <c r="C5256" s="84"/>
      <c r="D5256" s="116"/>
      <c r="E5256" s="116"/>
    </row>
    <row r="5257" spans="1:5" x14ac:dyDescent="0.25">
      <c r="A5257" s="83"/>
      <c r="B5257" s="84"/>
      <c r="C5257" s="84"/>
      <c r="D5257" s="116"/>
      <c r="E5257" s="116"/>
    </row>
    <row r="5258" spans="1:5" x14ac:dyDescent="0.25">
      <c r="A5258" s="83"/>
      <c r="B5258" s="84"/>
      <c r="C5258" s="84"/>
      <c r="D5258" s="116"/>
      <c r="E5258" s="116"/>
    </row>
    <row r="5259" spans="1:5" x14ac:dyDescent="0.25">
      <c r="A5259" s="83"/>
      <c r="B5259" s="84"/>
      <c r="C5259" s="84"/>
      <c r="D5259" s="116"/>
      <c r="E5259" s="116"/>
    </row>
    <row r="5260" spans="1:5" x14ac:dyDescent="0.25">
      <c r="A5260" s="83"/>
      <c r="B5260" s="84"/>
      <c r="C5260" s="84"/>
      <c r="D5260" s="116"/>
      <c r="E5260" s="116"/>
    </row>
    <row r="5261" spans="1:5" x14ac:dyDescent="0.25">
      <c r="A5261" s="83"/>
      <c r="B5261" s="84"/>
      <c r="C5261" s="84"/>
      <c r="D5261" s="116"/>
      <c r="E5261" s="116"/>
    </row>
    <row r="5262" spans="1:5" x14ac:dyDescent="0.25">
      <c r="A5262" s="83"/>
      <c r="B5262" s="84"/>
      <c r="C5262" s="84"/>
      <c r="D5262" s="116"/>
      <c r="E5262" s="116"/>
    </row>
    <row r="5263" spans="1:5" x14ac:dyDescent="0.25">
      <c r="A5263" s="83"/>
      <c r="B5263" s="84"/>
      <c r="C5263" s="84"/>
      <c r="D5263" s="116"/>
      <c r="E5263" s="116"/>
    </row>
    <row r="5264" spans="1:5" x14ac:dyDescent="0.25">
      <c r="A5264" s="83"/>
      <c r="B5264" s="84"/>
      <c r="C5264" s="84"/>
      <c r="D5264" s="116"/>
      <c r="E5264" s="116"/>
    </row>
    <row r="5265" spans="1:5" x14ac:dyDescent="0.25">
      <c r="A5265" s="83"/>
      <c r="B5265" s="84"/>
      <c r="C5265" s="84"/>
      <c r="D5265" s="116"/>
      <c r="E5265" s="116"/>
    </row>
    <row r="5266" spans="1:5" x14ac:dyDescent="0.25">
      <c r="A5266" s="83"/>
      <c r="B5266" s="84"/>
      <c r="C5266" s="84"/>
      <c r="D5266" s="116"/>
      <c r="E5266" s="116"/>
    </row>
    <row r="5267" spans="1:5" x14ac:dyDescent="0.25">
      <c r="A5267" s="83"/>
      <c r="B5267" s="84"/>
      <c r="C5267" s="84"/>
      <c r="D5267" s="116"/>
      <c r="E5267" s="116"/>
    </row>
    <row r="5268" spans="1:5" x14ac:dyDescent="0.25">
      <c r="A5268" s="83"/>
      <c r="B5268" s="84"/>
      <c r="C5268" s="84"/>
      <c r="D5268" s="116"/>
      <c r="E5268" s="116"/>
    </row>
    <row r="5269" spans="1:5" x14ac:dyDescent="0.25">
      <c r="A5269" s="83"/>
      <c r="B5269" s="84"/>
      <c r="C5269" s="84"/>
      <c r="D5269" s="116"/>
      <c r="E5269" s="116"/>
    </row>
    <row r="5270" spans="1:5" x14ac:dyDescent="0.25">
      <c r="A5270" s="83"/>
      <c r="B5270" s="84"/>
      <c r="C5270" s="84"/>
      <c r="D5270" s="116"/>
      <c r="E5270" s="116"/>
    </row>
    <row r="5271" spans="1:5" x14ac:dyDescent="0.25">
      <c r="A5271" s="83"/>
      <c r="B5271" s="84"/>
      <c r="C5271" s="84"/>
      <c r="D5271" s="116"/>
      <c r="E5271" s="116"/>
    </row>
    <row r="5272" spans="1:5" x14ac:dyDescent="0.25">
      <c r="A5272" s="83"/>
      <c r="B5272" s="84"/>
      <c r="C5272" s="84"/>
      <c r="D5272" s="116"/>
      <c r="E5272" s="116"/>
    </row>
    <row r="5273" spans="1:5" x14ac:dyDescent="0.25">
      <c r="A5273" s="83"/>
      <c r="B5273" s="84"/>
      <c r="C5273" s="84"/>
      <c r="D5273" s="116"/>
      <c r="E5273" s="116"/>
    </row>
    <row r="5274" spans="1:5" x14ac:dyDescent="0.25">
      <c r="A5274" s="83"/>
      <c r="B5274" s="84"/>
      <c r="C5274" s="84"/>
      <c r="D5274" s="116"/>
      <c r="E5274" s="116"/>
    </row>
    <row r="5275" spans="1:5" x14ac:dyDescent="0.25">
      <c r="A5275" s="83"/>
      <c r="B5275" s="84"/>
      <c r="C5275" s="84"/>
      <c r="D5275" s="116"/>
      <c r="E5275" s="116"/>
    </row>
    <row r="5276" spans="1:5" x14ac:dyDescent="0.25">
      <c r="A5276" s="83"/>
      <c r="B5276" s="84"/>
      <c r="C5276" s="84"/>
      <c r="D5276" s="116"/>
      <c r="E5276" s="116"/>
    </row>
    <row r="5277" spans="1:5" x14ac:dyDescent="0.25">
      <c r="A5277" s="83"/>
      <c r="B5277" s="84"/>
      <c r="C5277" s="84"/>
      <c r="D5277" s="116"/>
      <c r="E5277" s="116"/>
    </row>
    <row r="5278" spans="1:5" x14ac:dyDescent="0.25">
      <c r="A5278" s="83"/>
      <c r="B5278" s="84"/>
      <c r="C5278" s="84"/>
      <c r="D5278" s="116"/>
      <c r="E5278" s="116"/>
    </row>
    <row r="5279" spans="1:5" x14ac:dyDescent="0.25">
      <c r="A5279" s="83"/>
      <c r="B5279" s="84"/>
      <c r="C5279" s="84"/>
      <c r="D5279" s="116"/>
      <c r="E5279" s="116"/>
    </row>
    <row r="5280" spans="1:5" x14ac:dyDescent="0.25">
      <c r="A5280" s="83"/>
      <c r="B5280" s="84"/>
      <c r="C5280" s="84"/>
      <c r="D5280" s="116"/>
      <c r="E5280" s="116"/>
    </row>
    <row r="5281" spans="1:5" x14ac:dyDescent="0.25">
      <c r="A5281" s="83"/>
      <c r="B5281" s="84"/>
      <c r="C5281" s="84"/>
      <c r="D5281" s="116"/>
      <c r="E5281" s="116"/>
    </row>
    <row r="5282" spans="1:5" x14ac:dyDescent="0.25">
      <c r="A5282" s="83"/>
      <c r="B5282" s="84"/>
      <c r="C5282" s="84"/>
      <c r="D5282" s="116"/>
      <c r="E5282" s="116"/>
    </row>
    <row r="5283" spans="1:5" x14ac:dyDescent="0.25">
      <c r="A5283" s="83"/>
      <c r="B5283" s="84"/>
      <c r="C5283" s="84"/>
      <c r="D5283" s="116"/>
      <c r="E5283" s="116"/>
    </row>
    <row r="5284" spans="1:5" x14ac:dyDescent="0.25">
      <c r="A5284" s="83"/>
      <c r="B5284" s="84"/>
      <c r="C5284" s="84"/>
      <c r="D5284" s="116"/>
      <c r="E5284" s="116"/>
    </row>
    <row r="5285" spans="1:5" x14ac:dyDescent="0.25">
      <c r="A5285" s="83"/>
      <c r="B5285" s="84"/>
      <c r="C5285" s="84"/>
      <c r="D5285" s="116"/>
      <c r="E5285" s="116"/>
    </row>
    <row r="5286" spans="1:5" x14ac:dyDescent="0.25">
      <c r="A5286" s="83"/>
      <c r="B5286" s="84"/>
      <c r="C5286" s="84"/>
      <c r="D5286" s="116"/>
      <c r="E5286" s="116"/>
    </row>
    <row r="5287" spans="1:5" x14ac:dyDescent="0.25">
      <c r="A5287" s="83"/>
      <c r="B5287" s="84"/>
      <c r="C5287" s="84"/>
      <c r="D5287" s="116"/>
      <c r="E5287" s="116"/>
    </row>
    <row r="5288" spans="1:5" x14ac:dyDescent="0.25">
      <c r="A5288" s="83"/>
      <c r="B5288" s="84"/>
      <c r="C5288" s="84"/>
      <c r="D5288" s="116"/>
      <c r="E5288" s="116"/>
    </row>
    <row r="5289" spans="1:5" x14ac:dyDescent="0.25">
      <c r="A5289" s="83"/>
      <c r="B5289" s="84"/>
      <c r="C5289" s="84"/>
      <c r="D5289" s="116"/>
      <c r="E5289" s="116"/>
    </row>
    <row r="5290" spans="1:5" x14ac:dyDescent="0.25">
      <c r="A5290" s="83"/>
      <c r="B5290" s="84"/>
      <c r="C5290" s="84"/>
      <c r="D5290" s="116"/>
      <c r="E5290" s="116"/>
    </row>
    <row r="5291" spans="1:5" x14ac:dyDescent="0.25">
      <c r="A5291" s="83"/>
      <c r="B5291" s="84"/>
      <c r="C5291" s="84"/>
      <c r="D5291" s="116"/>
      <c r="E5291" s="116"/>
    </row>
    <row r="5292" spans="1:5" x14ac:dyDescent="0.25">
      <c r="A5292" s="83"/>
      <c r="B5292" s="84"/>
      <c r="C5292" s="84"/>
      <c r="D5292" s="116"/>
      <c r="E5292" s="116"/>
    </row>
    <row r="5293" spans="1:5" x14ac:dyDescent="0.25">
      <c r="A5293" s="83"/>
      <c r="B5293" s="84"/>
      <c r="C5293" s="84"/>
      <c r="D5293" s="116"/>
      <c r="E5293" s="116"/>
    </row>
    <row r="5294" spans="1:5" x14ac:dyDescent="0.25">
      <c r="A5294" s="83"/>
      <c r="B5294" s="84"/>
      <c r="C5294" s="84"/>
      <c r="D5294" s="116"/>
      <c r="E5294" s="116"/>
    </row>
    <row r="5295" spans="1:5" x14ac:dyDescent="0.25">
      <c r="A5295" s="83"/>
      <c r="B5295" s="84"/>
      <c r="C5295" s="84"/>
      <c r="D5295" s="116"/>
      <c r="E5295" s="116"/>
    </row>
    <row r="5296" spans="1:5" x14ac:dyDescent="0.25">
      <c r="A5296" s="83"/>
      <c r="B5296" s="84"/>
      <c r="C5296" s="84"/>
      <c r="D5296" s="116"/>
      <c r="E5296" s="116"/>
    </row>
    <row r="5297" spans="1:5" x14ac:dyDescent="0.25">
      <c r="A5297" s="83"/>
      <c r="B5297" s="84"/>
      <c r="C5297" s="84"/>
      <c r="D5297" s="116"/>
      <c r="E5297" s="116"/>
    </row>
    <row r="5298" spans="1:5" x14ac:dyDescent="0.25">
      <c r="A5298" s="83"/>
      <c r="B5298" s="84"/>
      <c r="C5298" s="84"/>
      <c r="D5298" s="116"/>
      <c r="E5298" s="116"/>
    </row>
    <row r="5299" spans="1:5" x14ac:dyDescent="0.25">
      <c r="A5299" s="83"/>
      <c r="B5299" s="84"/>
      <c r="C5299" s="84"/>
      <c r="D5299" s="116"/>
      <c r="E5299" s="116"/>
    </row>
    <row r="5300" spans="1:5" x14ac:dyDescent="0.25">
      <c r="A5300" s="83"/>
      <c r="B5300" s="84"/>
      <c r="C5300" s="84"/>
      <c r="D5300" s="116"/>
      <c r="E5300" s="116"/>
    </row>
    <row r="5301" spans="1:5" x14ac:dyDescent="0.25">
      <c r="A5301" s="83"/>
      <c r="B5301" s="84"/>
      <c r="C5301" s="84"/>
      <c r="D5301" s="116"/>
      <c r="E5301" s="116"/>
    </row>
    <row r="5302" spans="1:5" x14ac:dyDescent="0.25">
      <c r="A5302" s="83"/>
      <c r="B5302" s="84"/>
      <c r="C5302" s="84"/>
      <c r="D5302" s="116"/>
      <c r="E5302" s="116"/>
    </row>
    <row r="5303" spans="1:5" x14ac:dyDescent="0.25">
      <c r="A5303" s="83"/>
      <c r="B5303" s="84"/>
      <c r="C5303" s="84"/>
      <c r="D5303" s="116"/>
      <c r="E5303" s="116"/>
    </row>
    <row r="5304" spans="1:5" x14ac:dyDescent="0.25">
      <c r="A5304" s="83"/>
      <c r="B5304" s="84"/>
      <c r="C5304" s="84"/>
      <c r="D5304" s="116"/>
      <c r="E5304" s="116"/>
    </row>
    <row r="5305" spans="1:5" x14ac:dyDescent="0.25">
      <c r="A5305" s="83"/>
      <c r="B5305" s="84"/>
      <c r="C5305" s="84"/>
      <c r="D5305" s="116"/>
      <c r="E5305" s="116"/>
    </row>
    <row r="5306" spans="1:5" x14ac:dyDescent="0.25">
      <c r="A5306" s="83"/>
      <c r="B5306" s="84"/>
      <c r="C5306" s="84"/>
      <c r="D5306" s="116"/>
      <c r="E5306" s="116"/>
    </row>
    <row r="5307" spans="1:5" x14ac:dyDescent="0.25">
      <c r="A5307" s="83"/>
      <c r="B5307" s="84"/>
      <c r="C5307" s="84"/>
      <c r="D5307" s="116"/>
      <c r="E5307" s="116"/>
    </row>
    <row r="5308" spans="1:5" x14ac:dyDescent="0.25">
      <c r="A5308" s="83"/>
      <c r="B5308" s="84"/>
      <c r="C5308" s="84"/>
      <c r="D5308" s="116"/>
      <c r="E5308" s="116"/>
    </row>
    <row r="5309" spans="1:5" x14ac:dyDescent="0.25">
      <c r="A5309" s="83"/>
      <c r="B5309" s="84"/>
      <c r="C5309" s="84"/>
      <c r="D5309" s="116"/>
      <c r="E5309" s="116"/>
    </row>
    <row r="5310" spans="1:5" x14ac:dyDescent="0.25">
      <c r="A5310" s="83"/>
      <c r="B5310" s="84"/>
      <c r="C5310" s="84"/>
      <c r="D5310" s="116"/>
      <c r="E5310" s="116"/>
    </row>
    <row r="5311" spans="1:5" x14ac:dyDescent="0.25">
      <c r="A5311" s="83"/>
      <c r="B5311" s="84"/>
      <c r="C5311" s="84"/>
      <c r="D5311" s="116"/>
      <c r="E5311" s="116"/>
    </row>
    <row r="5312" spans="1:5" x14ac:dyDescent="0.25">
      <c r="A5312" s="83"/>
      <c r="B5312" s="84"/>
      <c r="C5312" s="84"/>
      <c r="D5312" s="116"/>
      <c r="E5312" s="116"/>
    </row>
    <row r="5313" spans="1:5" x14ac:dyDescent="0.25">
      <c r="A5313" s="83"/>
      <c r="B5313" s="84"/>
      <c r="C5313" s="84"/>
      <c r="D5313" s="116"/>
      <c r="E5313" s="116"/>
    </row>
    <row r="5314" spans="1:5" x14ac:dyDescent="0.25">
      <c r="A5314" s="83"/>
      <c r="B5314" s="84"/>
      <c r="C5314" s="84"/>
      <c r="D5314" s="116"/>
      <c r="E5314" s="116"/>
    </row>
    <row r="5315" spans="1:5" x14ac:dyDescent="0.25">
      <c r="A5315" s="83"/>
      <c r="B5315" s="84"/>
      <c r="C5315" s="84"/>
      <c r="D5315" s="116"/>
      <c r="E5315" s="116"/>
    </row>
    <row r="5316" spans="1:5" x14ac:dyDescent="0.25">
      <c r="A5316" s="83"/>
      <c r="B5316" s="84"/>
      <c r="C5316" s="84"/>
      <c r="D5316" s="116"/>
      <c r="E5316" s="116"/>
    </row>
    <row r="5317" spans="1:5" x14ac:dyDescent="0.25">
      <c r="A5317" s="83"/>
      <c r="B5317" s="84"/>
      <c r="C5317" s="84"/>
      <c r="D5317" s="116"/>
      <c r="E5317" s="116"/>
    </row>
    <row r="5318" spans="1:5" x14ac:dyDescent="0.25">
      <c r="A5318" s="83"/>
      <c r="B5318" s="84"/>
      <c r="C5318" s="84"/>
      <c r="D5318" s="116"/>
      <c r="E5318" s="116"/>
    </row>
    <row r="5319" spans="1:5" x14ac:dyDescent="0.25">
      <c r="A5319" s="83"/>
      <c r="B5319" s="84"/>
      <c r="C5319" s="84"/>
      <c r="D5319" s="116"/>
      <c r="E5319" s="116"/>
    </row>
    <row r="5320" spans="1:5" x14ac:dyDescent="0.25">
      <c r="A5320" s="83"/>
      <c r="B5320" s="84"/>
      <c r="C5320" s="84"/>
      <c r="D5320" s="116"/>
      <c r="E5320" s="116"/>
    </row>
    <row r="5321" spans="1:5" x14ac:dyDescent="0.25">
      <c r="A5321" s="83"/>
      <c r="B5321" s="84"/>
      <c r="C5321" s="84"/>
      <c r="D5321" s="116"/>
      <c r="E5321" s="116"/>
    </row>
    <row r="5322" spans="1:5" x14ac:dyDescent="0.25">
      <c r="A5322" s="83"/>
      <c r="B5322" s="84"/>
      <c r="C5322" s="84"/>
      <c r="D5322" s="116"/>
      <c r="E5322" s="116"/>
    </row>
    <row r="5323" spans="1:5" x14ac:dyDescent="0.25">
      <c r="A5323" s="83"/>
      <c r="B5323" s="84"/>
      <c r="C5323" s="84"/>
      <c r="D5323" s="116"/>
      <c r="E5323" s="116"/>
    </row>
    <row r="5324" spans="1:5" x14ac:dyDescent="0.25">
      <c r="A5324" s="83"/>
      <c r="B5324" s="84"/>
      <c r="C5324" s="84"/>
      <c r="D5324" s="116"/>
      <c r="E5324" s="116"/>
    </row>
    <row r="5325" spans="1:5" x14ac:dyDescent="0.25">
      <c r="A5325" s="83"/>
      <c r="B5325" s="84"/>
      <c r="C5325" s="84"/>
      <c r="D5325" s="116"/>
      <c r="E5325" s="116"/>
    </row>
    <row r="5326" spans="1:5" x14ac:dyDescent="0.25">
      <c r="A5326" s="83"/>
      <c r="B5326" s="84"/>
      <c r="C5326" s="84"/>
      <c r="D5326" s="116"/>
      <c r="E5326" s="116"/>
    </row>
    <row r="5327" spans="1:5" x14ac:dyDescent="0.25">
      <c r="A5327" s="83"/>
      <c r="B5327" s="84"/>
      <c r="C5327" s="84"/>
      <c r="D5327" s="116"/>
      <c r="E5327" s="116"/>
    </row>
    <row r="5328" spans="1:5" x14ac:dyDescent="0.25">
      <c r="A5328" s="83"/>
      <c r="B5328" s="84"/>
      <c r="C5328" s="84"/>
      <c r="D5328" s="116"/>
      <c r="E5328" s="116"/>
    </row>
    <row r="5329" spans="1:5" x14ac:dyDescent="0.25">
      <c r="A5329" s="83"/>
      <c r="B5329" s="84"/>
      <c r="C5329" s="84"/>
      <c r="D5329" s="116"/>
      <c r="E5329" s="116"/>
    </row>
    <row r="5330" spans="1:5" x14ac:dyDescent="0.25">
      <c r="A5330" s="83"/>
      <c r="B5330" s="84"/>
      <c r="C5330" s="84"/>
      <c r="D5330" s="116"/>
      <c r="E5330" s="116"/>
    </row>
    <row r="5331" spans="1:5" x14ac:dyDescent="0.25">
      <c r="A5331" s="83"/>
      <c r="B5331" s="84"/>
      <c r="C5331" s="84"/>
      <c r="D5331" s="116"/>
      <c r="E5331" s="116"/>
    </row>
    <row r="5332" spans="1:5" x14ac:dyDescent="0.25">
      <c r="A5332" s="83"/>
      <c r="B5332" s="84"/>
      <c r="C5332" s="84"/>
      <c r="D5332" s="116"/>
      <c r="E5332" s="116"/>
    </row>
    <row r="5333" spans="1:5" x14ac:dyDescent="0.25">
      <c r="A5333" s="83"/>
      <c r="B5333" s="84"/>
      <c r="C5333" s="84"/>
      <c r="D5333" s="116"/>
      <c r="E5333" s="116"/>
    </row>
    <row r="5334" spans="1:5" x14ac:dyDescent="0.25">
      <c r="A5334" s="83"/>
      <c r="B5334" s="84"/>
      <c r="C5334" s="84"/>
      <c r="D5334" s="116"/>
      <c r="E5334" s="116"/>
    </row>
    <row r="5335" spans="1:5" x14ac:dyDescent="0.25">
      <c r="A5335" s="83"/>
      <c r="B5335" s="84"/>
      <c r="C5335" s="84"/>
      <c r="D5335" s="116"/>
      <c r="E5335" s="116"/>
    </row>
    <row r="5336" spans="1:5" x14ac:dyDescent="0.25">
      <c r="A5336" s="83"/>
      <c r="B5336" s="84"/>
      <c r="C5336" s="84"/>
      <c r="D5336" s="116"/>
      <c r="E5336" s="116"/>
    </row>
    <row r="5337" spans="1:5" x14ac:dyDescent="0.25">
      <c r="A5337" s="83"/>
      <c r="B5337" s="84"/>
      <c r="C5337" s="84"/>
      <c r="D5337" s="116"/>
      <c r="E5337" s="116"/>
    </row>
    <row r="5338" spans="1:5" x14ac:dyDescent="0.25">
      <c r="A5338" s="83"/>
      <c r="B5338" s="84"/>
      <c r="C5338" s="84"/>
      <c r="D5338" s="116"/>
      <c r="E5338" s="116"/>
    </row>
    <row r="5339" spans="1:5" x14ac:dyDescent="0.25">
      <c r="A5339" s="83"/>
      <c r="B5339" s="84"/>
      <c r="C5339" s="84"/>
      <c r="D5339" s="116"/>
      <c r="E5339" s="116"/>
    </row>
    <row r="5340" spans="1:5" x14ac:dyDescent="0.25">
      <c r="A5340" s="83"/>
      <c r="B5340" s="84"/>
      <c r="C5340" s="84"/>
      <c r="D5340" s="116"/>
      <c r="E5340" s="116"/>
    </row>
    <row r="5341" spans="1:5" x14ac:dyDescent="0.25">
      <c r="A5341" s="83"/>
      <c r="B5341" s="84"/>
      <c r="C5341" s="84"/>
      <c r="D5341" s="116"/>
      <c r="E5341" s="116"/>
    </row>
    <row r="5342" spans="1:5" x14ac:dyDescent="0.25">
      <c r="A5342" s="83"/>
      <c r="B5342" s="84"/>
      <c r="C5342" s="84"/>
      <c r="D5342" s="116"/>
      <c r="E5342" s="116"/>
    </row>
    <row r="5343" spans="1:5" x14ac:dyDescent="0.25">
      <c r="A5343" s="83"/>
      <c r="B5343" s="84"/>
      <c r="C5343" s="84"/>
      <c r="D5343" s="116"/>
      <c r="E5343" s="116"/>
    </row>
    <row r="5344" spans="1:5" x14ac:dyDescent="0.25">
      <c r="A5344" s="83"/>
      <c r="B5344" s="84"/>
      <c r="C5344" s="84"/>
      <c r="D5344" s="116"/>
      <c r="E5344" s="116"/>
    </row>
    <row r="5345" spans="1:5" x14ac:dyDescent="0.25">
      <c r="A5345" s="83"/>
      <c r="B5345" s="84"/>
      <c r="C5345" s="84"/>
      <c r="D5345" s="116"/>
      <c r="E5345" s="116"/>
    </row>
    <row r="5346" spans="1:5" x14ac:dyDescent="0.25">
      <c r="A5346" s="83"/>
      <c r="B5346" s="84"/>
      <c r="C5346" s="84"/>
      <c r="D5346" s="116"/>
      <c r="E5346" s="116"/>
    </row>
    <row r="5347" spans="1:5" x14ac:dyDescent="0.25">
      <c r="A5347" s="83"/>
      <c r="B5347" s="84"/>
      <c r="C5347" s="84"/>
      <c r="D5347" s="116"/>
      <c r="E5347" s="116"/>
    </row>
    <row r="5348" spans="1:5" x14ac:dyDescent="0.25">
      <c r="A5348" s="83"/>
      <c r="B5348" s="84"/>
      <c r="C5348" s="84"/>
      <c r="D5348" s="116"/>
      <c r="E5348" s="116"/>
    </row>
    <row r="5349" spans="1:5" x14ac:dyDescent="0.25">
      <c r="A5349" s="83"/>
      <c r="B5349" s="84"/>
      <c r="C5349" s="84"/>
      <c r="D5349" s="116"/>
      <c r="E5349" s="116"/>
    </row>
    <row r="5350" spans="1:5" x14ac:dyDescent="0.25">
      <c r="A5350" s="83"/>
      <c r="B5350" s="84"/>
      <c r="C5350" s="84"/>
      <c r="D5350" s="116"/>
      <c r="E5350" s="116"/>
    </row>
    <row r="5351" spans="1:5" x14ac:dyDescent="0.25">
      <c r="A5351" s="83"/>
      <c r="B5351" s="84"/>
      <c r="C5351" s="84"/>
      <c r="D5351" s="116"/>
      <c r="E5351" s="116"/>
    </row>
    <row r="5352" spans="1:5" x14ac:dyDescent="0.25">
      <c r="A5352" s="83"/>
      <c r="B5352" s="84"/>
      <c r="C5352" s="84"/>
      <c r="D5352" s="116"/>
      <c r="E5352" s="116"/>
    </row>
    <row r="5353" spans="1:5" x14ac:dyDescent="0.25">
      <c r="A5353" s="83"/>
      <c r="B5353" s="84"/>
      <c r="C5353" s="84"/>
      <c r="D5353" s="116"/>
      <c r="E5353" s="116"/>
    </row>
    <row r="5354" spans="1:5" x14ac:dyDescent="0.25">
      <c r="A5354" s="83"/>
      <c r="B5354" s="84"/>
      <c r="C5354" s="84"/>
      <c r="D5354" s="116"/>
      <c r="E5354" s="116"/>
    </row>
    <row r="5355" spans="1:5" x14ac:dyDescent="0.25">
      <c r="A5355" s="83"/>
      <c r="B5355" s="84"/>
      <c r="C5355" s="84"/>
      <c r="D5355" s="116"/>
      <c r="E5355" s="116"/>
    </row>
    <row r="5356" spans="1:5" x14ac:dyDescent="0.25">
      <c r="A5356" s="83"/>
      <c r="B5356" s="84"/>
      <c r="C5356" s="84"/>
      <c r="D5356" s="116"/>
      <c r="E5356" s="116"/>
    </row>
    <row r="5357" spans="1:5" x14ac:dyDescent="0.25">
      <c r="A5357" s="83"/>
      <c r="B5357" s="84"/>
      <c r="C5357" s="84"/>
      <c r="D5357" s="116"/>
      <c r="E5357" s="116"/>
    </row>
    <row r="5358" spans="1:5" x14ac:dyDescent="0.25">
      <c r="A5358" s="83"/>
      <c r="B5358" s="84"/>
      <c r="C5358" s="84"/>
      <c r="D5358" s="116"/>
      <c r="E5358" s="116"/>
    </row>
    <row r="5359" spans="1:5" x14ac:dyDescent="0.25">
      <c r="A5359" s="83"/>
      <c r="B5359" s="84"/>
      <c r="C5359" s="84"/>
      <c r="D5359" s="116"/>
      <c r="E5359" s="116"/>
    </row>
    <row r="5360" spans="1:5" x14ac:dyDescent="0.25">
      <c r="A5360" s="83"/>
      <c r="B5360" s="84"/>
      <c r="C5360" s="84"/>
      <c r="D5360" s="116"/>
      <c r="E5360" s="116"/>
    </row>
    <row r="5361" spans="1:5" x14ac:dyDescent="0.25">
      <c r="A5361" s="83"/>
      <c r="B5361" s="84"/>
      <c r="C5361" s="84"/>
      <c r="D5361" s="116"/>
      <c r="E5361" s="116"/>
    </row>
    <row r="5362" spans="1:5" x14ac:dyDescent="0.25">
      <c r="A5362" s="83"/>
      <c r="B5362" s="84"/>
      <c r="C5362" s="84"/>
      <c r="D5362" s="116"/>
      <c r="E5362" s="116"/>
    </row>
    <row r="5363" spans="1:5" x14ac:dyDescent="0.25">
      <c r="A5363" s="83"/>
      <c r="B5363" s="84"/>
      <c r="C5363" s="84"/>
      <c r="D5363" s="116"/>
      <c r="E5363" s="116"/>
    </row>
    <row r="5364" spans="1:5" x14ac:dyDescent="0.25">
      <c r="A5364" s="83"/>
      <c r="B5364" s="84"/>
      <c r="C5364" s="84"/>
      <c r="D5364" s="116"/>
      <c r="E5364" s="116"/>
    </row>
    <row r="5365" spans="1:5" x14ac:dyDescent="0.25">
      <c r="A5365" s="83"/>
      <c r="B5365" s="84"/>
      <c r="C5365" s="84"/>
      <c r="D5365" s="116"/>
      <c r="E5365" s="116"/>
    </row>
    <row r="5366" spans="1:5" x14ac:dyDescent="0.25">
      <c r="A5366" s="83"/>
      <c r="B5366" s="84"/>
      <c r="C5366" s="84"/>
      <c r="D5366" s="116"/>
      <c r="E5366" s="116"/>
    </row>
    <row r="5367" spans="1:5" x14ac:dyDescent="0.25">
      <c r="A5367" s="83"/>
      <c r="B5367" s="84"/>
      <c r="C5367" s="84"/>
      <c r="D5367" s="116"/>
      <c r="E5367" s="116"/>
    </row>
    <row r="5368" spans="1:5" x14ac:dyDescent="0.25">
      <c r="A5368" s="83"/>
      <c r="B5368" s="84"/>
      <c r="C5368" s="84"/>
      <c r="D5368" s="116"/>
      <c r="E5368" s="116"/>
    </row>
    <row r="5369" spans="1:5" x14ac:dyDescent="0.25">
      <c r="A5369" s="83"/>
      <c r="B5369" s="84"/>
      <c r="C5369" s="84"/>
      <c r="D5369" s="116"/>
      <c r="E5369" s="116"/>
    </row>
    <row r="5370" spans="1:5" x14ac:dyDescent="0.25">
      <c r="A5370" s="83"/>
      <c r="B5370" s="84"/>
      <c r="C5370" s="84"/>
      <c r="D5370" s="116"/>
      <c r="E5370" s="116"/>
    </row>
    <row r="5371" spans="1:5" x14ac:dyDescent="0.25">
      <c r="A5371" s="83"/>
      <c r="B5371" s="84"/>
      <c r="C5371" s="84"/>
      <c r="D5371" s="116"/>
      <c r="E5371" s="116"/>
    </row>
    <row r="5372" spans="1:5" x14ac:dyDescent="0.25">
      <c r="A5372" s="83"/>
      <c r="B5372" s="84"/>
      <c r="C5372" s="84"/>
      <c r="D5372" s="116"/>
      <c r="E5372" s="116"/>
    </row>
    <row r="5373" spans="1:5" x14ac:dyDescent="0.25">
      <c r="A5373" s="83"/>
      <c r="B5373" s="84"/>
      <c r="C5373" s="84"/>
      <c r="D5373" s="116"/>
      <c r="E5373" s="116"/>
    </row>
    <row r="5374" spans="1:5" x14ac:dyDescent="0.25">
      <c r="A5374" s="83"/>
      <c r="B5374" s="84"/>
      <c r="C5374" s="84"/>
      <c r="D5374" s="116"/>
      <c r="E5374" s="116"/>
    </row>
    <row r="5375" spans="1:5" x14ac:dyDescent="0.25">
      <c r="A5375" s="83"/>
      <c r="B5375" s="84"/>
      <c r="C5375" s="84"/>
      <c r="D5375" s="116"/>
      <c r="E5375" s="116"/>
    </row>
    <row r="5376" spans="1:5" x14ac:dyDescent="0.25">
      <c r="A5376" s="83"/>
      <c r="B5376" s="84"/>
      <c r="C5376" s="84"/>
      <c r="D5376" s="116"/>
      <c r="E5376" s="116"/>
    </row>
    <row r="5377" spans="1:5" x14ac:dyDescent="0.25">
      <c r="A5377" s="83"/>
      <c r="B5377" s="84"/>
      <c r="C5377" s="84"/>
      <c r="D5377" s="116"/>
      <c r="E5377" s="116"/>
    </row>
    <row r="5378" spans="1:5" x14ac:dyDescent="0.25">
      <c r="A5378" s="83"/>
      <c r="B5378" s="84"/>
      <c r="C5378" s="84"/>
      <c r="D5378" s="116"/>
      <c r="E5378" s="116"/>
    </row>
    <row r="5379" spans="1:5" x14ac:dyDescent="0.25">
      <c r="A5379" s="83"/>
      <c r="B5379" s="84"/>
      <c r="C5379" s="84"/>
      <c r="D5379" s="116"/>
      <c r="E5379" s="116"/>
    </row>
    <row r="5380" spans="1:5" x14ac:dyDescent="0.25">
      <c r="A5380" s="83"/>
      <c r="B5380" s="84"/>
      <c r="C5380" s="84"/>
      <c r="D5380" s="116"/>
      <c r="E5380" s="116"/>
    </row>
    <row r="5381" spans="1:5" x14ac:dyDescent="0.25">
      <c r="A5381" s="83"/>
      <c r="B5381" s="84"/>
      <c r="C5381" s="84"/>
      <c r="D5381" s="116"/>
      <c r="E5381" s="116"/>
    </row>
    <row r="5382" spans="1:5" x14ac:dyDescent="0.25">
      <c r="A5382" s="83"/>
      <c r="B5382" s="84"/>
      <c r="C5382" s="84"/>
      <c r="D5382" s="116"/>
      <c r="E5382" s="116"/>
    </row>
    <row r="5383" spans="1:5" x14ac:dyDescent="0.25">
      <c r="A5383" s="83"/>
      <c r="B5383" s="84"/>
      <c r="C5383" s="84"/>
      <c r="D5383" s="116"/>
      <c r="E5383" s="116"/>
    </row>
    <row r="5384" spans="1:5" x14ac:dyDescent="0.25">
      <c r="A5384" s="83"/>
      <c r="B5384" s="84"/>
      <c r="C5384" s="84"/>
      <c r="D5384" s="116"/>
      <c r="E5384" s="116"/>
    </row>
    <row r="5385" spans="1:5" x14ac:dyDescent="0.25">
      <c r="A5385" s="83"/>
      <c r="B5385" s="84"/>
      <c r="C5385" s="84"/>
      <c r="D5385" s="116"/>
      <c r="E5385" s="116"/>
    </row>
    <row r="5386" spans="1:5" x14ac:dyDescent="0.25">
      <c r="A5386" s="83"/>
      <c r="B5386" s="84"/>
      <c r="C5386" s="84"/>
      <c r="D5386" s="116"/>
      <c r="E5386" s="116"/>
    </row>
    <row r="5387" spans="1:5" x14ac:dyDescent="0.25">
      <c r="A5387" s="83"/>
      <c r="B5387" s="84"/>
      <c r="C5387" s="84"/>
      <c r="D5387" s="116"/>
      <c r="E5387" s="116"/>
    </row>
    <row r="5388" spans="1:5" x14ac:dyDescent="0.25">
      <c r="A5388" s="83"/>
      <c r="B5388" s="84"/>
      <c r="C5388" s="84"/>
      <c r="D5388" s="116"/>
      <c r="E5388" s="116"/>
    </row>
    <row r="5389" spans="1:5" x14ac:dyDescent="0.25">
      <c r="A5389" s="83"/>
      <c r="B5389" s="84"/>
      <c r="C5389" s="84"/>
      <c r="D5389" s="116"/>
      <c r="E5389" s="116"/>
    </row>
    <row r="5390" spans="1:5" x14ac:dyDescent="0.25">
      <c r="A5390" s="83"/>
      <c r="B5390" s="84"/>
      <c r="C5390" s="84"/>
      <c r="D5390" s="116"/>
      <c r="E5390" s="116"/>
    </row>
    <row r="5391" spans="1:5" x14ac:dyDescent="0.25">
      <c r="A5391" s="83"/>
      <c r="B5391" s="84"/>
      <c r="C5391" s="84"/>
      <c r="D5391" s="116"/>
      <c r="E5391" s="116"/>
    </row>
    <row r="5392" spans="1:5" x14ac:dyDescent="0.25">
      <c r="A5392" s="83"/>
      <c r="B5392" s="84"/>
      <c r="C5392" s="84"/>
      <c r="D5392" s="116"/>
      <c r="E5392" s="116"/>
    </row>
    <row r="5393" spans="1:5" x14ac:dyDescent="0.25">
      <c r="A5393" s="83"/>
      <c r="B5393" s="84"/>
      <c r="C5393" s="84"/>
      <c r="D5393" s="116"/>
      <c r="E5393" s="116"/>
    </row>
    <row r="5394" spans="1:5" x14ac:dyDescent="0.25">
      <c r="A5394" s="83"/>
      <c r="B5394" s="84"/>
      <c r="C5394" s="84"/>
      <c r="D5394" s="116"/>
      <c r="E5394" s="116"/>
    </row>
    <row r="5395" spans="1:5" x14ac:dyDescent="0.25">
      <c r="A5395" s="83"/>
      <c r="B5395" s="84"/>
      <c r="C5395" s="84"/>
      <c r="D5395" s="116"/>
      <c r="E5395" s="116"/>
    </row>
    <row r="5396" spans="1:5" x14ac:dyDescent="0.25">
      <c r="A5396" s="83"/>
      <c r="B5396" s="84"/>
      <c r="C5396" s="84"/>
      <c r="D5396" s="116"/>
      <c r="E5396" s="116"/>
    </row>
    <row r="5397" spans="1:5" x14ac:dyDescent="0.25">
      <c r="A5397" s="83"/>
      <c r="B5397" s="84"/>
      <c r="C5397" s="84"/>
      <c r="D5397" s="116"/>
      <c r="E5397" s="116"/>
    </row>
    <row r="5398" spans="1:5" x14ac:dyDescent="0.25">
      <c r="A5398" s="83"/>
      <c r="B5398" s="84"/>
      <c r="C5398" s="84"/>
      <c r="D5398" s="116"/>
      <c r="E5398" s="116"/>
    </row>
    <row r="5399" spans="1:5" x14ac:dyDescent="0.25">
      <c r="A5399" s="83"/>
      <c r="B5399" s="84"/>
      <c r="C5399" s="84"/>
      <c r="D5399" s="116"/>
      <c r="E5399" s="116"/>
    </row>
    <row r="5400" spans="1:5" x14ac:dyDescent="0.25">
      <c r="A5400" s="83"/>
      <c r="B5400" s="84"/>
      <c r="C5400" s="84"/>
      <c r="D5400" s="116"/>
      <c r="E5400" s="116"/>
    </row>
    <row r="5401" spans="1:5" x14ac:dyDescent="0.25">
      <c r="A5401" s="83"/>
      <c r="B5401" s="84"/>
      <c r="C5401" s="84"/>
      <c r="D5401" s="116"/>
      <c r="E5401" s="116"/>
    </row>
    <row r="5402" spans="1:5" x14ac:dyDescent="0.25">
      <c r="A5402" s="83"/>
      <c r="B5402" s="84"/>
      <c r="C5402" s="84"/>
      <c r="D5402" s="116"/>
      <c r="E5402" s="116"/>
    </row>
    <row r="5403" spans="1:5" x14ac:dyDescent="0.25">
      <c r="A5403" s="83"/>
      <c r="B5403" s="84"/>
      <c r="C5403" s="84"/>
      <c r="D5403" s="116"/>
      <c r="E5403" s="116"/>
    </row>
    <row r="5404" spans="1:5" x14ac:dyDescent="0.25">
      <c r="A5404" s="83"/>
      <c r="B5404" s="84"/>
      <c r="C5404" s="84"/>
      <c r="D5404" s="116"/>
      <c r="E5404" s="116"/>
    </row>
    <row r="5405" spans="1:5" x14ac:dyDescent="0.25">
      <c r="A5405" s="83"/>
      <c r="B5405" s="84"/>
      <c r="C5405" s="84"/>
      <c r="D5405" s="116"/>
      <c r="E5405" s="116"/>
    </row>
    <row r="5406" spans="1:5" x14ac:dyDescent="0.25">
      <c r="A5406" s="83"/>
      <c r="B5406" s="84"/>
      <c r="C5406" s="84"/>
      <c r="D5406" s="116"/>
      <c r="E5406" s="116"/>
    </row>
    <row r="5407" spans="1:5" x14ac:dyDescent="0.25">
      <c r="A5407" s="83"/>
      <c r="B5407" s="84"/>
      <c r="C5407" s="84"/>
      <c r="D5407" s="116"/>
      <c r="E5407" s="116"/>
    </row>
    <row r="5408" spans="1:5" x14ac:dyDescent="0.25">
      <c r="A5408" s="83"/>
      <c r="B5408" s="84"/>
      <c r="C5408" s="84"/>
      <c r="D5408" s="116"/>
      <c r="E5408" s="116"/>
    </row>
    <row r="5409" spans="1:5" x14ac:dyDescent="0.25">
      <c r="A5409" s="83"/>
      <c r="B5409" s="84"/>
      <c r="C5409" s="84"/>
      <c r="D5409" s="116"/>
      <c r="E5409" s="116"/>
    </row>
    <row r="5410" spans="1:5" x14ac:dyDescent="0.25">
      <c r="A5410" s="83"/>
      <c r="B5410" s="84"/>
      <c r="C5410" s="84"/>
      <c r="D5410" s="116"/>
      <c r="E5410" s="116"/>
    </row>
    <row r="5411" spans="1:5" x14ac:dyDescent="0.25">
      <c r="A5411" s="83"/>
      <c r="B5411" s="84"/>
      <c r="C5411" s="84"/>
      <c r="D5411" s="116"/>
      <c r="E5411" s="116"/>
    </row>
    <row r="5412" spans="1:5" x14ac:dyDescent="0.25">
      <c r="A5412" s="83"/>
      <c r="B5412" s="84"/>
      <c r="C5412" s="84"/>
      <c r="D5412" s="116"/>
      <c r="E5412" s="116"/>
    </row>
    <row r="5413" spans="1:5" x14ac:dyDescent="0.25">
      <c r="A5413" s="83"/>
      <c r="B5413" s="84"/>
      <c r="C5413" s="84"/>
      <c r="D5413" s="116"/>
      <c r="E5413" s="116"/>
    </row>
    <row r="5414" spans="1:5" x14ac:dyDescent="0.25">
      <c r="A5414" s="83"/>
      <c r="B5414" s="84"/>
      <c r="C5414" s="84"/>
      <c r="D5414" s="116"/>
      <c r="E5414" s="116"/>
    </row>
    <row r="5415" spans="1:5" x14ac:dyDescent="0.25">
      <c r="A5415" s="83"/>
      <c r="B5415" s="84"/>
      <c r="C5415" s="84"/>
      <c r="D5415" s="116"/>
      <c r="E5415" s="116"/>
    </row>
    <row r="5416" spans="1:5" x14ac:dyDescent="0.25">
      <c r="A5416" s="83"/>
      <c r="B5416" s="84"/>
      <c r="C5416" s="84"/>
      <c r="D5416" s="116"/>
      <c r="E5416" s="116"/>
    </row>
    <row r="5417" spans="1:5" x14ac:dyDescent="0.25">
      <c r="A5417" s="83"/>
      <c r="B5417" s="84"/>
      <c r="C5417" s="84"/>
      <c r="D5417" s="116"/>
      <c r="E5417" s="116"/>
    </row>
    <row r="5418" spans="1:5" x14ac:dyDescent="0.25">
      <c r="A5418" s="83"/>
      <c r="B5418" s="84"/>
      <c r="C5418" s="84"/>
      <c r="D5418" s="116"/>
      <c r="E5418" s="116"/>
    </row>
    <row r="5419" spans="1:5" x14ac:dyDescent="0.25">
      <c r="A5419" s="83"/>
      <c r="B5419" s="84"/>
      <c r="C5419" s="84"/>
      <c r="D5419" s="116"/>
      <c r="E5419" s="116"/>
    </row>
    <row r="5420" spans="1:5" x14ac:dyDescent="0.25">
      <c r="A5420" s="83"/>
      <c r="B5420" s="84"/>
      <c r="C5420" s="84"/>
      <c r="D5420" s="116"/>
      <c r="E5420" s="116"/>
    </row>
    <row r="5421" spans="1:5" x14ac:dyDescent="0.25">
      <c r="A5421" s="83"/>
      <c r="B5421" s="84"/>
      <c r="C5421" s="84"/>
      <c r="D5421" s="116"/>
      <c r="E5421" s="116"/>
    </row>
    <row r="5422" spans="1:5" x14ac:dyDescent="0.25">
      <c r="A5422" s="83"/>
      <c r="B5422" s="84"/>
      <c r="C5422" s="84"/>
      <c r="D5422" s="116"/>
      <c r="E5422" s="116"/>
    </row>
    <row r="5423" spans="1:5" x14ac:dyDescent="0.25">
      <c r="A5423" s="83"/>
      <c r="B5423" s="84"/>
      <c r="C5423" s="84"/>
      <c r="D5423" s="116"/>
      <c r="E5423" s="116"/>
    </row>
    <row r="5424" spans="1:5" x14ac:dyDescent="0.25">
      <c r="A5424" s="83"/>
      <c r="B5424" s="84"/>
      <c r="C5424" s="84"/>
      <c r="D5424" s="116"/>
      <c r="E5424" s="116"/>
    </row>
    <row r="5425" spans="1:5" x14ac:dyDescent="0.25">
      <c r="A5425" s="83"/>
      <c r="B5425" s="84"/>
      <c r="C5425" s="84"/>
      <c r="D5425" s="116"/>
      <c r="E5425" s="116"/>
    </row>
    <row r="5426" spans="1:5" x14ac:dyDescent="0.25">
      <c r="A5426" s="83"/>
      <c r="B5426" s="84"/>
      <c r="C5426" s="84"/>
      <c r="D5426" s="116"/>
      <c r="E5426" s="116"/>
    </row>
    <row r="5427" spans="1:5" x14ac:dyDescent="0.25">
      <c r="A5427" s="83"/>
      <c r="B5427" s="84"/>
      <c r="C5427" s="84"/>
      <c r="D5427" s="116"/>
      <c r="E5427" s="116"/>
    </row>
    <row r="5428" spans="1:5" x14ac:dyDescent="0.25">
      <c r="A5428" s="83"/>
      <c r="B5428" s="84"/>
      <c r="C5428" s="84"/>
      <c r="D5428" s="116"/>
      <c r="E5428" s="116"/>
    </row>
    <row r="5429" spans="1:5" x14ac:dyDescent="0.25">
      <c r="A5429" s="83"/>
      <c r="B5429" s="84"/>
      <c r="C5429" s="84"/>
      <c r="D5429" s="116"/>
      <c r="E5429" s="116"/>
    </row>
    <row r="5430" spans="1:5" x14ac:dyDescent="0.25">
      <c r="A5430" s="83"/>
      <c r="B5430" s="84"/>
      <c r="C5430" s="84"/>
      <c r="D5430" s="116"/>
      <c r="E5430" s="116"/>
    </row>
    <row r="5431" spans="1:5" x14ac:dyDescent="0.25">
      <c r="A5431" s="83"/>
      <c r="B5431" s="84"/>
      <c r="C5431" s="84"/>
      <c r="D5431" s="116"/>
      <c r="E5431" s="116"/>
    </row>
    <row r="5432" spans="1:5" x14ac:dyDescent="0.25">
      <c r="A5432" s="83"/>
      <c r="B5432" s="84"/>
      <c r="C5432" s="84"/>
      <c r="D5432" s="116"/>
      <c r="E5432" s="116"/>
    </row>
    <row r="5433" spans="1:5" x14ac:dyDescent="0.25">
      <c r="A5433" s="83"/>
      <c r="B5433" s="84"/>
      <c r="C5433" s="84"/>
      <c r="D5433" s="116"/>
      <c r="E5433" s="116"/>
    </row>
    <row r="5434" spans="1:5" x14ac:dyDescent="0.25">
      <c r="A5434" s="83"/>
      <c r="B5434" s="84"/>
      <c r="C5434" s="84"/>
      <c r="D5434" s="116"/>
      <c r="E5434" s="116"/>
    </row>
    <row r="5435" spans="1:5" x14ac:dyDescent="0.25">
      <c r="A5435" s="83"/>
      <c r="B5435" s="84"/>
      <c r="C5435" s="84"/>
      <c r="D5435" s="116"/>
      <c r="E5435" s="116"/>
    </row>
    <row r="5436" spans="1:5" x14ac:dyDescent="0.25">
      <c r="A5436" s="83"/>
      <c r="B5436" s="84"/>
      <c r="C5436" s="84"/>
      <c r="D5436" s="116"/>
      <c r="E5436" s="116"/>
    </row>
    <row r="5437" spans="1:5" x14ac:dyDescent="0.25">
      <c r="A5437" s="83"/>
      <c r="B5437" s="84"/>
      <c r="C5437" s="84"/>
      <c r="D5437" s="116"/>
      <c r="E5437" s="116"/>
    </row>
    <row r="5438" spans="1:5" x14ac:dyDescent="0.25">
      <c r="A5438" s="83"/>
      <c r="B5438" s="84"/>
      <c r="C5438" s="84"/>
      <c r="D5438" s="116"/>
      <c r="E5438" s="116"/>
    </row>
    <row r="5439" spans="1:5" x14ac:dyDescent="0.25">
      <c r="A5439" s="83"/>
      <c r="B5439" s="84"/>
      <c r="C5439" s="84"/>
      <c r="D5439" s="116"/>
      <c r="E5439" s="116"/>
    </row>
    <row r="5440" spans="1:5" x14ac:dyDescent="0.25">
      <c r="A5440" s="83"/>
      <c r="B5440" s="84"/>
      <c r="C5440" s="84"/>
      <c r="D5440" s="116"/>
      <c r="E5440" s="116"/>
    </row>
    <row r="5441" spans="1:5" x14ac:dyDescent="0.25">
      <c r="A5441" s="83"/>
      <c r="B5441" s="84"/>
      <c r="C5441" s="84"/>
      <c r="D5441" s="116"/>
      <c r="E5441" s="116"/>
    </row>
    <row r="5442" spans="1:5" x14ac:dyDescent="0.25">
      <c r="A5442" s="83"/>
      <c r="B5442" s="84"/>
      <c r="C5442" s="84"/>
      <c r="D5442" s="116"/>
      <c r="E5442" s="116"/>
    </row>
    <row r="5443" spans="1:5" x14ac:dyDescent="0.25">
      <c r="A5443" s="83"/>
      <c r="B5443" s="84"/>
      <c r="C5443" s="84"/>
      <c r="D5443" s="116"/>
      <c r="E5443" s="116"/>
    </row>
    <row r="5444" spans="1:5" x14ac:dyDescent="0.25">
      <c r="A5444" s="83"/>
      <c r="B5444" s="84"/>
      <c r="C5444" s="84"/>
      <c r="D5444" s="116"/>
      <c r="E5444" s="116"/>
    </row>
    <row r="5445" spans="1:5" x14ac:dyDescent="0.25">
      <c r="A5445" s="83"/>
      <c r="B5445" s="84"/>
      <c r="C5445" s="84"/>
      <c r="D5445" s="116"/>
      <c r="E5445" s="116"/>
    </row>
    <row r="5446" spans="1:5" x14ac:dyDescent="0.25">
      <c r="A5446" s="83"/>
      <c r="B5446" s="84"/>
      <c r="C5446" s="84"/>
      <c r="D5446" s="116"/>
      <c r="E5446" s="116"/>
    </row>
    <row r="5447" spans="1:5" x14ac:dyDescent="0.25">
      <c r="A5447" s="83"/>
      <c r="B5447" s="84"/>
      <c r="C5447" s="84"/>
      <c r="D5447" s="116"/>
      <c r="E5447" s="116"/>
    </row>
    <row r="5448" spans="1:5" x14ac:dyDescent="0.25">
      <c r="A5448" s="83"/>
      <c r="B5448" s="84"/>
      <c r="C5448" s="84"/>
      <c r="D5448" s="116"/>
      <c r="E5448" s="116"/>
    </row>
    <row r="5449" spans="1:5" x14ac:dyDescent="0.25">
      <c r="A5449" s="83"/>
      <c r="B5449" s="84"/>
      <c r="C5449" s="84"/>
      <c r="D5449" s="116"/>
      <c r="E5449" s="116"/>
    </row>
    <row r="5450" spans="1:5" x14ac:dyDescent="0.25">
      <c r="A5450" s="83"/>
      <c r="B5450" s="84"/>
      <c r="C5450" s="84"/>
      <c r="D5450" s="116"/>
      <c r="E5450" s="116"/>
    </row>
    <row r="5451" spans="1:5" x14ac:dyDescent="0.25">
      <c r="A5451" s="83"/>
      <c r="B5451" s="84"/>
      <c r="C5451" s="84"/>
      <c r="D5451" s="116"/>
      <c r="E5451" s="116"/>
    </row>
    <row r="5452" spans="1:5" x14ac:dyDescent="0.25">
      <c r="A5452" s="83"/>
      <c r="B5452" s="84"/>
      <c r="C5452" s="84"/>
      <c r="D5452" s="116"/>
      <c r="E5452" s="116"/>
    </row>
    <row r="5453" spans="1:5" x14ac:dyDescent="0.25">
      <c r="A5453" s="83"/>
      <c r="B5453" s="84"/>
      <c r="C5453" s="84"/>
      <c r="D5453" s="116"/>
      <c r="E5453" s="116"/>
    </row>
    <row r="5454" spans="1:5" x14ac:dyDescent="0.25">
      <c r="A5454" s="83"/>
      <c r="B5454" s="84"/>
      <c r="C5454" s="84"/>
      <c r="D5454" s="116"/>
      <c r="E5454" s="116"/>
    </row>
    <row r="5455" spans="1:5" x14ac:dyDescent="0.25">
      <c r="A5455" s="83"/>
      <c r="B5455" s="84"/>
      <c r="C5455" s="84"/>
      <c r="D5455" s="116"/>
      <c r="E5455" s="116"/>
    </row>
    <row r="5456" spans="1:5" x14ac:dyDescent="0.25">
      <c r="A5456" s="83"/>
      <c r="B5456" s="84"/>
      <c r="C5456" s="84"/>
      <c r="D5456" s="116"/>
      <c r="E5456" s="116"/>
    </row>
    <row r="5457" spans="1:5" x14ac:dyDescent="0.25">
      <c r="A5457" s="83"/>
      <c r="B5457" s="84"/>
      <c r="C5457" s="84"/>
      <c r="D5457" s="116"/>
      <c r="E5457" s="116"/>
    </row>
    <row r="5458" spans="1:5" x14ac:dyDescent="0.25">
      <c r="A5458" s="83"/>
      <c r="B5458" s="84"/>
      <c r="C5458" s="84"/>
      <c r="D5458" s="116"/>
      <c r="E5458" s="116"/>
    </row>
    <row r="5459" spans="1:5" x14ac:dyDescent="0.25">
      <c r="A5459" s="83"/>
      <c r="B5459" s="84"/>
      <c r="C5459" s="84"/>
      <c r="D5459" s="116"/>
      <c r="E5459" s="116"/>
    </row>
    <row r="5460" spans="1:5" x14ac:dyDescent="0.25">
      <c r="A5460" s="83"/>
      <c r="B5460" s="84"/>
      <c r="C5460" s="84"/>
      <c r="D5460" s="116"/>
      <c r="E5460" s="116"/>
    </row>
    <row r="5461" spans="1:5" x14ac:dyDescent="0.25">
      <c r="A5461" s="83"/>
      <c r="B5461" s="84"/>
      <c r="C5461" s="84"/>
      <c r="D5461" s="116"/>
      <c r="E5461" s="116"/>
    </row>
    <row r="5462" spans="1:5" x14ac:dyDescent="0.25">
      <c r="A5462" s="83"/>
      <c r="B5462" s="84"/>
      <c r="C5462" s="84"/>
      <c r="D5462" s="116"/>
      <c r="E5462" s="116"/>
    </row>
    <row r="5463" spans="1:5" x14ac:dyDescent="0.25">
      <c r="A5463" s="83"/>
      <c r="B5463" s="84"/>
      <c r="C5463" s="84"/>
      <c r="D5463" s="116"/>
      <c r="E5463" s="116"/>
    </row>
    <row r="5464" spans="1:5" x14ac:dyDescent="0.25">
      <c r="A5464" s="83"/>
      <c r="B5464" s="84"/>
      <c r="C5464" s="84"/>
      <c r="D5464" s="116"/>
      <c r="E5464" s="116"/>
    </row>
    <row r="5465" spans="1:5" x14ac:dyDescent="0.25">
      <c r="A5465" s="83"/>
      <c r="B5465" s="84"/>
      <c r="C5465" s="84"/>
      <c r="D5465" s="116"/>
      <c r="E5465" s="116"/>
    </row>
    <row r="5466" spans="1:5" x14ac:dyDescent="0.25">
      <c r="A5466" s="83"/>
      <c r="B5466" s="84"/>
      <c r="C5466" s="84"/>
      <c r="D5466" s="116"/>
      <c r="E5466" s="116"/>
    </row>
    <row r="5467" spans="1:5" x14ac:dyDescent="0.25">
      <c r="A5467" s="83"/>
      <c r="B5467" s="84"/>
      <c r="C5467" s="84"/>
      <c r="D5467" s="116"/>
      <c r="E5467" s="116"/>
    </row>
    <row r="5468" spans="1:5" x14ac:dyDescent="0.25">
      <c r="A5468" s="83"/>
      <c r="B5468" s="84"/>
      <c r="C5468" s="84"/>
      <c r="D5468" s="116"/>
      <c r="E5468" s="116"/>
    </row>
    <row r="5469" spans="1:5" x14ac:dyDescent="0.25">
      <c r="A5469" s="83"/>
      <c r="B5469" s="84"/>
      <c r="C5469" s="84"/>
      <c r="D5469" s="116"/>
      <c r="E5469" s="116"/>
    </row>
    <row r="5470" spans="1:5" x14ac:dyDescent="0.25">
      <c r="A5470" s="83"/>
      <c r="B5470" s="84"/>
      <c r="C5470" s="84"/>
      <c r="D5470" s="116"/>
      <c r="E5470" s="116"/>
    </row>
    <row r="5471" spans="1:5" x14ac:dyDescent="0.25">
      <c r="A5471" s="83"/>
      <c r="B5471" s="84"/>
      <c r="C5471" s="84"/>
      <c r="D5471" s="116"/>
      <c r="E5471" s="116"/>
    </row>
    <row r="5472" spans="1:5" x14ac:dyDescent="0.25">
      <c r="A5472" s="83"/>
      <c r="B5472" s="84"/>
      <c r="C5472" s="84"/>
      <c r="D5472" s="116"/>
      <c r="E5472" s="116"/>
    </row>
    <row r="5473" spans="1:5" x14ac:dyDescent="0.25">
      <c r="A5473" s="83"/>
      <c r="B5473" s="84"/>
      <c r="C5473" s="84"/>
      <c r="D5473" s="116"/>
      <c r="E5473" s="116"/>
    </row>
    <row r="5474" spans="1:5" x14ac:dyDescent="0.25">
      <c r="A5474" s="83"/>
      <c r="B5474" s="84"/>
      <c r="C5474" s="84"/>
      <c r="D5474" s="116"/>
      <c r="E5474" s="116"/>
    </row>
    <row r="5475" spans="1:5" x14ac:dyDescent="0.25">
      <c r="A5475" s="83"/>
      <c r="B5475" s="84"/>
      <c r="C5475" s="84"/>
      <c r="D5475" s="116"/>
      <c r="E5475" s="116"/>
    </row>
    <row r="5476" spans="1:5" x14ac:dyDescent="0.25">
      <c r="A5476" s="83"/>
      <c r="B5476" s="84"/>
      <c r="C5476" s="84"/>
      <c r="D5476" s="116"/>
      <c r="E5476" s="116"/>
    </row>
    <row r="5477" spans="1:5" x14ac:dyDescent="0.25">
      <c r="A5477" s="83"/>
      <c r="B5477" s="84"/>
      <c r="C5477" s="84"/>
      <c r="D5477" s="116"/>
      <c r="E5477" s="116"/>
    </row>
    <row r="5478" spans="1:5" x14ac:dyDescent="0.25">
      <c r="A5478" s="83"/>
      <c r="B5478" s="84"/>
      <c r="C5478" s="84"/>
      <c r="D5478" s="116"/>
      <c r="E5478" s="116"/>
    </row>
    <row r="5479" spans="1:5" x14ac:dyDescent="0.25">
      <c r="A5479" s="83"/>
      <c r="B5479" s="84"/>
      <c r="C5479" s="84"/>
      <c r="D5479" s="116"/>
      <c r="E5479" s="116"/>
    </row>
    <row r="5480" spans="1:5" x14ac:dyDescent="0.25">
      <c r="A5480" s="83"/>
      <c r="B5480" s="84"/>
      <c r="C5480" s="84"/>
      <c r="D5480" s="116"/>
      <c r="E5480" s="116"/>
    </row>
    <row r="5481" spans="1:5" x14ac:dyDescent="0.25">
      <c r="A5481" s="83"/>
      <c r="B5481" s="84"/>
      <c r="C5481" s="84"/>
      <c r="D5481" s="116"/>
      <c r="E5481" s="116"/>
    </row>
    <row r="5482" spans="1:5" x14ac:dyDescent="0.25">
      <c r="A5482" s="83"/>
      <c r="B5482" s="84"/>
      <c r="C5482" s="84"/>
      <c r="D5482" s="116"/>
      <c r="E5482" s="116"/>
    </row>
    <row r="5483" spans="1:5" x14ac:dyDescent="0.25">
      <c r="A5483" s="83"/>
      <c r="B5483" s="84"/>
      <c r="C5483" s="84"/>
      <c r="D5483" s="116"/>
      <c r="E5483" s="116"/>
    </row>
    <row r="5484" spans="1:5" x14ac:dyDescent="0.25">
      <c r="A5484" s="83"/>
      <c r="B5484" s="84"/>
      <c r="C5484" s="84"/>
      <c r="D5484" s="116"/>
      <c r="E5484" s="116"/>
    </row>
    <row r="5485" spans="1:5" x14ac:dyDescent="0.25">
      <c r="A5485" s="83"/>
      <c r="B5485" s="84"/>
      <c r="C5485" s="84"/>
      <c r="D5485" s="116"/>
      <c r="E5485" s="116"/>
    </row>
    <row r="5486" spans="1:5" x14ac:dyDescent="0.25">
      <c r="A5486" s="83"/>
      <c r="B5486" s="84"/>
      <c r="C5486" s="84"/>
      <c r="D5486" s="116"/>
      <c r="E5486" s="116"/>
    </row>
    <row r="5487" spans="1:5" x14ac:dyDescent="0.25">
      <c r="A5487" s="83"/>
      <c r="B5487" s="84"/>
      <c r="C5487" s="84"/>
      <c r="D5487" s="116"/>
      <c r="E5487" s="116"/>
    </row>
    <row r="5488" spans="1:5" x14ac:dyDescent="0.25">
      <c r="A5488" s="83"/>
      <c r="B5488" s="84"/>
      <c r="C5488" s="84"/>
      <c r="D5488" s="116"/>
      <c r="E5488" s="116"/>
    </row>
    <row r="5489" spans="1:5" x14ac:dyDescent="0.25">
      <c r="A5489" s="83"/>
      <c r="B5489" s="84"/>
      <c r="C5489" s="84"/>
      <c r="D5489" s="116"/>
      <c r="E5489" s="116"/>
    </row>
    <row r="5490" spans="1:5" x14ac:dyDescent="0.25">
      <c r="A5490" s="83"/>
      <c r="B5490" s="84"/>
      <c r="C5490" s="84"/>
      <c r="D5490" s="116"/>
      <c r="E5490" s="116"/>
    </row>
    <row r="5491" spans="1:5" x14ac:dyDescent="0.25">
      <c r="A5491" s="83"/>
      <c r="B5491" s="84"/>
      <c r="C5491" s="84"/>
      <c r="D5491" s="116"/>
      <c r="E5491" s="116"/>
    </row>
    <row r="5492" spans="1:5" x14ac:dyDescent="0.25">
      <c r="A5492" s="83"/>
      <c r="B5492" s="84"/>
      <c r="C5492" s="84"/>
      <c r="D5492" s="116"/>
      <c r="E5492" s="116"/>
    </row>
    <row r="5493" spans="1:5" x14ac:dyDescent="0.25">
      <c r="A5493" s="83"/>
      <c r="B5493" s="84"/>
      <c r="C5493" s="84"/>
      <c r="D5493" s="116"/>
      <c r="E5493" s="116"/>
    </row>
    <row r="5494" spans="1:5" x14ac:dyDescent="0.25">
      <c r="A5494" s="83"/>
      <c r="B5494" s="84"/>
      <c r="C5494" s="84"/>
      <c r="D5494" s="116"/>
      <c r="E5494" s="116"/>
    </row>
    <row r="5495" spans="1:5" x14ac:dyDescent="0.25">
      <c r="A5495" s="83"/>
      <c r="B5495" s="84"/>
      <c r="C5495" s="84"/>
      <c r="D5495" s="116"/>
      <c r="E5495" s="116"/>
    </row>
    <row r="5496" spans="1:5" x14ac:dyDescent="0.25">
      <c r="A5496" s="83"/>
      <c r="B5496" s="84"/>
      <c r="C5496" s="84"/>
      <c r="D5496" s="116"/>
      <c r="E5496" s="116"/>
    </row>
    <row r="5497" spans="1:5" x14ac:dyDescent="0.25">
      <c r="A5497" s="83"/>
      <c r="B5497" s="84"/>
      <c r="C5497" s="84"/>
      <c r="D5497" s="116"/>
      <c r="E5497" s="116"/>
    </row>
    <row r="5498" spans="1:5" x14ac:dyDescent="0.25">
      <c r="A5498" s="83"/>
      <c r="B5498" s="84"/>
      <c r="C5498" s="84"/>
      <c r="D5498" s="116"/>
      <c r="E5498" s="116"/>
    </row>
    <row r="5499" spans="1:5" x14ac:dyDescent="0.25">
      <c r="A5499" s="83"/>
      <c r="B5499" s="84"/>
      <c r="C5499" s="84"/>
      <c r="D5499" s="116"/>
      <c r="E5499" s="116"/>
    </row>
    <row r="5500" spans="1:5" x14ac:dyDescent="0.25">
      <c r="A5500" s="83"/>
      <c r="B5500" s="84"/>
      <c r="C5500" s="84"/>
      <c r="D5500" s="116"/>
      <c r="E5500" s="116"/>
    </row>
    <row r="5501" spans="1:5" x14ac:dyDescent="0.25">
      <c r="A5501" s="83"/>
      <c r="B5501" s="84"/>
      <c r="C5501" s="84"/>
      <c r="D5501" s="116"/>
      <c r="E5501" s="116"/>
    </row>
    <row r="5502" spans="1:5" x14ac:dyDescent="0.25">
      <c r="A5502" s="83"/>
      <c r="B5502" s="84"/>
      <c r="C5502" s="84"/>
      <c r="D5502" s="116"/>
      <c r="E5502" s="116"/>
    </row>
    <row r="5503" spans="1:5" x14ac:dyDescent="0.25">
      <c r="A5503" s="83"/>
      <c r="B5503" s="84"/>
      <c r="C5503" s="84"/>
      <c r="D5503" s="116"/>
      <c r="E5503" s="116"/>
    </row>
    <row r="5504" spans="1:5" x14ac:dyDescent="0.25">
      <c r="A5504" s="83"/>
      <c r="B5504" s="84"/>
      <c r="C5504" s="84"/>
      <c r="D5504" s="116"/>
      <c r="E5504" s="116"/>
    </row>
    <row r="5505" spans="1:5" x14ac:dyDescent="0.25">
      <c r="A5505" s="83"/>
      <c r="B5505" s="84"/>
      <c r="C5505" s="84"/>
      <c r="D5505" s="116"/>
      <c r="E5505" s="116"/>
    </row>
    <row r="5506" spans="1:5" x14ac:dyDescent="0.25">
      <c r="A5506" s="83"/>
      <c r="B5506" s="84"/>
      <c r="C5506" s="84"/>
      <c r="D5506" s="116"/>
      <c r="E5506" s="116"/>
    </row>
    <row r="5507" spans="1:5" x14ac:dyDescent="0.25">
      <c r="A5507" s="83"/>
      <c r="B5507" s="84"/>
      <c r="C5507" s="84"/>
      <c r="D5507" s="116"/>
      <c r="E5507" s="116"/>
    </row>
    <row r="5508" spans="1:5" x14ac:dyDescent="0.25">
      <c r="A5508" s="83"/>
      <c r="B5508" s="84"/>
      <c r="C5508" s="84"/>
      <c r="D5508" s="116"/>
      <c r="E5508" s="116"/>
    </row>
    <row r="5509" spans="1:5" x14ac:dyDescent="0.25">
      <c r="A5509" s="83"/>
      <c r="B5509" s="84"/>
      <c r="C5509" s="84"/>
      <c r="D5509" s="116"/>
      <c r="E5509" s="116"/>
    </row>
    <row r="5510" spans="1:5" x14ac:dyDescent="0.25">
      <c r="A5510" s="83"/>
      <c r="B5510" s="84"/>
      <c r="C5510" s="84"/>
      <c r="D5510" s="116"/>
      <c r="E5510" s="116"/>
    </row>
    <row r="5511" spans="1:5" x14ac:dyDescent="0.25">
      <c r="A5511" s="83"/>
      <c r="B5511" s="84"/>
      <c r="C5511" s="84"/>
      <c r="D5511" s="116"/>
      <c r="E5511" s="116"/>
    </row>
    <row r="5512" spans="1:5" x14ac:dyDescent="0.25">
      <c r="A5512" s="83"/>
      <c r="B5512" s="84"/>
      <c r="C5512" s="84"/>
      <c r="D5512" s="116"/>
      <c r="E5512" s="116"/>
    </row>
    <row r="5513" spans="1:5" x14ac:dyDescent="0.25">
      <c r="A5513" s="83"/>
      <c r="B5513" s="84"/>
      <c r="C5513" s="84"/>
      <c r="D5513" s="116"/>
      <c r="E5513" s="116"/>
    </row>
    <row r="5514" spans="1:5" x14ac:dyDescent="0.25">
      <c r="A5514" s="83"/>
      <c r="B5514" s="84"/>
      <c r="C5514" s="84"/>
      <c r="D5514" s="116"/>
      <c r="E5514" s="116"/>
    </row>
    <row r="5515" spans="1:5" x14ac:dyDescent="0.25">
      <c r="A5515" s="83"/>
      <c r="B5515" s="84"/>
      <c r="C5515" s="84"/>
      <c r="D5515" s="116"/>
      <c r="E5515" s="116"/>
    </row>
    <row r="5516" spans="1:5" x14ac:dyDescent="0.25">
      <c r="A5516" s="83"/>
      <c r="B5516" s="84"/>
      <c r="C5516" s="84"/>
      <c r="D5516" s="116"/>
      <c r="E5516" s="116"/>
    </row>
    <row r="5517" spans="1:5" x14ac:dyDescent="0.25">
      <c r="A5517" s="83"/>
      <c r="B5517" s="84"/>
      <c r="C5517" s="84"/>
      <c r="D5517" s="116"/>
      <c r="E5517" s="116"/>
    </row>
    <row r="5518" spans="1:5" x14ac:dyDescent="0.25">
      <c r="A5518" s="83"/>
      <c r="B5518" s="84"/>
      <c r="C5518" s="84"/>
      <c r="D5518" s="116"/>
      <c r="E5518" s="116"/>
    </row>
    <row r="5519" spans="1:5" x14ac:dyDescent="0.25">
      <c r="A5519" s="83"/>
      <c r="B5519" s="84"/>
      <c r="C5519" s="84"/>
      <c r="D5519" s="116"/>
      <c r="E5519" s="116"/>
    </row>
    <row r="5520" spans="1:5" x14ac:dyDescent="0.25">
      <c r="A5520" s="83"/>
      <c r="B5520" s="84"/>
      <c r="C5520" s="84"/>
      <c r="D5520" s="116"/>
      <c r="E5520" s="116"/>
    </row>
    <row r="5521" spans="1:5" x14ac:dyDescent="0.25">
      <c r="A5521" s="83"/>
      <c r="B5521" s="84"/>
      <c r="C5521" s="84"/>
      <c r="D5521" s="116"/>
      <c r="E5521" s="116"/>
    </row>
    <row r="5522" spans="1:5" x14ac:dyDescent="0.25">
      <c r="A5522" s="83"/>
      <c r="B5522" s="84"/>
      <c r="C5522" s="84"/>
      <c r="D5522" s="116"/>
      <c r="E5522" s="116"/>
    </row>
    <row r="5523" spans="1:5" x14ac:dyDescent="0.25">
      <c r="A5523" s="83"/>
      <c r="B5523" s="84"/>
      <c r="C5523" s="84"/>
      <c r="D5523" s="116"/>
      <c r="E5523" s="116"/>
    </row>
    <row r="5524" spans="1:5" x14ac:dyDescent="0.25">
      <c r="A5524" s="83"/>
      <c r="B5524" s="84"/>
      <c r="C5524" s="84"/>
      <c r="D5524" s="116"/>
      <c r="E5524" s="116"/>
    </row>
    <row r="5525" spans="1:5" x14ac:dyDescent="0.25">
      <c r="A5525" s="83"/>
      <c r="B5525" s="84"/>
      <c r="C5525" s="84"/>
      <c r="D5525" s="116"/>
      <c r="E5525" s="116"/>
    </row>
    <row r="5526" spans="1:5" x14ac:dyDescent="0.25">
      <c r="A5526" s="83"/>
      <c r="B5526" s="84"/>
      <c r="C5526" s="84"/>
      <c r="D5526" s="116"/>
      <c r="E5526" s="116"/>
    </row>
    <row r="5527" spans="1:5" x14ac:dyDescent="0.25">
      <c r="A5527" s="83"/>
      <c r="B5527" s="84"/>
      <c r="C5527" s="84"/>
      <c r="D5527" s="116"/>
      <c r="E5527" s="116"/>
    </row>
    <row r="5528" spans="1:5" x14ac:dyDescent="0.25">
      <c r="A5528" s="83"/>
      <c r="B5528" s="84"/>
      <c r="C5528" s="84"/>
      <c r="D5528" s="116"/>
      <c r="E5528" s="116"/>
    </row>
    <row r="5529" spans="1:5" x14ac:dyDescent="0.25">
      <c r="A5529" s="83"/>
      <c r="B5529" s="84"/>
      <c r="C5529" s="84"/>
      <c r="D5529" s="116"/>
      <c r="E5529" s="116"/>
    </row>
    <row r="5530" spans="1:5" x14ac:dyDescent="0.25">
      <c r="A5530" s="83"/>
      <c r="B5530" s="84"/>
      <c r="C5530" s="84"/>
      <c r="D5530" s="116"/>
      <c r="E5530" s="116"/>
    </row>
    <row r="5531" spans="1:5" x14ac:dyDescent="0.25">
      <c r="A5531" s="83"/>
      <c r="B5531" s="84"/>
      <c r="C5531" s="84"/>
      <c r="D5531" s="116"/>
      <c r="E5531" s="116"/>
    </row>
    <row r="5532" spans="1:5" x14ac:dyDescent="0.25">
      <c r="A5532" s="83"/>
      <c r="B5532" s="84"/>
      <c r="C5532" s="84"/>
      <c r="D5532" s="116"/>
      <c r="E5532" s="116"/>
    </row>
    <row r="5533" spans="1:5" x14ac:dyDescent="0.25">
      <c r="A5533" s="83"/>
      <c r="B5533" s="84"/>
      <c r="C5533" s="84"/>
      <c r="D5533" s="116"/>
      <c r="E5533" s="116"/>
    </row>
    <row r="5534" spans="1:5" x14ac:dyDescent="0.25">
      <c r="A5534" s="83"/>
      <c r="B5534" s="84"/>
      <c r="C5534" s="84"/>
      <c r="D5534" s="116"/>
      <c r="E5534" s="116"/>
    </row>
    <row r="5535" spans="1:5" x14ac:dyDescent="0.25">
      <c r="A5535" s="83"/>
      <c r="B5535" s="84"/>
      <c r="C5535" s="84"/>
      <c r="D5535" s="116"/>
      <c r="E5535" s="116"/>
    </row>
    <row r="5536" spans="1:5" x14ac:dyDescent="0.25">
      <c r="A5536" s="83"/>
      <c r="B5536" s="84"/>
      <c r="C5536" s="84"/>
      <c r="D5536" s="116"/>
      <c r="E5536" s="116"/>
    </row>
    <row r="5537" spans="1:5" x14ac:dyDescent="0.25">
      <c r="A5537" s="83"/>
      <c r="B5537" s="84"/>
      <c r="C5537" s="84"/>
      <c r="D5537" s="116"/>
      <c r="E5537" s="116"/>
    </row>
    <row r="5538" spans="1:5" x14ac:dyDescent="0.25">
      <c r="A5538" s="83"/>
      <c r="B5538" s="84"/>
      <c r="C5538" s="84"/>
      <c r="D5538" s="116"/>
      <c r="E5538" s="116"/>
    </row>
    <row r="5539" spans="1:5" x14ac:dyDescent="0.25">
      <c r="A5539" s="83"/>
      <c r="B5539" s="84"/>
      <c r="C5539" s="84"/>
      <c r="D5539" s="116"/>
      <c r="E5539" s="116"/>
    </row>
    <row r="5540" spans="1:5" x14ac:dyDescent="0.25">
      <c r="A5540" s="83"/>
      <c r="B5540" s="84"/>
      <c r="C5540" s="84"/>
      <c r="D5540" s="116"/>
      <c r="E5540" s="116"/>
    </row>
    <row r="5541" spans="1:5" x14ac:dyDescent="0.25">
      <c r="A5541" s="83"/>
      <c r="B5541" s="84"/>
      <c r="C5541" s="84"/>
      <c r="D5541" s="116"/>
      <c r="E5541" s="116"/>
    </row>
    <row r="5542" spans="1:5" x14ac:dyDescent="0.25">
      <c r="A5542" s="83"/>
      <c r="B5542" s="84"/>
      <c r="C5542" s="84"/>
      <c r="D5542" s="116"/>
      <c r="E5542" s="116"/>
    </row>
    <row r="5543" spans="1:5" x14ac:dyDescent="0.25">
      <c r="A5543" s="83"/>
      <c r="B5543" s="84"/>
      <c r="C5543" s="84"/>
      <c r="D5543" s="116"/>
      <c r="E5543" s="116"/>
    </row>
    <row r="5544" spans="1:5" x14ac:dyDescent="0.25">
      <c r="A5544" s="83"/>
      <c r="B5544" s="84"/>
      <c r="C5544" s="84"/>
      <c r="D5544" s="116"/>
      <c r="E5544" s="116"/>
    </row>
    <row r="5545" spans="1:5" x14ac:dyDescent="0.25">
      <c r="A5545" s="83"/>
      <c r="B5545" s="84"/>
      <c r="C5545" s="84"/>
      <c r="D5545" s="116"/>
      <c r="E5545" s="116"/>
    </row>
    <row r="5546" spans="1:5" x14ac:dyDescent="0.25">
      <c r="A5546" s="83"/>
      <c r="B5546" s="84"/>
      <c r="C5546" s="84"/>
      <c r="D5546" s="116"/>
      <c r="E5546" s="116"/>
    </row>
    <row r="5547" spans="1:5" x14ac:dyDescent="0.25">
      <c r="A5547" s="83"/>
      <c r="B5547" s="84"/>
      <c r="C5547" s="84"/>
      <c r="D5547" s="116"/>
      <c r="E5547" s="116"/>
    </row>
    <row r="5548" spans="1:5" x14ac:dyDescent="0.25">
      <c r="A5548" s="83"/>
      <c r="B5548" s="84"/>
      <c r="C5548" s="84"/>
      <c r="D5548" s="116"/>
      <c r="E5548" s="116"/>
    </row>
    <row r="5549" spans="1:5" x14ac:dyDescent="0.25">
      <c r="A5549" s="83"/>
      <c r="B5549" s="84"/>
      <c r="C5549" s="84"/>
      <c r="D5549" s="116"/>
      <c r="E5549" s="116"/>
    </row>
    <row r="5550" spans="1:5" x14ac:dyDescent="0.25">
      <c r="A5550" s="83"/>
      <c r="B5550" s="84"/>
      <c r="C5550" s="84"/>
      <c r="D5550" s="116"/>
      <c r="E5550" s="116"/>
    </row>
    <row r="5551" spans="1:5" x14ac:dyDescent="0.25">
      <c r="A5551" s="83"/>
      <c r="B5551" s="84"/>
      <c r="C5551" s="84"/>
      <c r="D5551" s="116"/>
      <c r="E5551" s="116"/>
    </row>
    <row r="5552" spans="1:5" x14ac:dyDescent="0.25">
      <c r="A5552" s="83"/>
      <c r="B5552" s="84"/>
      <c r="C5552" s="84"/>
      <c r="D5552" s="116"/>
      <c r="E5552" s="116"/>
    </row>
    <row r="5553" spans="1:5" x14ac:dyDescent="0.25">
      <c r="A5553" s="83"/>
      <c r="B5553" s="84"/>
      <c r="C5553" s="84"/>
      <c r="D5553" s="116"/>
      <c r="E5553" s="116"/>
    </row>
    <row r="5554" spans="1:5" x14ac:dyDescent="0.25">
      <c r="A5554" s="83"/>
      <c r="B5554" s="84"/>
      <c r="C5554" s="84"/>
      <c r="D5554" s="116"/>
      <c r="E5554" s="116"/>
    </row>
    <row r="5555" spans="1:5" x14ac:dyDescent="0.25">
      <c r="A5555" s="83"/>
      <c r="B5555" s="84"/>
      <c r="C5555" s="84"/>
      <c r="D5555" s="116"/>
      <c r="E5555" s="116"/>
    </row>
    <row r="5556" spans="1:5" x14ac:dyDescent="0.25">
      <c r="A5556" s="83"/>
      <c r="B5556" s="84"/>
      <c r="C5556" s="84"/>
      <c r="D5556" s="116"/>
      <c r="E5556" s="116"/>
    </row>
    <row r="5557" spans="1:5" x14ac:dyDescent="0.25">
      <c r="A5557" s="83"/>
      <c r="B5557" s="84"/>
      <c r="C5557" s="84"/>
      <c r="D5557" s="116"/>
      <c r="E5557" s="116"/>
    </row>
    <row r="5558" spans="1:5" x14ac:dyDescent="0.25">
      <c r="A5558" s="83"/>
      <c r="B5558" s="84"/>
      <c r="C5558" s="84"/>
      <c r="D5558" s="116"/>
      <c r="E5558" s="116"/>
    </row>
    <row r="5559" spans="1:5" x14ac:dyDescent="0.25">
      <c r="A5559" s="83"/>
      <c r="B5559" s="84"/>
      <c r="C5559" s="84"/>
      <c r="D5559" s="116"/>
      <c r="E5559" s="116"/>
    </row>
    <row r="5560" spans="1:5" x14ac:dyDescent="0.25">
      <c r="A5560" s="83"/>
      <c r="B5560" s="84"/>
      <c r="C5560" s="84"/>
      <c r="D5560" s="116"/>
      <c r="E5560" s="116"/>
    </row>
    <row r="5561" spans="1:5" x14ac:dyDescent="0.25">
      <c r="A5561" s="83"/>
      <c r="B5561" s="84"/>
      <c r="C5561" s="84"/>
      <c r="D5561" s="116"/>
      <c r="E5561" s="116"/>
    </row>
    <row r="5562" spans="1:5" x14ac:dyDescent="0.25">
      <c r="A5562" s="83"/>
      <c r="B5562" s="84"/>
      <c r="C5562" s="84"/>
      <c r="D5562" s="116"/>
      <c r="E5562" s="116"/>
    </row>
    <row r="5563" spans="1:5" x14ac:dyDescent="0.25">
      <c r="A5563" s="83"/>
      <c r="B5563" s="84"/>
      <c r="C5563" s="84"/>
      <c r="D5563" s="116"/>
      <c r="E5563" s="116"/>
    </row>
    <row r="5564" spans="1:5" x14ac:dyDescent="0.25">
      <c r="A5564" s="83"/>
      <c r="B5564" s="84"/>
      <c r="C5564" s="84"/>
      <c r="D5564" s="116"/>
      <c r="E5564" s="116"/>
    </row>
    <row r="5565" spans="1:5" x14ac:dyDescent="0.25">
      <c r="A5565" s="83"/>
      <c r="B5565" s="84"/>
      <c r="C5565" s="84"/>
      <c r="D5565" s="116"/>
      <c r="E5565" s="116"/>
    </row>
    <row r="5566" spans="1:5" x14ac:dyDescent="0.25">
      <c r="A5566" s="83"/>
      <c r="B5566" s="84"/>
      <c r="C5566" s="84"/>
      <c r="D5566" s="116"/>
      <c r="E5566" s="116"/>
    </row>
    <row r="5567" spans="1:5" x14ac:dyDescent="0.25">
      <c r="A5567" s="83"/>
      <c r="B5567" s="84"/>
      <c r="C5567" s="84"/>
      <c r="D5567" s="116"/>
      <c r="E5567" s="116"/>
    </row>
    <row r="5568" spans="1:5" x14ac:dyDescent="0.25">
      <c r="A5568" s="83"/>
      <c r="B5568" s="84"/>
      <c r="C5568" s="84"/>
      <c r="D5568" s="116"/>
      <c r="E5568" s="116"/>
    </row>
    <row r="5569" spans="1:5" x14ac:dyDescent="0.25">
      <c r="A5569" s="83"/>
      <c r="B5569" s="84"/>
      <c r="C5569" s="84"/>
      <c r="D5569" s="116"/>
      <c r="E5569" s="116"/>
    </row>
    <row r="5570" spans="1:5" x14ac:dyDescent="0.25">
      <c r="A5570" s="83"/>
      <c r="B5570" s="84"/>
      <c r="C5570" s="84"/>
      <c r="D5570" s="116"/>
      <c r="E5570" s="116"/>
    </row>
    <row r="5571" spans="1:5" x14ac:dyDescent="0.25">
      <c r="A5571" s="83"/>
      <c r="B5571" s="84"/>
      <c r="C5571" s="84"/>
      <c r="D5571" s="116"/>
      <c r="E5571" s="116"/>
    </row>
    <row r="5572" spans="1:5" x14ac:dyDescent="0.25">
      <c r="A5572" s="83"/>
      <c r="B5572" s="84"/>
      <c r="C5572" s="84"/>
      <c r="D5572" s="116"/>
      <c r="E5572" s="116"/>
    </row>
    <row r="5573" spans="1:5" x14ac:dyDescent="0.25">
      <c r="A5573" s="83"/>
      <c r="B5573" s="84"/>
      <c r="C5573" s="84"/>
      <c r="D5573" s="116"/>
      <c r="E5573" s="116"/>
    </row>
    <row r="5574" spans="1:5" x14ac:dyDescent="0.25">
      <c r="A5574" s="83"/>
      <c r="B5574" s="84"/>
      <c r="C5574" s="84"/>
      <c r="D5574" s="116"/>
      <c r="E5574" s="116"/>
    </row>
    <row r="5575" spans="1:5" x14ac:dyDescent="0.25">
      <c r="A5575" s="83"/>
      <c r="B5575" s="84"/>
      <c r="C5575" s="84"/>
      <c r="D5575" s="116"/>
      <c r="E5575" s="116"/>
    </row>
    <row r="5576" spans="1:5" x14ac:dyDescent="0.25">
      <c r="A5576" s="83"/>
      <c r="B5576" s="84"/>
      <c r="C5576" s="84"/>
      <c r="D5576" s="116"/>
      <c r="E5576" s="116"/>
    </row>
    <row r="5577" spans="1:5" x14ac:dyDescent="0.25">
      <c r="A5577" s="83"/>
      <c r="B5577" s="84"/>
      <c r="C5577" s="84"/>
      <c r="D5577" s="116"/>
      <c r="E5577" s="116"/>
    </row>
    <row r="5578" spans="1:5" x14ac:dyDescent="0.25">
      <c r="A5578" s="83"/>
      <c r="B5578" s="84"/>
      <c r="C5578" s="84"/>
      <c r="D5578" s="116"/>
      <c r="E5578" s="116"/>
    </row>
    <row r="5579" spans="1:5" x14ac:dyDescent="0.25">
      <c r="A5579" s="83"/>
      <c r="B5579" s="84"/>
      <c r="C5579" s="84"/>
      <c r="D5579" s="116"/>
      <c r="E5579" s="116"/>
    </row>
    <row r="5580" spans="1:5" x14ac:dyDescent="0.25">
      <c r="A5580" s="83"/>
      <c r="B5580" s="84"/>
      <c r="C5580" s="84"/>
      <c r="D5580" s="116"/>
      <c r="E5580" s="116"/>
    </row>
    <row r="5581" spans="1:5" x14ac:dyDescent="0.25">
      <c r="A5581" s="83"/>
      <c r="B5581" s="84"/>
      <c r="C5581" s="84"/>
      <c r="D5581" s="116"/>
      <c r="E5581" s="116"/>
    </row>
    <row r="5582" spans="1:5" x14ac:dyDescent="0.25">
      <c r="A5582" s="83"/>
      <c r="B5582" s="84"/>
      <c r="C5582" s="84"/>
      <c r="D5582" s="116"/>
      <c r="E5582" s="116"/>
    </row>
    <row r="5583" spans="1:5" x14ac:dyDescent="0.25">
      <c r="A5583" s="83"/>
      <c r="B5583" s="84"/>
      <c r="C5583" s="84"/>
      <c r="D5583" s="116"/>
      <c r="E5583" s="116"/>
    </row>
    <row r="5584" spans="1:5" x14ac:dyDescent="0.25">
      <c r="A5584" s="83"/>
      <c r="B5584" s="84"/>
      <c r="C5584" s="84"/>
      <c r="D5584" s="116"/>
      <c r="E5584" s="116"/>
    </row>
    <row r="5585" spans="1:5" x14ac:dyDescent="0.25">
      <c r="A5585" s="83"/>
      <c r="B5585" s="84"/>
      <c r="C5585" s="84"/>
      <c r="D5585" s="116"/>
      <c r="E5585" s="116"/>
    </row>
    <row r="5586" spans="1:5" x14ac:dyDescent="0.25">
      <c r="A5586" s="83"/>
      <c r="B5586" s="84"/>
      <c r="C5586" s="84"/>
      <c r="D5586" s="116"/>
      <c r="E5586" s="116"/>
    </row>
    <row r="5587" spans="1:5" x14ac:dyDescent="0.25">
      <c r="A5587" s="83"/>
      <c r="B5587" s="84"/>
      <c r="C5587" s="84"/>
      <c r="D5587" s="116"/>
      <c r="E5587" s="116"/>
    </row>
    <row r="5588" spans="1:5" x14ac:dyDescent="0.25">
      <c r="A5588" s="83"/>
      <c r="B5588" s="84"/>
      <c r="C5588" s="84"/>
      <c r="D5588" s="116"/>
      <c r="E5588" s="116"/>
    </row>
    <row r="5589" spans="1:5" x14ac:dyDescent="0.25">
      <c r="A5589" s="83"/>
      <c r="B5589" s="84"/>
      <c r="C5589" s="84"/>
      <c r="D5589" s="116"/>
      <c r="E5589" s="116"/>
    </row>
    <row r="5590" spans="1:5" x14ac:dyDescent="0.25">
      <c r="A5590" s="83"/>
      <c r="B5590" s="84"/>
      <c r="C5590" s="84"/>
      <c r="D5590" s="116"/>
      <c r="E5590" s="116"/>
    </row>
    <row r="5591" spans="1:5" x14ac:dyDescent="0.25">
      <c r="A5591" s="83"/>
      <c r="B5591" s="84"/>
      <c r="C5591" s="84"/>
      <c r="D5591" s="116"/>
      <c r="E5591" s="116"/>
    </row>
    <row r="5592" spans="1:5" x14ac:dyDescent="0.25">
      <c r="A5592" s="83"/>
      <c r="B5592" s="84"/>
      <c r="C5592" s="84"/>
      <c r="D5592" s="116"/>
      <c r="E5592" s="116"/>
    </row>
    <row r="5593" spans="1:5" x14ac:dyDescent="0.25">
      <c r="A5593" s="83"/>
      <c r="B5593" s="84"/>
      <c r="C5593" s="84"/>
      <c r="D5593" s="116"/>
      <c r="E5593" s="116"/>
    </row>
    <row r="5594" spans="1:5" x14ac:dyDescent="0.25">
      <c r="A5594" s="83"/>
      <c r="B5594" s="84"/>
      <c r="C5594" s="84"/>
      <c r="D5594" s="116"/>
      <c r="E5594" s="116"/>
    </row>
    <row r="5595" spans="1:5" x14ac:dyDescent="0.25">
      <c r="A5595" s="83"/>
      <c r="B5595" s="84"/>
      <c r="C5595" s="84"/>
      <c r="D5595" s="116"/>
      <c r="E5595" s="116"/>
    </row>
    <row r="5596" spans="1:5" x14ac:dyDescent="0.25">
      <c r="A5596" s="83"/>
      <c r="B5596" s="84"/>
      <c r="C5596" s="84"/>
      <c r="D5596" s="116"/>
      <c r="E5596" s="116"/>
    </row>
    <row r="5597" spans="1:5" x14ac:dyDescent="0.25">
      <c r="A5597" s="83"/>
      <c r="B5597" s="84"/>
      <c r="C5597" s="84"/>
      <c r="D5597" s="116"/>
      <c r="E5597" s="116"/>
    </row>
    <row r="5598" spans="1:5" x14ac:dyDescent="0.25">
      <c r="A5598" s="83"/>
      <c r="B5598" s="84"/>
      <c r="C5598" s="84"/>
      <c r="D5598" s="116"/>
      <c r="E5598" s="116"/>
    </row>
    <row r="5599" spans="1:5" x14ac:dyDescent="0.25">
      <c r="A5599" s="83"/>
      <c r="B5599" s="84"/>
      <c r="C5599" s="84"/>
      <c r="D5599" s="116"/>
      <c r="E5599" s="116"/>
    </row>
    <row r="5600" spans="1:5" x14ac:dyDescent="0.25">
      <c r="A5600" s="83"/>
      <c r="B5600" s="84"/>
      <c r="C5600" s="84"/>
      <c r="D5600" s="116"/>
      <c r="E5600" s="116"/>
    </row>
    <row r="5601" spans="1:5" x14ac:dyDescent="0.25">
      <c r="A5601" s="83"/>
      <c r="B5601" s="84"/>
      <c r="C5601" s="84"/>
      <c r="D5601" s="116"/>
      <c r="E5601" s="116"/>
    </row>
    <row r="5602" spans="1:5" x14ac:dyDescent="0.25">
      <c r="A5602" s="83"/>
      <c r="B5602" s="84"/>
      <c r="C5602" s="84"/>
      <c r="D5602" s="116"/>
      <c r="E5602" s="116"/>
    </row>
    <row r="5603" spans="1:5" x14ac:dyDescent="0.25">
      <c r="A5603" s="83"/>
      <c r="B5603" s="84"/>
      <c r="C5603" s="84"/>
      <c r="D5603" s="116"/>
      <c r="E5603" s="116"/>
    </row>
    <row r="5604" spans="1:5" x14ac:dyDescent="0.25">
      <c r="A5604" s="83"/>
      <c r="B5604" s="84"/>
      <c r="C5604" s="84"/>
      <c r="D5604" s="116"/>
      <c r="E5604" s="116"/>
    </row>
    <row r="5605" spans="1:5" x14ac:dyDescent="0.25">
      <c r="A5605" s="83"/>
      <c r="B5605" s="84"/>
      <c r="C5605" s="84"/>
      <c r="D5605" s="116"/>
      <c r="E5605" s="116"/>
    </row>
    <row r="5606" spans="1:5" x14ac:dyDescent="0.25">
      <c r="A5606" s="83"/>
      <c r="B5606" s="84"/>
      <c r="C5606" s="84"/>
      <c r="D5606" s="116"/>
      <c r="E5606" s="116"/>
    </row>
    <row r="5607" spans="1:5" x14ac:dyDescent="0.25">
      <c r="A5607" s="83"/>
      <c r="B5607" s="84"/>
      <c r="C5607" s="84"/>
      <c r="D5607" s="116"/>
      <c r="E5607" s="116"/>
    </row>
    <row r="5608" spans="1:5" x14ac:dyDescent="0.25">
      <c r="A5608" s="83"/>
      <c r="B5608" s="84"/>
      <c r="C5608" s="84"/>
      <c r="D5608" s="116"/>
      <c r="E5608" s="116"/>
    </row>
    <row r="5609" spans="1:5" x14ac:dyDescent="0.25">
      <c r="A5609" s="83"/>
      <c r="B5609" s="84"/>
      <c r="C5609" s="84"/>
      <c r="D5609" s="116"/>
      <c r="E5609" s="116"/>
    </row>
    <row r="5610" spans="1:5" x14ac:dyDescent="0.25">
      <c r="A5610" s="83"/>
      <c r="B5610" s="84"/>
      <c r="C5610" s="84"/>
      <c r="D5610" s="116"/>
      <c r="E5610" s="116"/>
    </row>
    <row r="5611" spans="1:5" x14ac:dyDescent="0.25">
      <c r="A5611" s="83"/>
      <c r="B5611" s="84"/>
      <c r="C5611" s="84"/>
      <c r="D5611" s="116"/>
      <c r="E5611" s="116"/>
    </row>
    <row r="5612" spans="1:5" x14ac:dyDescent="0.25">
      <c r="A5612" s="83"/>
      <c r="B5612" s="84"/>
      <c r="C5612" s="84"/>
      <c r="D5612" s="116"/>
      <c r="E5612" s="116"/>
    </row>
    <row r="5613" spans="1:5" x14ac:dyDescent="0.25">
      <c r="A5613" s="83"/>
      <c r="B5613" s="84"/>
      <c r="C5613" s="84"/>
      <c r="D5613" s="116"/>
      <c r="E5613" s="116"/>
    </row>
    <row r="5614" spans="1:5" x14ac:dyDescent="0.25">
      <c r="A5614" s="83"/>
      <c r="B5614" s="84"/>
      <c r="C5614" s="84"/>
      <c r="D5614" s="116"/>
      <c r="E5614" s="116"/>
    </row>
    <row r="5615" spans="1:5" x14ac:dyDescent="0.25">
      <c r="A5615" s="83"/>
      <c r="B5615" s="84"/>
      <c r="C5615" s="84"/>
      <c r="D5615" s="116"/>
      <c r="E5615" s="116"/>
    </row>
    <row r="5616" spans="1:5" x14ac:dyDescent="0.25">
      <c r="A5616" s="83"/>
      <c r="B5616" s="84"/>
      <c r="C5616" s="84"/>
      <c r="D5616" s="116"/>
      <c r="E5616" s="116"/>
    </row>
    <row r="5617" spans="1:5" x14ac:dyDescent="0.25">
      <c r="A5617" s="83"/>
      <c r="B5617" s="84"/>
      <c r="C5617" s="84"/>
      <c r="D5617" s="116"/>
      <c r="E5617" s="116"/>
    </row>
    <row r="5618" spans="1:5" x14ac:dyDescent="0.25">
      <c r="A5618" s="83"/>
      <c r="B5618" s="84"/>
      <c r="C5618" s="84"/>
      <c r="D5618" s="116"/>
      <c r="E5618" s="116"/>
    </row>
    <row r="5619" spans="1:5" x14ac:dyDescent="0.25">
      <c r="A5619" s="83"/>
      <c r="B5619" s="84"/>
      <c r="C5619" s="84"/>
      <c r="D5619" s="116"/>
      <c r="E5619" s="116"/>
    </row>
    <row r="5620" spans="1:5" x14ac:dyDescent="0.25">
      <c r="A5620" s="83"/>
      <c r="B5620" s="84"/>
      <c r="C5620" s="84"/>
      <c r="D5620" s="116"/>
      <c r="E5620" s="116"/>
    </row>
    <row r="5621" spans="1:5" x14ac:dyDescent="0.25">
      <c r="A5621" s="83"/>
      <c r="B5621" s="84"/>
      <c r="C5621" s="84"/>
      <c r="D5621" s="116"/>
      <c r="E5621" s="116"/>
    </row>
    <row r="5622" spans="1:5" x14ac:dyDescent="0.25">
      <c r="A5622" s="83"/>
      <c r="B5622" s="84"/>
      <c r="C5622" s="84"/>
      <c r="D5622" s="116"/>
      <c r="E5622" s="116"/>
    </row>
    <row r="5623" spans="1:5" x14ac:dyDescent="0.25">
      <c r="A5623" s="83"/>
      <c r="B5623" s="84"/>
      <c r="C5623" s="84"/>
      <c r="D5623" s="116"/>
      <c r="E5623" s="116"/>
    </row>
    <row r="5624" spans="1:5" x14ac:dyDescent="0.25">
      <c r="A5624" s="83"/>
      <c r="B5624" s="84"/>
      <c r="C5624" s="84"/>
      <c r="D5624" s="116"/>
      <c r="E5624" s="116"/>
    </row>
    <row r="5625" spans="1:5" x14ac:dyDescent="0.25">
      <c r="A5625" s="83"/>
      <c r="B5625" s="84"/>
      <c r="C5625" s="84"/>
      <c r="D5625" s="116"/>
      <c r="E5625" s="116"/>
    </row>
    <row r="5626" spans="1:5" x14ac:dyDescent="0.25">
      <c r="A5626" s="83"/>
      <c r="B5626" s="84"/>
      <c r="C5626" s="84"/>
      <c r="D5626" s="116"/>
      <c r="E5626" s="116"/>
    </row>
    <row r="5627" spans="1:5" x14ac:dyDescent="0.25">
      <c r="A5627" s="83"/>
      <c r="B5627" s="84"/>
      <c r="C5627" s="84"/>
      <c r="D5627" s="116"/>
      <c r="E5627" s="116"/>
    </row>
    <row r="5628" spans="1:5" x14ac:dyDescent="0.25">
      <c r="A5628" s="83"/>
      <c r="B5628" s="84"/>
      <c r="C5628" s="84"/>
      <c r="D5628" s="116"/>
      <c r="E5628" s="116"/>
    </row>
    <row r="5629" spans="1:5" x14ac:dyDescent="0.25">
      <c r="A5629" s="83"/>
      <c r="B5629" s="84"/>
      <c r="C5629" s="84"/>
      <c r="D5629" s="116"/>
      <c r="E5629" s="116"/>
    </row>
    <row r="5630" spans="1:5" x14ac:dyDescent="0.25">
      <c r="A5630" s="83"/>
      <c r="B5630" s="84"/>
      <c r="C5630" s="84"/>
      <c r="D5630" s="116"/>
      <c r="E5630" s="116"/>
    </row>
    <row r="5631" spans="1:5" x14ac:dyDescent="0.25">
      <c r="A5631" s="83"/>
      <c r="B5631" s="84"/>
      <c r="C5631" s="84"/>
      <c r="D5631" s="116"/>
      <c r="E5631" s="116"/>
    </row>
    <row r="5632" spans="1:5" x14ac:dyDescent="0.25">
      <c r="A5632" s="83"/>
      <c r="B5632" s="84"/>
      <c r="C5632" s="84"/>
      <c r="D5632" s="116"/>
      <c r="E5632" s="116"/>
    </row>
    <row r="5633" spans="1:5" x14ac:dyDescent="0.25">
      <c r="A5633" s="83"/>
      <c r="B5633" s="84"/>
      <c r="C5633" s="84"/>
      <c r="D5633" s="116"/>
      <c r="E5633" s="116"/>
    </row>
    <row r="5634" spans="1:5" x14ac:dyDescent="0.25">
      <c r="A5634" s="83"/>
      <c r="B5634" s="84"/>
      <c r="C5634" s="84"/>
      <c r="D5634" s="116"/>
      <c r="E5634" s="116"/>
    </row>
    <row r="5635" spans="1:5" x14ac:dyDescent="0.25">
      <c r="A5635" s="83"/>
      <c r="B5635" s="84"/>
      <c r="C5635" s="84"/>
      <c r="D5635" s="116"/>
      <c r="E5635" s="116"/>
    </row>
    <row r="5636" spans="1:5" x14ac:dyDescent="0.25">
      <c r="A5636" s="83"/>
      <c r="B5636" s="84"/>
      <c r="C5636" s="84"/>
      <c r="D5636" s="116"/>
      <c r="E5636" s="116"/>
    </row>
    <row r="5637" spans="1:5" x14ac:dyDescent="0.25">
      <c r="A5637" s="83"/>
      <c r="B5637" s="84"/>
      <c r="C5637" s="84"/>
      <c r="D5637" s="116"/>
      <c r="E5637" s="116"/>
    </row>
    <row r="5638" spans="1:5" x14ac:dyDescent="0.25">
      <c r="A5638" s="83"/>
      <c r="B5638" s="84"/>
      <c r="C5638" s="84"/>
      <c r="D5638" s="116"/>
      <c r="E5638" s="116"/>
    </row>
    <row r="5639" spans="1:5" x14ac:dyDescent="0.25">
      <c r="A5639" s="83"/>
      <c r="B5639" s="84"/>
      <c r="C5639" s="84"/>
      <c r="D5639" s="116"/>
      <c r="E5639" s="116"/>
    </row>
    <row r="5640" spans="1:5" x14ac:dyDescent="0.25">
      <c r="A5640" s="83"/>
      <c r="B5640" s="84"/>
      <c r="C5640" s="84"/>
      <c r="D5640" s="116"/>
      <c r="E5640" s="116"/>
    </row>
    <row r="5641" spans="1:5" x14ac:dyDescent="0.25">
      <c r="A5641" s="83"/>
      <c r="B5641" s="84"/>
      <c r="C5641" s="84"/>
      <c r="D5641" s="116"/>
      <c r="E5641" s="116"/>
    </row>
    <row r="5642" spans="1:5" x14ac:dyDescent="0.25">
      <c r="A5642" s="83"/>
      <c r="B5642" s="84"/>
      <c r="C5642" s="84"/>
      <c r="D5642" s="116"/>
      <c r="E5642" s="116"/>
    </row>
    <row r="5643" spans="1:5" x14ac:dyDescent="0.25">
      <c r="A5643" s="83"/>
      <c r="B5643" s="84"/>
      <c r="C5643" s="84"/>
      <c r="D5643" s="116"/>
      <c r="E5643" s="116"/>
    </row>
    <row r="5644" spans="1:5" x14ac:dyDescent="0.25">
      <c r="A5644" s="83"/>
      <c r="B5644" s="84"/>
      <c r="C5644" s="84"/>
      <c r="D5644" s="116"/>
      <c r="E5644" s="116"/>
    </row>
    <row r="5645" spans="1:5" x14ac:dyDescent="0.25">
      <c r="A5645" s="83"/>
      <c r="B5645" s="84"/>
      <c r="C5645" s="84"/>
      <c r="D5645" s="116"/>
      <c r="E5645" s="116"/>
    </row>
    <row r="5646" spans="1:5" x14ac:dyDescent="0.25">
      <c r="A5646" s="83"/>
      <c r="B5646" s="84"/>
      <c r="C5646" s="84"/>
      <c r="D5646" s="116"/>
      <c r="E5646" s="116"/>
    </row>
    <row r="5647" spans="1:5" x14ac:dyDescent="0.25">
      <c r="A5647" s="83"/>
      <c r="B5647" s="84"/>
      <c r="C5647" s="84"/>
      <c r="D5647" s="116"/>
      <c r="E5647" s="116"/>
    </row>
    <row r="5648" spans="1:5" x14ac:dyDescent="0.25">
      <c r="A5648" s="83"/>
      <c r="B5648" s="84"/>
      <c r="C5648" s="84"/>
      <c r="D5648" s="116"/>
      <c r="E5648" s="116"/>
    </row>
    <row r="5649" spans="1:5" x14ac:dyDescent="0.25">
      <c r="A5649" s="83"/>
      <c r="B5649" s="84"/>
      <c r="C5649" s="84"/>
      <c r="D5649" s="116"/>
      <c r="E5649" s="116"/>
    </row>
    <row r="5650" spans="1:5" x14ac:dyDescent="0.25">
      <c r="A5650" s="83"/>
      <c r="B5650" s="84"/>
      <c r="C5650" s="84"/>
      <c r="D5650" s="116"/>
      <c r="E5650" s="116"/>
    </row>
    <row r="5651" spans="1:5" x14ac:dyDescent="0.25">
      <c r="A5651" s="83"/>
      <c r="B5651" s="84"/>
      <c r="C5651" s="84"/>
      <c r="D5651" s="116"/>
      <c r="E5651" s="116"/>
    </row>
    <row r="5652" spans="1:5" x14ac:dyDescent="0.25">
      <c r="A5652" s="83"/>
      <c r="B5652" s="84"/>
      <c r="C5652" s="84"/>
      <c r="D5652" s="116"/>
      <c r="E5652" s="116"/>
    </row>
    <row r="5653" spans="1:5" x14ac:dyDescent="0.25">
      <c r="A5653" s="83"/>
      <c r="B5653" s="84"/>
      <c r="C5653" s="84"/>
      <c r="D5653" s="116"/>
      <c r="E5653" s="116"/>
    </row>
    <row r="5654" spans="1:5" x14ac:dyDescent="0.25">
      <c r="A5654" s="83"/>
      <c r="B5654" s="84"/>
      <c r="C5654" s="84"/>
      <c r="D5654" s="116"/>
      <c r="E5654" s="116"/>
    </row>
    <row r="5655" spans="1:5" x14ac:dyDescent="0.25">
      <c r="A5655" s="83"/>
      <c r="B5655" s="84"/>
      <c r="C5655" s="84"/>
      <c r="D5655" s="116"/>
      <c r="E5655" s="116"/>
    </row>
    <row r="5656" spans="1:5" x14ac:dyDescent="0.25">
      <c r="A5656" s="83"/>
      <c r="B5656" s="84"/>
      <c r="C5656" s="84"/>
      <c r="D5656" s="116"/>
      <c r="E5656" s="116"/>
    </row>
    <row r="5657" spans="1:5" x14ac:dyDescent="0.25">
      <c r="A5657" s="83"/>
      <c r="B5657" s="84"/>
      <c r="C5657" s="84"/>
      <c r="D5657" s="116"/>
      <c r="E5657" s="116"/>
    </row>
    <row r="5658" spans="1:5" x14ac:dyDescent="0.25">
      <c r="A5658" s="83"/>
      <c r="B5658" s="84"/>
      <c r="C5658" s="84"/>
      <c r="D5658" s="116"/>
      <c r="E5658" s="116"/>
    </row>
    <row r="5659" spans="1:5" x14ac:dyDescent="0.25">
      <c r="A5659" s="83"/>
      <c r="B5659" s="84"/>
      <c r="C5659" s="84"/>
      <c r="D5659" s="116"/>
      <c r="E5659" s="116"/>
    </row>
    <row r="5660" spans="1:5" x14ac:dyDescent="0.25">
      <c r="A5660" s="83"/>
      <c r="B5660" s="84"/>
      <c r="C5660" s="84"/>
      <c r="D5660" s="116"/>
      <c r="E5660" s="116"/>
    </row>
    <row r="5661" spans="1:5" x14ac:dyDescent="0.25">
      <c r="A5661" s="83"/>
      <c r="B5661" s="84"/>
      <c r="C5661" s="84"/>
      <c r="D5661" s="116"/>
      <c r="E5661" s="116"/>
    </row>
    <row r="5662" spans="1:5" x14ac:dyDescent="0.25">
      <c r="A5662" s="83"/>
      <c r="B5662" s="84"/>
      <c r="C5662" s="84"/>
      <c r="D5662" s="116"/>
      <c r="E5662" s="116"/>
    </row>
    <row r="5663" spans="1:5" x14ac:dyDescent="0.25">
      <c r="A5663" s="83"/>
      <c r="B5663" s="84"/>
      <c r="C5663" s="84"/>
      <c r="D5663" s="116"/>
      <c r="E5663" s="116"/>
    </row>
    <row r="5664" spans="1:5" x14ac:dyDescent="0.25">
      <c r="A5664" s="83"/>
      <c r="B5664" s="84"/>
      <c r="C5664" s="84"/>
      <c r="D5664" s="116"/>
      <c r="E5664" s="116"/>
    </row>
    <row r="5665" spans="1:5" x14ac:dyDescent="0.25">
      <c r="A5665" s="83"/>
      <c r="B5665" s="84"/>
      <c r="C5665" s="84"/>
      <c r="D5665" s="116"/>
      <c r="E5665" s="116"/>
    </row>
    <row r="5666" spans="1:5" x14ac:dyDescent="0.25">
      <c r="A5666" s="83"/>
      <c r="B5666" s="84"/>
      <c r="C5666" s="84"/>
      <c r="D5666" s="116"/>
      <c r="E5666" s="116"/>
    </row>
    <row r="5667" spans="1:5" x14ac:dyDescent="0.25">
      <c r="A5667" s="83"/>
      <c r="B5667" s="84"/>
      <c r="C5667" s="84"/>
      <c r="D5667" s="116"/>
      <c r="E5667" s="116"/>
    </row>
    <row r="5668" spans="1:5" x14ac:dyDescent="0.25">
      <c r="A5668" s="83"/>
      <c r="B5668" s="84"/>
      <c r="C5668" s="84"/>
      <c r="D5668" s="116"/>
      <c r="E5668" s="116"/>
    </row>
    <row r="5669" spans="1:5" x14ac:dyDescent="0.25">
      <c r="A5669" s="83"/>
      <c r="B5669" s="84"/>
      <c r="C5669" s="84"/>
      <c r="D5669" s="116"/>
      <c r="E5669" s="116"/>
    </row>
    <row r="5670" spans="1:5" x14ac:dyDescent="0.25">
      <c r="A5670" s="83"/>
      <c r="B5670" s="84"/>
      <c r="C5670" s="84"/>
      <c r="D5670" s="116"/>
      <c r="E5670" s="116"/>
    </row>
    <row r="5671" spans="1:5" x14ac:dyDescent="0.25">
      <c r="A5671" s="83"/>
      <c r="B5671" s="84"/>
      <c r="C5671" s="84"/>
      <c r="D5671" s="116"/>
      <c r="E5671" s="116"/>
    </row>
    <row r="5672" spans="1:5" x14ac:dyDescent="0.25">
      <c r="A5672" s="83"/>
      <c r="B5672" s="84"/>
      <c r="C5672" s="84"/>
      <c r="D5672" s="116"/>
      <c r="E5672" s="116"/>
    </row>
    <row r="5673" spans="1:5" x14ac:dyDescent="0.25">
      <c r="A5673" s="83"/>
      <c r="B5673" s="84"/>
      <c r="C5673" s="84"/>
      <c r="D5673" s="116"/>
      <c r="E5673" s="116"/>
    </row>
    <row r="5674" spans="1:5" x14ac:dyDescent="0.25">
      <c r="A5674" s="83"/>
      <c r="B5674" s="84"/>
      <c r="C5674" s="84"/>
      <c r="D5674" s="116"/>
      <c r="E5674" s="116"/>
    </row>
    <row r="5675" spans="1:5" x14ac:dyDescent="0.25">
      <c r="A5675" s="83"/>
      <c r="B5675" s="84"/>
      <c r="C5675" s="84"/>
      <c r="D5675" s="116"/>
      <c r="E5675" s="116"/>
    </row>
    <row r="5676" spans="1:5" x14ac:dyDescent="0.25">
      <c r="A5676" s="83"/>
      <c r="B5676" s="84"/>
      <c r="C5676" s="84"/>
      <c r="D5676" s="116"/>
      <c r="E5676" s="116"/>
    </row>
    <row r="5677" spans="1:5" x14ac:dyDescent="0.25">
      <c r="A5677" s="83"/>
      <c r="B5677" s="84"/>
      <c r="C5677" s="84"/>
      <c r="D5677" s="116"/>
      <c r="E5677" s="116"/>
    </row>
    <row r="5678" spans="1:5" x14ac:dyDescent="0.25">
      <c r="A5678" s="83"/>
      <c r="B5678" s="84"/>
      <c r="C5678" s="84"/>
      <c r="D5678" s="116"/>
      <c r="E5678" s="116"/>
    </row>
    <row r="5679" spans="1:5" x14ac:dyDescent="0.25">
      <c r="A5679" s="83"/>
      <c r="B5679" s="84"/>
      <c r="C5679" s="84"/>
      <c r="D5679" s="116"/>
      <c r="E5679" s="116"/>
    </row>
    <row r="5680" spans="1:5" x14ac:dyDescent="0.25">
      <c r="A5680" s="83"/>
      <c r="B5680" s="84"/>
      <c r="C5680" s="84"/>
      <c r="D5680" s="116"/>
      <c r="E5680" s="116"/>
    </row>
    <row r="5681" spans="1:5" x14ac:dyDescent="0.25">
      <c r="A5681" s="83"/>
      <c r="B5681" s="84"/>
      <c r="C5681" s="84"/>
      <c r="D5681" s="116"/>
      <c r="E5681" s="116"/>
    </row>
    <row r="5682" spans="1:5" x14ac:dyDescent="0.25">
      <c r="A5682" s="83"/>
      <c r="B5682" s="84"/>
      <c r="C5682" s="84"/>
      <c r="D5682" s="116"/>
      <c r="E5682" s="116"/>
    </row>
    <row r="5683" spans="1:5" x14ac:dyDescent="0.25">
      <c r="A5683" s="83"/>
      <c r="B5683" s="84"/>
      <c r="C5683" s="84"/>
      <c r="D5683" s="116"/>
      <c r="E5683" s="116"/>
    </row>
    <row r="5684" spans="1:5" x14ac:dyDescent="0.25">
      <c r="A5684" s="83"/>
      <c r="B5684" s="84"/>
      <c r="C5684" s="84"/>
      <c r="D5684" s="116"/>
      <c r="E5684" s="116"/>
    </row>
    <row r="5685" spans="1:5" x14ac:dyDescent="0.25">
      <c r="A5685" s="83"/>
      <c r="B5685" s="84"/>
      <c r="C5685" s="84"/>
      <c r="D5685" s="116"/>
      <c r="E5685" s="116"/>
    </row>
    <row r="5686" spans="1:5" x14ac:dyDescent="0.25">
      <c r="A5686" s="83"/>
      <c r="B5686" s="84"/>
      <c r="C5686" s="84"/>
      <c r="D5686" s="116"/>
      <c r="E5686" s="116"/>
    </row>
    <row r="5687" spans="1:5" x14ac:dyDescent="0.25">
      <c r="A5687" s="83"/>
      <c r="B5687" s="84"/>
      <c r="C5687" s="84"/>
      <c r="D5687" s="116"/>
      <c r="E5687" s="116"/>
    </row>
    <row r="5688" spans="1:5" x14ac:dyDescent="0.25">
      <c r="A5688" s="83"/>
      <c r="B5688" s="84"/>
      <c r="C5688" s="84"/>
      <c r="D5688" s="116"/>
      <c r="E5688" s="116"/>
    </row>
    <row r="5689" spans="1:5" x14ac:dyDescent="0.25">
      <c r="A5689" s="83"/>
      <c r="B5689" s="84"/>
      <c r="C5689" s="84"/>
      <c r="D5689" s="116"/>
      <c r="E5689" s="116"/>
    </row>
    <row r="5690" spans="1:5" x14ac:dyDescent="0.25">
      <c r="A5690" s="83"/>
      <c r="B5690" s="84"/>
      <c r="C5690" s="84"/>
      <c r="D5690" s="116"/>
      <c r="E5690" s="116"/>
    </row>
    <row r="5691" spans="1:5" x14ac:dyDescent="0.25">
      <c r="A5691" s="83"/>
      <c r="B5691" s="84"/>
      <c r="C5691" s="84"/>
      <c r="D5691" s="116"/>
      <c r="E5691" s="116"/>
    </row>
    <row r="5692" spans="1:5" x14ac:dyDescent="0.25">
      <c r="A5692" s="83"/>
      <c r="B5692" s="84"/>
      <c r="C5692" s="84"/>
      <c r="D5692" s="116"/>
      <c r="E5692" s="116"/>
    </row>
    <row r="5693" spans="1:5" x14ac:dyDescent="0.25">
      <c r="A5693" s="83"/>
      <c r="B5693" s="84"/>
      <c r="C5693" s="84"/>
      <c r="D5693" s="116"/>
      <c r="E5693" s="116"/>
    </row>
    <row r="5694" spans="1:5" x14ac:dyDescent="0.25">
      <c r="A5694" s="83"/>
      <c r="B5694" s="84"/>
      <c r="C5694" s="84"/>
      <c r="D5694" s="116"/>
      <c r="E5694" s="116"/>
    </row>
    <row r="5695" spans="1:5" x14ac:dyDescent="0.25">
      <c r="A5695" s="83"/>
      <c r="B5695" s="84"/>
      <c r="C5695" s="84"/>
      <c r="D5695" s="116"/>
      <c r="E5695" s="116"/>
    </row>
    <row r="5696" spans="1:5" x14ac:dyDescent="0.25">
      <c r="A5696" s="83"/>
      <c r="B5696" s="84"/>
      <c r="C5696" s="84"/>
      <c r="D5696" s="116"/>
      <c r="E5696" s="116"/>
    </row>
    <row r="5697" spans="1:5" x14ac:dyDescent="0.25">
      <c r="A5697" s="83"/>
      <c r="B5697" s="84"/>
      <c r="C5697" s="84"/>
      <c r="D5697" s="116"/>
      <c r="E5697" s="116"/>
    </row>
    <row r="5698" spans="1:5" x14ac:dyDescent="0.25">
      <c r="A5698" s="83"/>
      <c r="B5698" s="84"/>
      <c r="C5698" s="84"/>
      <c r="D5698" s="116"/>
      <c r="E5698" s="116"/>
    </row>
    <row r="5699" spans="1:5" x14ac:dyDescent="0.25">
      <c r="A5699" s="83"/>
      <c r="B5699" s="84"/>
      <c r="C5699" s="84"/>
      <c r="D5699" s="116"/>
      <c r="E5699" s="116"/>
    </row>
    <row r="5700" spans="1:5" x14ac:dyDescent="0.25">
      <c r="A5700" s="83"/>
      <c r="B5700" s="84"/>
      <c r="C5700" s="84"/>
      <c r="D5700" s="116"/>
      <c r="E5700" s="116"/>
    </row>
    <row r="5701" spans="1:5" x14ac:dyDescent="0.25">
      <c r="A5701" s="83"/>
      <c r="B5701" s="84"/>
      <c r="C5701" s="84"/>
      <c r="D5701" s="116"/>
      <c r="E5701" s="116"/>
    </row>
    <row r="5702" spans="1:5" x14ac:dyDescent="0.25">
      <c r="A5702" s="83"/>
      <c r="B5702" s="84"/>
      <c r="C5702" s="84"/>
      <c r="D5702" s="116"/>
      <c r="E5702" s="116"/>
    </row>
    <row r="5703" spans="1:5" x14ac:dyDescent="0.25">
      <c r="A5703" s="83"/>
      <c r="B5703" s="84"/>
      <c r="C5703" s="84"/>
      <c r="D5703" s="116"/>
      <c r="E5703" s="116"/>
    </row>
    <row r="5704" spans="1:5" x14ac:dyDescent="0.25">
      <c r="A5704" s="83"/>
      <c r="B5704" s="84"/>
      <c r="C5704" s="84"/>
      <c r="D5704" s="116"/>
      <c r="E5704" s="116"/>
    </row>
    <row r="5705" spans="1:5" x14ac:dyDescent="0.25">
      <c r="A5705" s="83"/>
      <c r="B5705" s="84"/>
      <c r="C5705" s="84"/>
      <c r="D5705" s="116"/>
      <c r="E5705" s="116"/>
    </row>
    <row r="5706" spans="1:5" x14ac:dyDescent="0.25">
      <c r="A5706" s="83"/>
      <c r="B5706" s="84"/>
      <c r="C5706" s="84"/>
      <c r="D5706" s="116"/>
      <c r="E5706" s="116"/>
    </row>
    <row r="5707" spans="1:5" x14ac:dyDescent="0.25">
      <c r="A5707" s="83"/>
      <c r="B5707" s="84"/>
      <c r="C5707" s="84"/>
      <c r="D5707" s="116"/>
      <c r="E5707" s="116"/>
    </row>
    <row r="5708" spans="1:5" x14ac:dyDescent="0.25">
      <c r="A5708" s="83"/>
      <c r="B5708" s="84"/>
      <c r="C5708" s="84"/>
      <c r="D5708" s="116"/>
      <c r="E5708" s="116"/>
    </row>
    <row r="5709" spans="1:5" x14ac:dyDescent="0.25">
      <c r="A5709" s="83"/>
      <c r="B5709" s="84"/>
      <c r="C5709" s="84"/>
      <c r="D5709" s="116"/>
      <c r="E5709" s="116"/>
    </row>
    <row r="5710" spans="1:5" x14ac:dyDescent="0.25">
      <c r="A5710" s="83"/>
      <c r="B5710" s="84"/>
      <c r="C5710" s="84"/>
      <c r="D5710" s="116"/>
      <c r="E5710" s="116"/>
    </row>
    <row r="5711" spans="1:5" x14ac:dyDescent="0.25">
      <c r="A5711" s="83"/>
      <c r="B5711" s="84"/>
      <c r="C5711" s="84"/>
      <c r="D5711" s="116"/>
      <c r="E5711" s="116"/>
    </row>
    <row r="5712" spans="1:5" x14ac:dyDescent="0.25">
      <c r="A5712" s="83"/>
      <c r="B5712" s="84"/>
      <c r="C5712" s="84"/>
      <c r="D5712" s="116"/>
      <c r="E5712" s="116"/>
    </row>
    <row r="5713" spans="1:5" x14ac:dyDescent="0.25">
      <c r="A5713" s="83"/>
      <c r="B5713" s="84"/>
      <c r="C5713" s="84"/>
      <c r="D5713" s="116"/>
      <c r="E5713" s="116"/>
    </row>
    <row r="5714" spans="1:5" x14ac:dyDescent="0.25">
      <c r="A5714" s="83"/>
      <c r="B5714" s="84"/>
      <c r="C5714" s="84"/>
      <c r="D5714" s="116"/>
      <c r="E5714" s="116"/>
    </row>
    <row r="5715" spans="1:5" x14ac:dyDescent="0.25">
      <c r="A5715" s="83"/>
      <c r="B5715" s="84"/>
      <c r="C5715" s="84"/>
      <c r="D5715" s="116"/>
      <c r="E5715" s="116"/>
    </row>
    <row r="5716" spans="1:5" x14ac:dyDescent="0.25">
      <c r="A5716" s="83"/>
      <c r="B5716" s="84"/>
      <c r="C5716" s="84"/>
      <c r="D5716" s="116"/>
      <c r="E5716" s="116"/>
    </row>
    <row r="5717" spans="1:5" x14ac:dyDescent="0.25">
      <c r="A5717" s="83"/>
      <c r="B5717" s="84"/>
      <c r="C5717" s="84"/>
      <c r="D5717" s="116"/>
      <c r="E5717" s="116"/>
    </row>
    <row r="5718" spans="1:5" x14ac:dyDescent="0.25">
      <c r="A5718" s="83"/>
      <c r="B5718" s="84"/>
      <c r="C5718" s="84"/>
      <c r="D5718" s="116"/>
      <c r="E5718" s="116"/>
    </row>
    <row r="5719" spans="1:5" x14ac:dyDescent="0.25">
      <c r="A5719" s="83"/>
      <c r="B5719" s="84"/>
      <c r="C5719" s="84"/>
      <c r="D5719" s="116"/>
      <c r="E5719" s="116"/>
    </row>
    <row r="5720" spans="1:5" x14ac:dyDescent="0.25">
      <c r="A5720" s="83"/>
      <c r="B5720" s="84"/>
      <c r="C5720" s="84"/>
      <c r="D5720" s="116"/>
      <c r="E5720" s="116"/>
    </row>
    <row r="5721" spans="1:5" x14ac:dyDescent="0.25">
      <c r="A5721" s="83"/>
      <c r="B5721" s="84"/>
      <c r="C5721" s="84"/>
      <c r="D5721" s="116"/>
      <c r="E5721" s="116"/>
    </row>
    <row r="5722" spans="1:5" x14ac:dyDescent="0.25">
      <c r="A5722" s="83"/>
      <c r="B5722" s="84"/>
      <c r="C5722" s="84"/>
      <c r="D5722" s="116"/>
      <c r="E5722" s="116"/>
    </row>
    <row r="5723" spans="1:5" x14ac:dyDescent="0.25">
      <c r="A5723" s="83"/>
      <c r="B5723" s="84"/>
      <c r="C5723" s="84"/>
      <c r="D5723" s="116"/>
      <c r="E5723" s="116"/>
    </row>
    <row r="5724" spans="1:5" x14ac:dyDescent="0.25">
      <c r="A5724" s="83"/>
      <c r="B5724" s="84"/>
      <c r="C5724" s="84"/>
      <c r="D5724" s="116"/>
      <c r="E5724" s="116"/>
    </row>
    <row r="5725" spans="1:5" x14ac:dyDescent="0.25">
      <c r="A5725" s="83"/>
      <c r="B5725" s="84"/>
      <c r="C5725" s="84"/>
      <c r="D5725" s="116"/>
      <c r="E5725" s="116"/>
    </row>
    <row r="5726" spans="1:5" x14ac:dyDescent="0.25">
      <c r="A5726" s="83"/>
      <c r="B5726" s="84"/>
      <c r="C5726" s="84"/>
      <c r="D5726" s="116"/>
      <c r="E5726" s="116"/>
    </row>
    <row r="5727" spans="1:5" x14ac:dyDescent="0.25">
      <c r="A5727" s="83"/>
      <c r="B5727" s="84"/>
      <c r="C5727" s="84"/>
      <c r="D5727" s="116"/>
      <c r="E5727" s="116"/>
    </row>
    <row r="5728" spans="1:5" x14ac:dyDescent="0.25">
      <c r="A5728" s="83"/>
      <c r="B5728" s="84"/>
      <c r="C5728" s="84"/>
      <c r="D5728" s="116"/>
      <c r="E5728" s="116"/>
    </row>
    <row r="5729" spans="1:5" x14ac:dyDescent="0.25">
      <c r="A5729" s="83"/>
      <c r="B5729" s="84"/>
      <c r="C5729" s="84"/>
      <c r="D5729" s="116"/>
      <c r="E5729" s="116"/>
    </row>
    <row r="5730" spans="1:5" x14ac:dyDescent="0.25">
      <c r="A5730" s="83"/>
      <c r="B5730" s="84"/>
      <c r="C5730" s="84"/>
      <c r="D5730" s="116"/>
      <c r="E5730" s="116"/>
    </row>
    <row r="5731" spans="1:5" x14ac:dyDescent="0.25">
      <c r="A5731" s="83"/>
      <c r="B5731" s="84"/>
      <c r="C5731" s="84"/>
      <c r="D5731" s="116"/>
      <c r="E5731" s="116"/>
    </row>
    <row r="5732" spans="1:5" x14ac:dyDescent="0.25">
      <c r="A5732" s="83"/>
      <c r="B5732" s="84"/>
      <c r="C5732" s="84"/>
      <c r="D5732" s="116"/>
      <c r="E5732" s="116"/>
    </row>
    <row r="5733" spans="1:5" x14ac:dyDescent="0.25">
      <c r="A5733" s="83"/>
      <c r="B5733" s="84"/>
      <c r="C5733" s="84"/>
      <c r="D5733" s="116"/>
      <c r="E5733" s="116"/>
    </row>
    <row r="5734" spans="1:5" x14ac:dyDescent="0.25">
      <c r="A5734" s="83"/>
      <c r="B5734" s="84"/>
      <c r="C5734" s="84"/>
      <c r="D5734" s="116"/>
      <c r="E5734" s="116"/>
    </row>
    <row r="5735" spans="1:5" x14ac:dyDescent="0.25">
      <c r="A5735" s="83"/>
      <c r="B5735" s="84"/>
      <c r="C5735" s="84"/>
      <c r="D5735" s="116"/>
      <c r="E5735" s="116"/>
    </row>
    <row r="5736" spans="1:5" x14ac:dyDescent="0.25">
      <c r="A5736" s="83"/>
      <c r="B5736" s="84"/>
      <c r="C5736" s="84"/>
      <c r="D5736" s="116"/>
      <c r="E5736" s="116"/>
    </row>
    <row r="5737" spans="1:5" x14ac:dyDescent="0.25">
      <c r="A5737" s="83"/>
      <c r="B5737" s="84"/>
      <c r="C5737" s="84"/>
      <c r="D5737" s="116"/>
      <c r="E5737" s="116"/>
    </row>
    <row r="5738" spans="1:5" x14ac:dyDescent="0.25">
      <c r="A5738" s="83"/>
      <c r="B5738" s="84"/>
      <c r="C5738" s="84"/>
      <c r="D5738" s="116"/>
      <c r="E5738" s="116"/>
    </row>
    <row r="5739" spans="1:5" x14ac:dyDescent="0.25">
      <c r="A5739" s="83"/>
      <c r="B5739" s="84"/>
      <c r="C5739" s="84"/>
      <c r="D5739" s="116"/>
      <c r="E5739" s="116"/>
    </row>
    <row r="5740" spans="1:5" x14ac:dyDescent="0.25">
      <c r="A5740" s="83"/>
      <c r="B5740" s="84"/>
      <c r="C5740" s="84"/>
      <c r="D5740" s="116"/>
      <c r="E5740" s="116"/>
    </row>
    <row r="5741" spans="1:5" x14ac:dyDescent="0.25">
      <c r="A5741" s="83"/>
      <c r="B5741" s="84"/>
      <c r="C5741" s="84"/>
      <c r="D5741" s="116"/>
      <c r="E5741" s="116"/>
    </row>
    <row r="5742" spans="1:5" x14ac:dyDescent="0.25">
      <c r="A5742" s="83"/>
      <c r="B5742" s="84"/>
      <c r="C5742" s="84"/>
      <c r="D5742" s="116"/>
      <c r="E5742" s="116"/>
    </row>
    <row r="5743" spans="1:5" x14ac:dyDescent="0.25">
      <c r="A5743" s="83"/>
      <c r="B5743" s="84"/>
      <c r="C5743" s="84"/>
      <c r="D5743" s="116"/>
      <c r="E5743" s="116"/>
    </row>
    <row r="5744" spans="1:5" x14ac:dyDescent="0.25">
      <c r="A5744" s="83"/>
      <c r="B5744" s="84"/>
      <c r="C5744" s="84"/>
      <c r="D5744" s="116"/>
      <c r="E5744" s="116"/>
    </row>
    <row r="5745" spans="1:5" x14ac:dyDescent="0.25">
      <c r="A5745" s="83"/>
      <c r="B5745" s="84"/>
      <c r="C5745" s="84"/>
      <c r="D5745" s="116"/>
      <c r="E5745" s="116"/>
    </row>
    <row r="5746" spans="1:5" x14ac:dyDescent="0.25">
      <c r="A5746" s="83"/>
      <c r="B5746" s="84"/>
      <c r="C5746" s="84"/>
      <c r="D5746" s="116"/>
      <c r="E5746" s="116"/>
    </row>
    <row r="5747" spans="1:5" x14ac:dyDescent="0.25">
      <c r="A5747" s="83"/>
      <c r="B5747" s="84"/>
      <c r="C5747" s="84"/>
      <c r="D5747" s="116"/>
      <c r="E5747" s="116"/>
    </row>
    <row r="5748" spans="1:5" x14ac:dyDescent="0.25">
      <c r="A5748" s="83"/>
      <c r="B5748" s="84"/>
      <c r="C5748" s="84"/>
      <c r="D5748" s="116"/>
      <c r="E5748" s="116"/>
    </row>
    <row r="5749" spans="1:5" x14ac:dyDescent="0.25">
      <c r="A5749" s="83"/>
      <c r="B5749" s="84"/>
      <c r="C5749" s="84"/>
      <c r="D5749" s="116"/>
      <c r="E5749" s="116"/>
    </row>
    <row r="5750" spans="1:5" x14ac:dyDescent="0.25">
      <c r="A5750" s="83"/>
      <c r="B5750" s="84"/>
      <c r="C5750" s="84"/>
      <c r="D5750" s="116"/>
      <c r="E5750" s="116"/>
    </row>
    <row r="5751" spans="1:5" x14ac:dyDescent="0.25">
      <c r="A5751" s="83"/>
      <c r="B5751" s="84"/>
      <c r="C5751" s="84"/>
      <c r="D5751" s="116"/>
      <c r="E5751" s="116"/>
    </row>
    <row r="5752" spans="1:5" x14ac:dyDescent="0.25">
      <c r="A5752" s="83"/>
      <c r="B5752" s="84"/>
      <c r="C5752" s="84"/>
      <c r="D5752" s="116"/>
      <c r="E5752" s="116"/>
    </row>
    <row r="5753" spans="1:5" x14ac:dyDescent="0.25">
      <c r="A5753" s="83"/>
      <c r="B5753" s="84"/>
      <c r="C5753" s="84"/>
      <c r="D5753" s="116"/>
      <c r="E5753" s="116"/>
    </row>
    <row r="5754" spans="1:5" x14ac:dyDescent="0.25">
      <c r="A5754" s="83"/>
      <c r="B5754" s="84"/>
      <c r="C5754" s="84"/>
      <c r="D5754" s="116"/>
      <c r="E5754" s="116"/>
    </row>
    <row r="5755" spans="1:5" x14ac:dyDescent="0.25">
      <c r="A5755" s="83"/>
      <c r="B5755" s="84"/>
      <c r="C5755" s="84"/>
      <c r="D5755" s="116"/>
      <c r="E5755" s="116"/>
    </row>
    <row r="5756" spans="1:5" x14ac:dyDescent="0.25">
      <c r="A5756" s="83"/>
      <c r="B5756" s="84"/>
      <c r="C5756" s="84"/>
      <c r="D5756" s="116"/>
      <c r="E5756" s="116"/>
    </row>
    <row r="5757" spans="1:5" x14ac:dyDescent="0.25">
      <c r="A5757" s="83"/>
      <c r="B5757" s="84"/>
      <c r="C5757" s="84"/>
      <c r="D5757" s="116"/>
      <c r="E5757" s="116"/>
    </row>
    <row r="5758" spans="1:5" x14ac:dyDescent="0.25">
      <c r="A5758" s="83"/>
      <c r="B5758" s="84"/>
      <c r="C5758" s="84"/>
      <c r="D5758" s="116"/>
      <c r="E5758" s="116"/>
    </row>
    <row r="5759" spans="1:5" x14ac:dyDescent="0.25">
      <c r="A5759" s="83"/>
      <c r="B5759" s="84"/>
      <c r="C5759" s="84"/>
      <c r="D5759" s="116"/>
      <c r="E5759" s="116"/>
    </row>
    <row r="5760" spans="1:5" x14ac:dyDescent="0.25">
      <c r="A5760" s="83"/>
      <c r="B5760" s="84"/>
      <c r="C5760" s="84"/>
      <c r="D5760" s="116"/>
      <c r="E5760" s="116"/>
    </row>
    <row r="5761" spans="1:5" x14ac:dyDescent="0.25">
      <c r="A5761" s="83"/>
      <c r="B5761" s="84"/>
      <c r="C5761" s="84"/>
      <c r="D5761" s="116"/>
      <c r="E5761" s="116"/>
    </row>
    <row r="5762" spans="1:5" x14ac:dyDescent="0.25">
      <c r="A5762" s="83"/>
      <c r="B5762" s="84"/>
      <c r="C5762" s="84"/>
      <c r="D5762" s="116"/>
      <c r="E5762" s="116"/>
    </row>
    <row r="5763" spans="1:5" x14ac:dyDescent="0.25">
      <c r="A5763" s="83"/>
      <c r="B5763" s="84"/>
      <c r="C5763" s="84"/>
      <c r="D5763" s="116"/>
      <c r="E5763" s="116"/>
    </row>
    <row r="5764" spans="1:5" x14ac:dyDescent="0.25">
      <c r="A5764" s="83"/>
      <c r="B5764" s="84"/>
      <c r="C5764" s="84"/>
      <c r="D5764" s="116"/>
      <c r="E5764" s="116"/>
    </row>
    <row r="5765" spans="1:5" x14ac:dyDescent="0.25">
      <c r="A5765" s="83"/>
      <c r="B5765" s="84"/>
      <c r="C5765" s="84"/>
      <c r="D5765" s="116"/>
      <c r="E5765" s="116"/>
    </row>
    <row r="5766" spans="1:5" x14ac:dyDescent="0.25">
      <c r="A5766" s="83"/>
      <c r="B5766" s="84"/>
      <c r="C5766" s="84"/>
      <c r="D5766" s="116"/>
      <c r="E5766" s="116"/>
    </row>
    <row r="5767" spans="1:5" x14ac:dyDescent="0.25">
      <c r="A5767" s="83"/>
      <c r="B5767" s="84"/>
      <c r="C5767" s="84"/>
      <c r="D5767" s="116"/>
      <c r="E5767" s="116"/>
    </row>
    <row r="5768" spans="1:5" x14ac:dyDescent="0.25">
      <c r="A5768" s="83"/>
      <c r="B5768" s="84"/>
      <c r="C5768" s="84"/>
      <c r="D5768" s="116"/>
      <c r="E5768" s="116"/>
    </row>
    <row r="5769" spans="1:5" x14ac:dyDescent="0.25">
      <c r="A5769" s="83"/>
      <c r="B5769" s="84"/>
      <c r="C5769" s="84"/>
      <c r="D5769" s="116"/>
      <c r="E5769" s="116"/>
    </row>
    <row r="5770" spans="1:5" x14ac:dyDescent="0.25">
      <c r="A5770" s="83"/>
      <c r="B5770" s="84"/>
      <c r="C5770" s="84"/>
      <c r="D5770" s="116"/>
      <c r="E5770" s="116"/>
    </row>
    <row r="5771" spans="1:5" x14ac:dyDescent="0.25">
      <c r="A5771" s="83"/>
      <c r="B5771" s="84"/>
      <c r="C5771" s="84"/>
      <c r="D5771" s="116"/>
      <c r="E5771" s="116"/>
    </row>
    <row r="5772" spans="1:5" x14ac:dyDescent="0.25">
      <c r="A5772" s="83"/>
      <c r="B5772" s="84"/>
      <c r="C5772" s="84"/>
      <c r="D5772" s="116"/>
      <c r="E5772" s="116"/>
    </row>
    <row r="5773" spans="1:5" x14ac:dyDescent="0.25">
      <c r="A5773" s="83"/>
      <c r="B5773" s="84"/>
      <c r="C5773" s="84"/>
      <c r="D5773" s="116"/>
      <c r="E5773" s="116"/>
    </row>
    <row r="5774" spans="1:5" x14ac:dyDescent="0.25">
      <c r="A5774" s="83"/>
      <c r="B5774" s="84"/>
      <c r="C5774" s="84"/>
      <c r="D5774" s="116"/>
      <c r="E5774" s="116"/>
    </row>
    <row r="5775" spans="1:5" x14ac:dyDescent="0.25">
      <c r="A5775" s="83"/>
      <c r="B5775" s="84"/>
      <c r="C5775" s="84"/>
      <c r="D5775" s="116"/>
      <c r="E5775" s="116"/>
    </row>
    <row r="5776" spans="1:5" x14ac:dyDescent="0.25">
      <c r="A5776" s="83"/>
      <c r="B5776" s="84"/>
      <c r="C5776" s="84"/>
      <c r="D5776" s="116"/>
      <c r="E5776" s="116"/>
    </row>
    <row r="5777" spans="1:5" x14ac:dyDescent="0.25">
      <c r="A5777" s="83"/>
      <c r="B5777" s="84"/>
      <c r="C5777" s="84"/>
      <c r="D5777" s="116"/>
      <c r="E5777" s="116"/>
    </row>
    <row r="5778" spans="1:5" x14ac:dyDescent="0.25">
      <c r="A5778" s="83"/>
      <c r="B5778" s="84"/>
      <c r="C5778" s="84"/>
      <c r="D5778" s="116"/>
      <c r="E5778" s="116"/>
    </row>
    <row r="5779" spans="1:5" x14ac:dyDescent="0.25">
      <c r="A5779" s="83"/>
      <c r="B5779" s="84"/>
      <c r="C5779" s="84"/>
      <c r="D5779" s="116"/>
      <c r="E5779" s="116"/>
    </row>
    <row r="5780" spans="1:5" x14ac:dyDescent="0.25">
      <c r="A5780" s="83"/>
      <c r="B5780" s="84"/>
      <c r="C5780" s="84"/>
      <c r="D5780" s="116"/>
      <c r="E5780" s="116"/>
    </row>
    <row r="5781" spans="1:5" x14ac:dyDescent="0.25">
      <c r="A5781" s="83"/>
      <c r="B5781" s="84"/>
      <c r="C5781" s="84"/>
      <c r="D5781" s="116"/>
      <c r="E5781" s="116"/>
    </row>
    <row r="5782" spans="1:5" x14ac:dyDescent="0.25">
      <c r="A5782" s="83"/>
      <c r="B5782" s="84"/>
      <c r="C5782" s="84"/>
      <c r="D5782" s="116"/>
      <c r="E5782" s="116"/>
    </row>
    <row r="5783" spans="1:5" x14ac:dyDescent="0.25">
      <c r="A5783" s="83"/>
      <c r="B5783" s="84"/>
      <c r="C5783" s="84"/>
      <c r="D5783" s="116"/>
      <c r="E5783" s="116"/>
    </row>
    <row r="5784" spans="1:5" x14ac:dyDescent="0.25">
      <c r="A5784" s="83"/>
      <c r="B5784" s="84"/>
      <c r="C5784" s="84"/>
      <c r="D5784" s="116"/>
      <c r="E5784" s="116"/>
    </row>
    <row r="5785" spans="1:5" x14ac:dyDescent="0.25">
      <c r="A5785" s="83"/>
      <c r="B5785" s="84"/>
      <c r="C5785" s="84"/>
      <c r="D5785" s="116"/>
      <c r="E5785" s="116"/>
    </row>
    <row r="5786" spans="1:5" x14ac:dyDescent="0.25">
      <c r="A5786" s="83"/>
      <c r="B5786" s="84"/>
      <c r="C5786" s="84"/>
      <c r="D5786" s="116"/>
      <c r="E5786" s="116"/>
    </row>
    <row r="5787" spans="1:5" x14ac:dyDescent="0.25">
      <c r="A5787" s="83"/>
      <c r="B5787" s="84"/>
      <c r="C5787" s="84"/>
      <c r="D5787" s="116"/>
      <c r="E5787" s="116"/>
    </row>
    <row r="5788" spans="1:5" x14ac:dyDescent="0.25">
      <c r="A5788" s="83"/>
      <c r="B5788" s="84"/>
      <c r="C5788" s="84"/>
      <c r="D5788" s="116"/>
      <c r="E5788" s="116"/>
    </row>
    <row r="5789" spans="1:5" x14ac:dyDescent="0.25">
      <c r="A5789" s="83"/>
      <c r="B5789" s="84"/>
      <c r="C5789" s="84"/>
      <c r="D5789" s="116"/>
      <c r="E5789" s="116"/>
    </row>
    <row r="5790" spans="1:5" x14ac:dyDescent="0.25">
      <c r="A5790" s="83"/>
      <c r="B5790" s="84"/>
      <c r="C5790" s="84"/>
      <c r="D5790" s="116"/>
      <c r="E5790" s="116"/>
    </row>
    <row r="5791" spans="1:5" x14ac:dyDescent="0.25">
      <c r="A5791" s="83"/>
      <c r="B5791" s="84"/>
      <c r="C5791" s="84"/>
      <c r="D5791" s="116"/>
      <c r="E5791" s="116"/>
    </row>
    <row r="5792" spans="1:5" x14ac:dyDescent="0.25">
      <c r="A5792" s="83"/>
      <c r="B5792" s="84"/>
      <c r="C5792" s="84"/>
      <c r="D5792" s="116"/>
      <c r="E5792" s="116"/>
    </row>
    <row r="5793" spans="1:5" x14ac:dyDescent="0.25">
      <c r="A5793" s="83"/>
      <c r="B5793" s="84"/>
      <c r="C5793" s="84"/>
      <c r="D5793" s="116"/>
      <c r="E5793" s="116"/>
    </row>
    <row r="5794" spans="1:5" x14ac:dyDescent="0.25">
      <c r="A5794" s="83"/>
      <c r="B5794" s="84"/>
      <c r="C5794" s="84"/>
      <c r="D5794" s="116"/>
      <c r="E5794" s="116"/>
    </row>
    <row r="5795" spans="1:5" x14ac:dyDescent="0.25">
      <c r="A5795" s="83"/>
      <c r="B5795" s="84"/>
      <c r="C5795" s="84"/>
      <c r="D5795" s="116"/>
      <c r="E5795" s="116"/>
    </row>
    <row r="5796" spans="1:5" x14ac:dyDescent="0.25">
      <c r="A5796" s="83"/>
      <c r="B5796" s="84"/>
      <c r="C5796" s="84"/>
      <c r="D5796" s="116"/>
      <c r="E5796" s="116"/>
    </row>
    <row r="5797" spans="1:5" x14ac:dyDescent="0.25">
      <c r="A5797" s="83"/>
      <c r="B5797" s="84"/>
      <c r="C5797" s="84"/>
      <c r="D5797" s="116"/>
      <c r="E5797" s="116"/>
    </row>
    <row r="5798" spans="1:5" x14ac:dyDescent="0.25">
      <c r="A5798" s="83"/>
      <c r="B5798" s="84"/>
      <c r="C5798" s="84"/>
      <c r="D5798" s="116"/>
      <c r="E5798" s="116"/>
    </row>
    <row r="5799" spans="1:5" x14ac:dyDescent="0.25">
      <c r="A5799" s="83"/>
      <c r="B5799" s="84"/>
      <c r="C5799" s="84"/>
      <c r="D5799" s="116"/>
      <c r="E5799" s="116"/>
    </row>
    <row r="5800" spans="1:5" x14ac:dyDescent="0.25">
      <c r="A5800" s="83"/>
      <c r="B5800" s="84"/>
      <c r="C5800" s="84"/>
      <c r="D5800" s="116"/>
      <c r="E5800" s="116"/>
    </row>
    <row r="5801" spans="1:5" x14ac:dyDescent="0.25">
      <c r="A5801" s="83"/>
      <c r="B5801" s="84"/>
      <c r="C5801" s="84"/>
      <c r="D5801" s="116"/>
      <c r="E5801" s="116"/>
    </row>
    <row r="5802" spans="1:5" x14ac:dyDescent="0.25">
      <c r="A5802" s="83"/>
      <c r="B5802" s="84"/>
      <c r="C5802" s="84"/>
      <c r="D5802" s="116"/>
      <c r="E5802" s="116"/>
    </row>
    <row r="5803" spans="1:5" x14ac:dyDescent="0.25">
      <c r="A5803" s="83"/>
      <c r="B5803" s="84"/>
      <c r="C5803" s="84"/>
      <c r="D5803" s="116"/>
      <c r="E5803" s="116"/>
    </row>
    <row r="5804" spans="1:5" x14ac:dyDescent="0.25">
      <c r="A5804" s="83"/>
      <c r="B5804" s="84"/>
      <c r="C5804" s="84"/>
      <c r="D5804" s="116"/>
      <c r="E5804" s="116"/>
    </row>
    <row r="5805" spans="1:5" x14ac:dyDescent="0.25">
      <c r="A5805" s="83"/>
      <c r="B5805" s="84"/>
      <c r="C5805" s="84"/>
      <c r="D5805" s="116"/>
      <c r="E5805" s="116"/>
    </row>
    <row r="5806" spans="1:5" x14ac:dyDescent="0.25">
      <c r="A5806" s="83"/>
      <c r="B5806" s="84"/>
      <c r="C5806" s="84"/>
      <c r="D5806" s="116"/>
      <c r="E5806" s="116"/>
    </row>
    <row r="5807" spans="1:5" x14ac:dyDescent="0.25">
      <c r="A5807" s="83"/>
      <c r="B5807" s="84"/>
      <c r="C5807" s="84"/>
      <c r="D5807" s="116"/>
      <c r="E5807" s="116"/>
    </row>
    <row r="5808" spans="1:5" x14ac:dyDescent="0.25">
      <c r="A5808" s="83"/>
      <c r="B5808" s="84"/>
      <c r="C5808" s="84"/>
      <c r="D5808" s="116"/>
      <c r="E5808" s="116"/>
    </row>
    <row r="5809" spans="1:5" x14ac:dyDescent="0.25">
      <c r="A5809" s="83"/>
      <c r="B5809" s="84"/>
      <c r="C5809" s="84"/>
      <c r="D5809" s="116"/>
      <c r="E5809" s="116"/>
    </row>
    <row r="5810" spans="1:5" x14ac:dyDescent="0.25">
      <c r="A5810" s="83"/>
      <c r="B5810" s="84"/>
      <c r="C5810" s="84"/>
      <c r="D5810" s="116"/>
      <c r="E5810" s="116"/>
    </row>
    <row r="5811" spans="1:5" x14ac:dyDescent="0.25">
      <c r="A5811" s="83"/>
      <c r="B5811" s="84"/>
      <c r="C5811" s="84"/>
      <c r="D5811" s="116"/>
      <c r="E5811" s="116"/>
    </row>
    <row r="5812" spans="1:5" x14ac:dyDescent="0.25">
      <c r="A5812" s="83"/>
      <c r="B5812" s="84"/>
      <c r="C5812" s="84"/>
      <c r="D5812" s="116"/>
      <c r="E5812" s="116"/>
    </row>
    <row r="5813" spans="1:5" x14ac:dyDescent="0.25">
      <c r="A5813" s="83"/>
      <c r="B5813" s="84"/>
      <c r="C5813" s="84"/>
      <c r="D5813" s="116"/>
      <c r="E5813" s="116"/>
    </row>
    <row r="5814" spans="1:5" x14ac:dyDescent="0.25">
      <c r="A5814" s="83"/>
      <c r="B5814" s="84"/>
      <c r="C5814" s="84"/>
      <c r="D5814" s="116"/>
      <c r="E5814" s="116"/>
    </row>
    <row r="5815" spans="1:5" x14ac:dyDescent="0.25">
      <c r="A5815" s="83"/>
      <c r="B5815" s="84"/>
      <c r="C5815" s="84"/>
      <c r="D5815" s="116"/>
      <c r="E5815" s="116"/>
    </row>
    <row r="5816" spans="1:5" x14ac:dyDescent="0.25">
      <c r="A5816" s="83"/>
      <c r="B5816" s="84"/>
      <c r="C5816" s="84"/>
      <c r="D5816" s="116"/>
      <c r="E5816" s="116"/>
    </row>
    <row r="5817" spans="1:5" x14ac:dyDescent="0.25">
      <c r="A5817" s="83"/>
      <c r="B5817" s="84"/>
      <c r="C5817" s="84"/>
      <c r="D5817" s="116"/>
      <c r="E5817" s="116"/>
    </row>
    <row r="5818" spans="1:5" x14ac:dyDescent="0.25">
      <c r="A5818" s="83"/>
      <c r="B5818" s="84"/>
      <c r="C5818" s="84"/>
      <c r="D5818" s="116"/>
      <c r="E5818" s="116"/>
    </row>
    <row r="5819" spans="1:5" x14ac:dyDescent="0.25">
      <c r="A5819" s="83"/>
      <c r="B5819" s="84"/>
      <c r="C5819" s="84"/>
      <c r="D5819" s="116"/>
      <c r="E5819" s="116"/>
    </row>
    <row r="5820" spans="1:5" x14ac:dyDescent="0.25">
      <c r="A5820" s="83"/>
      <c r="B5820" s="84"/>
      <c r="C5820" s="84"/>
      <c r="D5820" s="116"/>
      <c r="E5820" s="116"/>
    </row>
    <row r="5821" spans="1:5" x14ac:dyDescent="0.25">
      <c r="A5821" s="83"/>
      <c r="B5821" s="84"/>
      <c r="C5821" s="84"/>
      <c r="D5821" s="116"/>
      <c r="E5821" s="116"/>
    </row>
    <row r="5822" spans="1:5" x14ac:dyDescent="0.25">
      <c r="A5822" s="83"/>
      <c r="B5822" s="84"/>
      <c r="C5822" s="84"/>
      <c r="D5822" s="116"/>
      <c r="E5822" s="116"/>
    </row>
    <row r="5823" spans="1:5" x14ac:dyDescent="0.25">
      <c r="A5823" s="83"/>
      <c r="B5823" s="84"/>
      <c r="C5823" s="84"/>
      <c r="D5823" s="116"/>
      <c r="E5823" s="116"/>
    </row>
    <row r="5824" spans="1:5" x14ac:dyDescent="0.25">
      <c r="A5824" s="83"/>
      <c r="B5824" s="84"/>
      <c r="C5824" s="84"/>
      <c r="D5824" s="116"/>
      <c r="E5824" s="116"/>
    </row>
    <row r="5825" spans="1:5" x14ac:dyDescent="0.25">
      <c r="A5825" s="83"/>
      <c r="B5825" s="84"/>
      <c r="C5825" s="84"/>
      <c r="D5825" s="116"/>
      <c r="E5825" s="116"/>
    </row>
    <row r="5826" spans="1:5" x14ac:dyDescent="0.25">
      <c r="A5826" s="83"/>
      <c r="B5826" s="84"/>
      <c r="C5826" s="84"/>
      <c r="D5826" s="116"/>
      <c r="E5826" s="116"/>
    </row>
    <row r="5827" spans="1:5" x14ac:dyDescent="0.25">
      <c r="A5827" s="83"/>
      <c r="B5827" s="84"/>
      <c r="C5827" s="84"/>
      <c r="D5827" s="116"/>
      <c r="E5827" s="116"/>
    </row>
    <row r="5828" spans="1:5" x14ac:dyDescent="0.25">
      <c r="A5828" s="83"/>
      <c r="B5828" s="84"/>
      <c r="C5828" s="84"/>
      <c r="D5828" s="116"/>
      <c r="E5828" s="116"/>
    </row>
    <row r="5829" spans="1:5" x14ac:dyDescent="0.25">
      <c r="A5829" s="83"/>
      <c r="B5829" s="84"/>
      <c r="C5829" s="84"/>
      <c r="D5829" s="116"/>
      <c r="E5829" s="116"/>
    </row>
    <row r="5830" spans="1:5" x14ac:dyDescent="0.25">
      <c r="A5830" s="83"/>
      <c r="B5830" s="84"/>
      <c r="C5830" s="84"/>
      <c r="D5830" s="116"/>
      <c r="E5830" s="116"/>
    </row>
    <row r="5831" spans="1:5" x14ac:dyDescent="0.25">
      <c r="A5831" s="83"/>
      <c r="B5831" s="84"/>
      <c r="C5831" s="84"/>
      <c r="D5831" s="116"/>
      <c r="E5831" s="116"/>
    </row>
    <row r="5832" spans="1:5" x14ac:dyDescent="0.25">
      <c r="A5832" s="83"/>
      <c r="B5832" s="84"/>
      <c r="C5832" s="84"/>
      <c r="D5832" s="116"/>
      <c r="E5832" s="116"/>
    </row>
    <row r="5833" spans="1:5" x14ac:dyDescent="0.25">
      <c r="A5833" s="83"/>
      <c r="B5833" s="84"/>
      <c r="C5833" s="84"/>
      <c r="D5833" s="116"/>
      <c r="E5833" s="116"/>
    </row>
    <row r="5834" spans="1:5" x14ac:dyDescent="0.25">
      <c r="A5834" s="83"/>
      <c r="B5834" s="84"/>
      <c r="C5834" s="84"/>
      <c r="D5834" s="116"/>
      <c r="E5834" s="116"/>
    </row>
    <row r="5835" spans="1:5" x14ac:dyDescent="0.25">
      <c r="A5835" s="83"/>
      <c r="B5835" s="84"/>
      <c r="C5835" s="84"/>
      <c r="D5835" s="116"/>
      <c r="E5835" s="116"/>
    </row>
    <row r="5836" spans="1:5" x14ac:dyDescent="0.25">
      <c r="A5836" s="83"/>
      <c r="B5836" s="84"/>
      <c r="C5836" s="84"/>
      <c r="D5836" s="116"/>
      <c r="E5836" s="116"/>
    </row>
    <row r="5837" spans="1:5" x14ac:dyDescent="0.25">
      <c r="A5837" s="83"/>
      <c r="B5837" s="84"/>
      <c r="C5837" s="84"/>
      <c r="D5837" s="116"/>
      <c r="E5837" s="116"/>
    </row>
    <row r="5838" spans="1:5" x14ac:dyDescent="0.25">
      <c r="A5838" s="83"/>
      <c r="B5838" s="84"/>
      <c r="C5838" s="84"/>
      <c r="D5838" s="116"/>
      <c r="E5838" s="116"/>
    </row>
    <row r="5839" spans="1:5" x14ac:dyDescent="0.25">
      <c r="A5839" s="83"/>
      <c r="B5839" s="84"/>
      <c r="C5839" s="84"/>
      <c r="D5839" s="116"/>
      <c r="E5839" s="116"/>
    </row>
    <row r="5840" spans="1:5" x14ac:dyDescent="0.25">
      <c r="A5840" s="83"/>
      <c r="B5840" s="84"/>
      <c r="C5840" s="84"/>
      <c r="D5840" s="116"/>
      <c r="E5840" s="116"/>
    </row>
    <row r="5841" spans="1:5" x14ac:dyDescent="0.25">
      <c r="A5841" s="83"/>
      <c r="B5841" s="84"/>
      <c r="C5841" s="84"/>
      <c r="D5841" s="116"/>
      <c r="E5841" s="116"/>
    </row>
    <row r="5842" spans="1:5" x14ac:dyDescent="0.25">
      <c r="A5842" s="83"/>
      <c r="B5842" s="84"/>
      <c r="C5842" s="84"/>
      <c r="D5842" s="116"/>
      <c r="E5842" s="116"/>
    </row>
    <row r="5843" spans="1:5" x14ac:dyDescent="0.25">
      <c r="A5843" s="83"/>
      <c r="B5843" s="84"/>
      <c r="C5843" s="84"/>
      <c r="D5843" s="116"/>
      <c r="E5843" s="116"/>
    </row>
    <row r="5844" spans="1:5" x14ac:dyDescent="0.25">
      <c r="A5844" s="83"/>
      <c r="B5844" s="84"/>
      <c r="C5844" s="84"/>
      <c r="D5844" s="116"/>
      <c r="E5844" s="116"/>
    </row>
    <row r="5845" spans="1:5" x14ac:dyDescent="0.25">
      <c r="A5845" s="83"/>
      <c r="B5845" s="84"/>
      <c r="C5845" s="84"/>
      <c r="D5845" s="116"/>
      <c r="E5845" s="116"/>
    </row>
    <row r="5846" spans="1:5" x14ac:dyDescent="0.25">
      <c r="A5846" s="83"/>
      <c r="B5846" s="84"/>
      <c r="C5846" s="84"/>
      <c r="D5846" s="116"/>
      <c r="E5846" s="116"/>
    </row>
    <row r="5847" spans="1:5" x14ac:dyDescent="0.25">
      <c r="A5847" s="83"/>
      <c r="B5847" s="84"/>
      <c r="C5847" s="84"/>
      <c r="D5847" s="116"/>
      <c r="E5847" s="116"/>
    </row>
    <row r="5848" spans="1:5" x14ac:dyDescent="0.25">
      <c r="A5848" s="83"/>
      <c r="B5848" s="84"/>
      <c r="C5848" s="84"/>
      <c r="D5848" s="116"/>
      <c r="E5848" s="116"/>
    </row>
    <row r="5849" spans="1:5" x14ac:dyDescent="0.25">
      <c r="A5849" s="83"/>
      <c r="B5849" s="84"/>
      <c r="C5849" s="84"/>
      <c r="D5849" s="116"/>
      <c r="E5849" s="116"/>
    </row>
    <row r="5850" spans="1:5" x14ac:dyDescent="0.25">
      <c r="A5850" s="83"/>
      <c r="B5850" s="84"/>
      <c r="C5850" s="84"/>
      <c r="D5850" s="116"/>
      <c r="E5850" s="116"/>
    </row>
    <row r="5851" spans="1:5" x14ac:dyDescent="0.25">
      <c r="A5851" s="83"/>
      <c r="B5851" s="84"/>
      <c r="C5851" s="84"/>
      <c r="D5851" s="116"/>
      <c r="E5851" s="116"/>
    </row>
    <row r="5852" spans="1:5" x14ac:dyDescent="0.25">
      <c r="A5852" s="83"/>
      <c r="B5852" s="84"/>
      <c r="C5852" s="84"/>
      <c r="D5852" s="116"/>
      <c r="E5852" s="116"/>
    </row>
    <row r="5853" spans="1:5" x14ac:dyDescent="0.25">
      <c r="A5853" s="83"/>
      <c r="B5853" s="84"/>
      <c r="C5853" s="84"/>
      <c r="D5853" s="116"/>
      <c r="E5853" s="116"/>
    </row>
    <row r="5854" spans="1:5" x14ac:dyDescent="0.25">
      <c r="A5854" s="83"/>
      <c r="B5854" s="84"/>
      <c r="C5854" s="84"/>
      <c r="D5854" s="116"/>
      <c r="E5854" s="116"/>
    </row>
    <row r="5855" spans="1:5" x14ac:dyDescent="0.25">
      <c r="A5855" s="83"/>
      <c r="B5855" s="84"/>
      <c r="C5855" s="84"/>
      <c r="D5855" s="116"/>
      <c r="E5855" s="116"/>
    </row>
    <row r="5856" spans="1:5" x14ac:dyDescent="0.25">
      <c r="A5856" s="83"/>
      <c r="B5856" s="84"/>
      <c r="C5856" s="84"/>
      <c r="D5856" s="116"/>
      <c r="E5856" s="116"/>
    </row>
    <row r="5857" spans="1:5" x14ac:dyDescent="0.25">
      <c r="A5857" s="83"/>
      <c r="B5857" s="84"/>
      <c r="C5857" s="84"/>
      <c r="D5857" s="116"/>
      <c r="E5857" s="116"/>
    </row>
    <row r="5858" spans="1:5" x14ac:dyDescent="0.25">
      <c r="A5858" s="83"/>
      <c r="B5858" s="84"/>
      <c r="C5858" s="84"/>
      <c r="D5858" s="116"/>
      <c r="E5858" s="116"/>
    </row>
    <row r="5859" spans="1:5" x14ac:dyDescent="0.25">
      <c r="A5859" s="83"/>
      <c r="B5859" s="84"/>
      <c r="C5859" s="84"/>
      <c r="D5859" s="116"/>
      <c r="E5859" s="116"/>
    </row>
    <row r="5860" spans="1:5" x14ac:dyDescent="0.25">
      <c r="A5860" s="83"/>
      <c r="B5860" s="84"/>
      <c r="C5860" s="84"/>
      <c r="D5860" s="116"/>
      <c r="E5860" s="116"/>
    </row>
    <row r="5861" spans="1:5" x14ac:dyDescent="0.25">
      <c r="A5861" s="83"/>
      <c r="B5861" s="84"/>
      <c r="C5861" s="84"/>
      <c r="D5861" s="116"/>
      <c r="E5861" s="116"/>
    </row>
    <row r="5862" spans="1:5" x14ac:dyDescent="0.25">
      <c r="A5862" s="83"/>
      <c r="B5862" s="84"/>
      <c r="C5862" s="84"/>
      <c r="D5862" s="116"/>
      <c r="E5862" s="116"/>
    </row>
    <row r="5863" spans="1:5" x14ac:dyDescent="0.25">
      <c r="A5863" s="83"/>
      <c r="B5863" s="84"/>
      <c r="C5863" s="84"/>
      <c r="D5863" s="116"/>
      <c r="E5863" s="116"/>
    </row>
    <row r="5864" spans="1:5" x14ac:dyDescent="0.25">
      <c r="A5864" s="83"/>
      <c r="B5864" s="84"/>
      <c r="C5864" s="84"/>
      <c r="D5864" s="116"/>
      <c r="E5864" s="116"/>
    </row>
    <row r="5865" spans="1:5" x14ac:dyDescent="0.25">
      <c r="A5865" s="83"/>
      <c r="B5865" s="84"/>
      <c r="C5865" s="84"/>
      <c r="D5865" s="116"/>
      <c r="E5865" s="116"/>
    </row>
    <row r="5866" spans="1:5" x14ac:dyDescent="0.25">
      <c r="A5866" s="83"/>
      <c r="B5866" s="84"/>
      <c r="C5866" s="84"/>
      <c r="D5866" s="116"/>
      <c r="E5866" s="116"/>
    </row>
    <row r="5867" spans="1:5" x14ac:dyDescent="0.25">
      <c r="A5867" s="83"/>
      <c r="B5867" s="84"/>
      <c r="C5867" s="84"/>
      <c r="D5867" s="116"/>
      <c r="E5867" s="116"/>
    </row>
    <row r="5868" spans="1:5" x14ac:dyDescent="0.25">
      <c r="A5868" s="83"/>
      <c r="B5868" s="84"/>
      <c r="C5868" s="84"/>
      <c r="D5868" s="116"/>
      <c r="E5868" s="116"/>
    </row>
    <row r="5869" spans="1:5" x14ac:dyDescent="0.25">
      <c r="A5869" s="83"/>
      <c r="B5869" s="84"/>
      <c r="C5869" s="84"/>
      <c r="D5869" s="116"/>
      <c r="E5869" s="116"/>
    </row>
    <row r="5870" spans="1:5" x14ac:dyDescent="0.25">
      <c r="A5870" s="83"/>
      <c r="B5870" s="84"/>
      <c r="C5870" s="84"/>
      <c r="D5870" s="116"/>
      <c r="E5870" s="116"/>
    </row>
    <row r="5871" spans="1:5" x14ac:dyDescent="0.25">
      <c r="A5871" s="83"/>
      <c r="B5871" s="84"/>
      <c r="C5871" s="84"/>
      <c r="D5871" s="116"/>
      <c r="E5871" s="116"/>
    </row>
    <row r="5872" spans="1:5" x14ac:dyDescent="0.25">
      <c r="A5872" s="83"/>
      <c r="B5872" s="84"/>
      <c r="C5872" s="84"/>
      <c r="D5872" s="116"/>
      <c r="E5872" s="116"/>
    </row>
    <row r="5873" spans="1:5" x14ac:dyDescent="0.25">
      <c r="A5873" s="83"/>
      <c r="B5873" s="84"/>
      <c r="C5873" s="84"/>
      <c r="D5873" s="116"/>
      <c r="E5873" s="116"/>
    </row>
    <row r="5874" spans="1:5" x14ac:dyDescent="0.25">
      <c r="A5874" s="83"/>
      <c r="B5874" s="84"/>
      <c r="C5874" s="84"/>
      <c r="D5874" s="116"/>
      <c r="E5874" s="116"/>
    </row>
    <row r="5875" spans="1:5" x14ac:dyDescent="0.25">
      <c r="A5875" s="83"/>
      <c r="B5875" s="84"/>
      <c r="C5875" s="84"/>
      <c r="D5875" s="116"/>
      <c r="E5875" s="116"/>
    </row>
    <row r="5876" spans="1:5" x14ac:dyDescent="0.25">
      <c r="A5876" s="83"/>
      <c r="B5876" s="84"/>
      <c r="C5876" s="84"/>
      <c r="D5876" s="116"/>
      <c r="E5876" s="116"/>
    </row>
    <row r="5877" spans="1:5" x14ac:dyDescent="0.25">
      <c r="A5877" s="83"/>
      <c r="B5877" s="84"/>
      <c r="C5877" s="84"/>
      <c r="D5877" s="116"/>
      <c r="E5877" s="116"/>
    </row>
    <row r="5878" spans="1:5" x14ac:dyDescent="0.25">
      <c r="A5878" s="83"/>
      <c r="B5878" s="84"/>
      <c r="C5878" s="84"/>
      <c r="D5878" s="116"/>
      <c r="E5878" s="116"/>
    </row>
    <row r="5879" spans="1:5" x14ac:dyDescent="0.25">
      <c r="A5879" s="83"/>
      <c r="B5879" s="84"/>
      <c r="C5879" s="84"/>
      <c r="D5879" s="116"/>
      <c r="E5879" s="116"/>
    </row>
    <row r="5880" spans="1:5" x14ac:dyDescent="0.25">
      <c r="A5880" s="83"/>
      <c r="B5880" s="84"/>
      <c r="C5880" s="84"/>
      <c r="D5880" s="116"/>
      <c r="E5880" s="116"/>
    </row>
    <row r="5881" spans="1:5" x14ac:dyDescent="0.25">
      <c r="A5881" s="83"/>
      <c r="B5881" s="84"/>
      <c r="C5881" s="84"/>
      <c r="D5881" s="116"/>
      <c r="E5881" s="116"/>
    </row>
    <row r="5882" spans="1:5" x14ac:dyDescent="0.25">
      <c r="A5882" s="83"/>
      <c r="B5882" s="84"/>
      <c r="C5882" s="84"/>
      <c r="D5882" s="116"/>
      <c r="E5882" s="116"/>
    </row>
    <row r="5883" spans="1:5" x14ac:dyDescent="0.25">
      <c r="A5883" s="83"/>
      <c r="B5883" s="84"/>
      <c r="C5883" s="84"/>
      <c r="D5883" s="116"/>
      <c r="E5883" s="116"/>
    </row>
    <row r="5884" spans="1:5" x14ac:dyDescent="0.25">
      <c r="A5884" s="83"/>
      <c r="B5884" s="84"/>
      <c r="C5884" s="84"/>
      <c r="D5884" s="116"/>
      <c r="E5884" s="116"/>
    </row>
    <row r="5885" spans="1:5" x14ac:dyDescent="0.25">
      <c r="A5885" s="83"/>
      <c r="B5885" s="84"/>
      <c r="C5885" s="84"/>
      <c r="D5885" s="116"/>
      <c r="E5885" s="116"/>
    </row>
    <row r="5886" spans="1:5" x14ac:dyDescent="0.25">
      <c r="A5886" s="83"/>
      <c r="B5886" s="84"/>
      <c r="C5886" s="84"/>
      <c r="D5886" s="116"/>
      <c r="E5886" s="116"/>
    </row>
    <row r="5887" spans="1:5" x14ac:dyDescent="0.25">
      <c r="A5887" s="83"/>
      <c r="B5887" s="84"/>
      <c r="C5887" s="84"/>
      <c r="D5887" s="116"/>
      <c r="E5887" s="116"/>
    </row>
    <row r="5888" spans="1:5" x14ac:dyDescent="0.25">
      <c r="A5888" s="83"/>
      <c r="B5888" s="84"/>
      <c r="C5888" s="84"/>
      <c r="D5888" s="116"/>
      <c r="E5888" s="116"/>
    </row>
    <row r="5889" spans="1:5" x14ac:dyDescent="0.25">
      <c r="A5889" s="83"/>
      <c r="B5889" s="84"/>
      <c r="C5889" s="84"/>
      <c r="D5889" s="116"/>
      <c r="E5889" s="116"/>
    </row>
    <row r="5890" spans="1:5" x14ac:dyDescent="0.25">
      <c r="A5890" s="83"/>
      <c r="B5890" s="84"/>
      <c r="C5890" s="84"/>
      <c r="D5890" s="116"/>
      <c r="E5890" s="116"/>
    </row>
    <row r="5891" spans="1:5" x14ac:dyDescent="0.25">
      <c r="A5891" s="83"/>
      <c r="B5891" s="84"/>
      <c r="C5891" s="84"/>
      <c r="D5891" s="116"/>
      <c r="E5891" s="116"/>
    </row>
    <row r="5892" spans="1:5" x14ac:dyDescent="0.25">
      <c r="A5892" s="83"/>
      <c r="B5892" s="84"/>
      <c r="C5892" s="84"/>
      <c r="D5892" s="116"/>
      <c r="E5892" s="116"/>
    </row>
    <row r="5893" spans="1:5" x14ac:dyDescent="0.25">
      <c r="A5893" s="83"/>
      <c r="B5893" s="84"/>
      <c r="C5893" s="84"/>
      <c r="D5893" s="116"/>
      <c r="E5893" s="116"/>
    </row>
    <row r="5894" spans="1:5" x14ac:dyDescent="0.25">
      <c r="A5894" s="83"/>
      <c r="B5894" s="84"/>
      <c r="C5894" s="84"/>
      <c r="D5894" s="116"/>
      <c r="E5894" s="116"/>
    </row>
    <row r="5895" spans="1:5" x14ac:dyDescent="0.25">
      <c r="A5895" s="83"/>
      <c r="B5895" s="84"/>
      <c r="C5895" s="84"/>
      <c r="D5895" s="116"/>
      <c r="E5895" s="116"/>
    </row>
    <row r="5896" spans="1:5" x14ac:dyDescent="0.25">
      <c r="A5896" s="83"/>
      <c r="B5896" s="84"/>
      <c r="C5896" s="84"/>
      <c r="D5896" s="116"/>
      <c r="E5896" s="116"/>
    </row>
    <row r="5897" spans="1:5" x14ac:dyDescent="0.25">
      <c r="A5897" s="83"/>
      <c r="B5897" s="84"/>
      <c r="C5897" s="84"/>
      <c r="D5897" s="116"/>
      <c r="E5897" s="116"/>
    </row>
    <row r="5898" spans="1:5" x14ac:dyDescent="0.25">
      <c r="A5898" s="83"/>
      <c r="B5898" s="84"/>
      <c r="C5898" s="84"/>
      <c r="D5898" s="116"/>
      <c r="E5898" s="116"/>
    </row>
    <row r="5899" spans="1:5" x14ac:dyDescent="0.25">
      <c r="A5899" s="83"/>
      <c r="B5899" s="84"/>
      <c r="C5899" s="84"/>
      <c r="D5899" s="116"/>
      <c r="E5899" s="116"/>
    </row>
    <row r="5900" spans="1:5" x14ac:dyDescent="0.25">
      <c r="A5900" s="83"/>
      <c r="B5900" s="84"/>
      <c r="C5900" s="84"/>
      <c r="D5900" s="116"/>
      <c r="E5900" s="116"/>
    </row>
    <row r="5901" spans="1:5" x14ac:dyDescent="0.25">
      <c r="A5901" s="83"/>
      <c r="B5901" s="84"/>
      <c r="C5901" s="84"/>
      <c r="D5901" s="116"/>
      <c r="E5901" s="116"/>
    </row>
    <row r="5902" spans="1:5" x14ac:dyDescent="0.25">
      <c r="A5902" s="83"/>
      <c r="B5902" s="84"/>
      <c r="C5902" s="84"/>
      <c r="D5902" s="116"/>
      <c r="E5902" s="116"/>
    </row>
    <row r="5903" spans="1:5" x14ac:dyDescent="0.25">
      <c r="A5903" s="83"/>
      <c r="B5903" s="84"/>
      <c r="C5903" s="84"/>
      <c r="D5903" s="116"/>
      <c r="E5903" s="116"/>
    </row>
    <row r="5904" spans="1:5" x14ac:dyDescent="0.25">
      <c r="A5904" s="83"/>
      <c r="B5904" s="84"/>
      <c r="C5904" s="84"/>
      <c r="D5904" s="116"/>
      <c r="E5904" s="116"/>
    </row>
    <row r="5905" spans="1:5" x14ac:dyDescent="0.25">
      <c r="A5905" s="83"/>
      <c r="B5905" s="84"/>
      <c r="C5905" s="84"/>
      <c r="D5905" s="116"/>
      <c r="E5905" s="116"/>
    </row>
    <row r="5906" spans="1:5" x14ac:dyDescent="0.25">
      <c r="A5906" s="83"/>
      <c r="B5906" s="84"/>
      <c r="C5906" s="84"/>
      <c r="D5906" s="116"/>
      <c r="E5906" s="116"/>
    </row>
    <row r="5907" spans="1:5" x14ac:dyDescent="0.25">
      <c r="A5907" s="83"/>
      <c r="B5907" s="84"/>
      <c r="C5907" s="84"/>
      <c r="D5907" s="116"/>
      <c r="E5907" s="116"/>
    </row>
    <row r="5908" spans="1:5" x14ac:dyDescent="0.25">
      <c r="A5908" s="83"/>
      <c r="B5908" s="84"/>
      <c r="C5908" s="84"/>
      <c r="D5908" s="116"/>
      <c r="E5908" s="116"/>
    </row>
    <row r="5909" spans="1:5" x14ac:dyDescent="0.25">
      <c r="A5909" s="83"/>
      <c r="B5909" s="84"/>
      <c r="C5909" s="84"/>
      <c r="D5909" s="116"/>
      <c r="E5909" s="116"/>
    </row>
    <row r="5910" spans="1:5" x14ac:dyDescent="0.25">
      <c r="A5910" s="83"/>
      <c r="B5910" s="84"/>
      <c r="C5910" s="84"/>
      <c r="D5910" s="116"/>
      <c r="E5910" s="116"/>
    </row>
    <row r="5911" spans="1:5" x14ac:dyDescent="0.25">
      <c r="A5911" s="83"/>
      <c r="B5911" s="84"/>
      <c r="C5911" s="84"/>
      <c r="D5911" s="116"/>
      <c r="E5911" s="116"/>
    </row>
    <row r="5912" spans="1:5" x14ac:dyDescent="0.25">
      <c r="A5912" s="83"/>
      <c r="B5912" s="84"/>
      <c r="C5912" s="84"/>
      <c r="D5912" s="116"/>
      <c r="E5912" s="116"/>
    </row>
    <row r="5913" spans="1:5" x14ac:dyDescent="0.25">
      <c r="A5913" s="83"/>
      <c r="B5913" s="84"/>
      <c r="C5913" s="84"/>
      <c r="D5913" s="116"/>
      <c r="E5913" s="116"/>
    </row>
    <row r="5914" spans="1:5" x14ac:dyDescent="0.25">
      <c r="A5914" s="83"/>
      <c r="B5914" s="84"/>
      <c r="C5914" s="84"/>
      <c r="D5914" s="116"/>
      <c r="E5914" s="116"/>
    </row>
    <row r="5915" spans="1:5" x14ac:dyDescent="0.25">
      <c r="A5915" s="83"/>
      <c r="B5915" s="84"/>
      <c r="C5915" s="84"/>
      <c r="D5915" s="116"/>
      <c r="E5915" s="116"/>
    </row>
    <row r="5916" spans="1:5" x14ac:dyDescent="0.25">
      <c r="A5916" s="83"/>
      <c r="B5916" s="84"/>
      <c r="C5916" s="84"/>
      <c r="D5916" s="116"/>
      <c r="E5916" s="116"/>
    </row>
    <row r="5917" spans="1:5" x14ac:dyDescent="0.25">
      <c r="A5917" s="83"/>
      <c r="B5917" s="84"/>
      <c r="C5917" s="84"/>
      <c r="D5917" s="116"/>
      <c r="E5917" s="116"/>
    </row>
    <row r="5918" spans="1:5" x14ac:dyDescent="0.25">
      <c r="A5918" s="83"/>
      <c r="B5918" s="84"/>
      <c r="C5918" s="84"/>
      <c r="D5918" s="116"/>
      <c r="E5918" s="116"/>
    </row>
    <row r="5919" spans="1:5" x14ac:dyDescent="0.25">
      <c r="A5919" s="83"/>
      <c r="B5919" s="84"/>
      <c r="C5919" s="84"/>
      <c r="D5919" s="116"/>
      <c r="E5919" s="116"/>
    </row>
    <row r="5920" spans="1:5" x14ac:dyDescent="0.25">
      <c r="A5920" s="83"/>
      <c r="B5920" s="84"/>
      <c r="C5920" s="84"/>
      <c r="D5920" s="116"/>
      <c r="E5920" s="116"/>
    </row>
    <row r="5921" spans="1:5" x14ac:dyDescent="0.25">
      <c r="A5921" s="83"/>
      <c r="B5921" s="84"/>
      <c r="C5921" s="84"/>
      <c r="D5921" s="116"/>
      <c r="E5921" s="116"/>
    </row>
    <row r="5922" spans="1:5" x14ac:dyDescent="0.25">
      <c r="A5922" s="83"/>
      <c r="B5922" s="84"/>
      <c r="C5922" s="84"/>
      <c r="D5922" s="116"/>
      <c r="E5922" s="116"/>
    </row>
    <row r="5923" spans="1:5" x14ac:dyDescent="0.25">
      <c r="A5923" s="83"/>
      <c r="B5923" s="84"/>
      <c r="C5923" s="84"/>
      <c r="D5923" s="116"/>
      <c r="E5923" s="116"/>
    </row>
    <row r="5924" spans="1:5" x14ac:dyDescent="0.25">
      <c r="A5924" s="83"/>
      <c r="B5924" s="84"/>
      <c r="C5924" s="84"/>
      <c r="D5924" s="116"/>
      <c r="E5924" s="116"/>
    </row>
    <row r="5925" spans="1:5" x14ac:dyDescent="0.25">
      <c r="A5925" s="83"/>
      <c r="B5925" s="84"/>
      <c r="C5925" s="84"/>
      <c r="D5925" s="116"/>
      <c r="E5925" s="116"/>
    </row>
    <row r="5926" spans="1:5" x14ac:dyDescent="0.25">
      <c r="A5926" s="83"/>
      <c r="B5926" s="84"/>
      <c r="C5926" s="84"/>
      <c r="D5926" s="116"/>
      <c r="E5926" s="116"/>
    </row>
    <row r="5927" spans="1:5" x14ac:dyDescent="0.25">
      <c r="A5927" s="83"/>
      <c r="B5927" s="84"/>
      <c r="C5927" s="84"/>
      <c r="D5927" s="116"/>
      <c r="E5927" s="116"/>
    </row>
    <row r="5928" spans="1:5" x14ac:dyDescent="0.25">
      <c r="A5928" s="83"/>
      <c r="B5928" s="84"/>
      <c r="C5928" s="84"/>
      <c r="D5928" s="116"/>
      <c r="E5928" s="116"/>
    </row>
    <row r="5929" spans="1:5" x14ac:dyDescent="0.25">
      <c r="A5929" s="83"/>
      <c r="B5929" s="84"/>
      <c r="C5929" s="84"/>
      <c r="D5929" s="116"/>
      <c r="E5929" s="116"/>
    </row>
    <row r="5930" spans="1:5" x14ac:dyDescent="0.25">
      <c r="A5930" s="83"/>
      <c r="B5930" s="84"/>
      <c r="C5930" s="84"/>
      <c r="D5930" s="116"/>
      <c r="E5930" s="116"/>
    </row>
    <row r="5931" spans="1:5" x14ac:dyDescent="0.25">
      <c r="A5931" s="83"/>
      <c r="B5931" s="84"/>
      <c r="C5931" s="84"/>
      <c r="D5931" s="116"/>
      <c r="E5931" s="116"/>
    </row>
    <row r="5932" spans="1:5" x14ac:dyDescent="0.25">
      <c r="A5932" s="83"/>
      <c r="B5932" s="84"/>
      <c r="C5932" s="84"/>
      <c r="D5932" s="116"/>
      <c r="E5932" s="116"/>
    </row>
    <row r="5933" spans="1:5" x14ac:dyDescent="0.25">
      <c r="A5933" s="83"/>
      <c r="B5933" s="84"/>
      <c r="C5933" s="84"/>
      <c r="D5933" s="116"/>
      <c r="E5933" s="116"/>
    </row>
    <row r="5934" spans="1:5" x14ac:dyDescent="0.25">
      <c r="A5934" s="83"/>
      <c r="B5934" s="84"/>
      <c r="C5934" s="84"/>
      <c r="D5934" s="116"/>
      <c r="E5934" s="116"/>
    </row>
    <row r="5935" spans="1:5" x14ac:dyDescent="0.25">
      <c r="A5935" s="83"/>
      <c r="B5935" s="84"/>
      <c r="C5935" s="84"/>
      <c r="D5935" s="116"/>
      <c r="E5935" s="116"/>
    </row>
    <row r="5936" spans="1:5" x14ac:dyDescent="0.25">
      <c r="A5936" s="83"/>
      <c r="B5936" s="84"/>
      <c r="C5936" s="84"/>
      <c r="D5936" s="116"/>
      <c r="E5936" s="116"/>
    </row>
    <row r="5937" spans="1:5" x14ac:dyDescent="0.25">
      <c r="A5937" s="83"/>
      <c r="B5937" s="84"/>
      <c r="C5937" s="84"/>
      <c r="D5937" s="116"/>
      <c r="E5937" s="116"/>
    </row>
    <row r="5938" spans="1:5" x14ac:dyDescent="0.25">
      <c r="A5938" s="83"/>
      <c r="B5938" s="84"/>
      <c r="C5938" s="84"/>
      <c r="D5938" s="116"/>
      <c r="E5938" s="116"/>
    </row>
    <row r="5939" spans="1:5" x14ac:dyDescent="0.25">
      <c r="A5939" s="83"/>
      <c r="B5939" s="84"/>
      <c r="C5939" s="84"/>
      <c r="D5939" s="116"/>
      <c r="E5939" s="116"/>
    </row>
    <row r="5940" spans="1:5" x14ac:dyDescent="0.25">
      <c r="A5940" s="83"/>
      <c r="B5940" s="84"/>
      <c r="C5940" s="84"/>
      <c r="D5940" s="116"/>
      <c r="E5940" s="116"/>
    </row>
    <row r="5941" spans="1:5" x14ac:dyDescent="0.25">
      <c r="A5941" s="83"/>
      <c r="B5941" s="84"/>
      <c r="C5941" s="84"/>
      <c r="D5941" s="116"/>
      <c r="E5941" s="116"/>
    </row>
    <row r="5942" spans="1:5" x14ac:dyDescent="0.25">
      <c r="A5942" s="83"/>
      <c r="B5942" s="84"/>
      <c r="C5942" s="84"/>
      <c r="D5942" s="116"/>
      <c r="E5942" s="116"/>
    </row>
    <row r="5943" spans="1:5" x14ac:dyDescent="0.25">
      <c r="A5943" s="83"/>
      <c r="B5943" s="84"/>
      <c r="C5943" s="84"/>
      <c r="D5943" s="116"/>
      <c r="E5943" s="116"/>
    </row>
    <row r="5944" spans="1:5" x14ac:dyDescent="0.25">
      <c r="A5944" s="83"/>
      <c r="B5944" s="84"/>
      <c r="C5944" s="84"/>
      <c r="D5944" s="116"/>
      <c r="E5944" s="116"/>
    </row>
    <row r="5945" spans="1:5" x14ac:dyDescent="0.25">
      <c r="A5945" s="83"/>
      <c r="B5945" s="84"/>
      <c r="C5945" s="84"/>
      <c r="D5945" s="116"/>
      <c r="E5945" s="116"/>
    </row>
    <row r="5946" spans="1:5" x14ac:dyDescent="0.25">
      <c r="A5946" s="83"/>
      <c r="B5946" s="84"/>
      <c r="C5946" s="84"/>
      <c r="D5946" s="116"/>
      <c r="E5946" s="116"/>
    </row>
    <row r="5947" spans="1:5" x14ac:dyDescent="0.25">
      <c r="A5947" s="83"/>
      <c r="B5947" s="84"/>
      <c r="C5947" s="84"/>
      <c r="D5947" s="116"/>
      <c r="E5947" s="116"/>
    </row>
    <row r="5948" spans="1:5" x14ac:dyDescent="0.25">
      <c r="A5948" s="83"/>
      <c r="B5948" s="84"/>
      <c r="C5948" s="84"/>
      <c r="D5948" s="116"/>
      <c r="E5948" s="116"/>
    </row>
    <row r="5949" spans="1:5" x14ac:dyDescent="0.25">
      <c r="A5949" s="83"/>
      <c r="B5949" s="84"/>
      <c r="C5949" s="84"/>
      <c r="D5949" s="116"/>
      <c r="E5949" s="116"/>
    </row>
    <row r="5950" spans="1:5" x14ac:dyDescent="0.25">
      <c r="A5950" s="83"/>
      <c r="B5950" s="84"/>
      <c r="C5950" s="84"/>
      <c r="D5950" s="116"/>
      <c r="E5950" s="116"/>
    </row>
    <row r="5951" spans="1:5" x14ac:dyDescent="0.25">
      <c r="A5951" s="83"/>
      <c r="B5951" s="84"/>
      <c r="C5951" s="84"/>
      <c r="D5951" s="116"/>
      <c r="E5951" s="116"/>
    </row>
    <row r="5952" spans="1:5" x14ac:dyDescent="0.25">
      <c r="A5952" s="83"/>
      <c r="B5952" s="84"/>
      <c r="C5952" s="84"/>
      <c r="D5952" s="116"/>
      <c r="E5952" s="116"/>
    </row>
    <row r="5953" spans="1:5" x14ac:dyDescent="0.25">
      <c r="A5953" s="83"/>
      <c r="B5953" s="84"/>
      <c r="C5953" s="84"/>
      <c r="D5953" s="116"/>
      <c r="E5953" s="116"/>
    </row>
    <row r="5954" spans="1:5" x14ac:dyDescent="0.25">
      <c r="A5954" s="83"/>
      <c r="B5954" s="84"/>
      <c r="C5954" s="84"/>
      <c r="D5954" s="116"/>
      <c r="E5954" s="116"/>
    </row>
    <row r="5955" spans="1:5" x14ac:dyDescent="0.25">
      <c r="A5955" s="83"/>
      <c r="B5955" s="84"/>
      <c r="C5955" s="84"/>
      <c r="D5955" s="116"/>
      <c r="E5955" s="116"/>
    </row>
    <row r="5956" spans="1:5" x14ac:dyDescent="0.25">
      <c r="A5956" s="83"/>
      <c r="B5956" s="84"/>
      <c r="C5956" s="84"/>
      <c r="D5956" s="116"/>
      <c r="E5956" s="116"/>
    </row>
    <row r="5957" spans="1:5" x14ac:dyDescent="0.25">
      <c r="A5957" s="83"/>
      <c r="B5957" s="84"/>
      <c r="C5957" s="84"/>
      <c r="D5957" s="116"/>
      <c r="E5957" s="116"/>
    </row>
    <row r="5958" spans="1:5" x14ac:dyDescent="0.25">
      <c r="A5958" s="83"/>
      <c r="B5958" s="84"/>
      <c r="C5958" s="84"/>
      <c r="D5958" s="116"/>
      <c r="E5958" s="116"/>
    </row>
    <row r="5959" spans="1:5" x14ac:dyDescent="0.25">
      <c r="A5959" s="83"/>
      <c r="B5959" s="84"/>
      <c r="C5959" s="84"/>
      <c r="D5959" s="116"/>
      <c r="E5959" s="116"/>
    </row>
    <row r="5960" spans="1:5" x14ac:dyDescent="0.25">
      <c r="A5960" s="83"/>
      <c r="B5960" s="84"/>
      <c r="C5960" s="84"/>
      <c r="D5960" s="116"/>
      <c r="E5960" s="116"/>
    </row>
    <row r="5961" spans="1:5" x14ac:dyDescent="0.25">
      <c r="A5961" s="83"/>
      <c r="B5961" s="84"/>
      <c r="C5961" s="84"/>
      <c r="D5961" s="116"/>
      <c r="E5961" s="116"/>
    </row>
    <row r="5962" spans="1:5" x14ac:dyDescent="0.25">
      <c r="A5962" s="83"/>
      <c r="B5962" s="84"/>
      <c r="C5962" s="84"/>
      <c r="D5962" s="116"/>
      <c r="E5962" s="116"/>
    </row>
    <row r="5963" spans="1:5" x14ac:dyDescent="0.25">
      <c r="A5963" s="83"/>
      <c r="B5963" s="84"/>
      <c r="C5963" s="84"/>
      <c r="D5963" s="116"/>
      <c r="E5963" s="116"/>
    </row>
    <row r="5964" spans="1:5" x14ac:dyDescent="0.25">
      <c r="A5964" s="83"/>
      <c r="B5964" s="84"/>
      <c r="C5964" s="84"/>
      <c r="D5964" s="116"/>
      <c r="E5964" s="116"/>
    </row>
    <row r="5965" spans="1:5" x14ac:dyDescent="0.25">
      <c r="A5965" s="83"/>
      <c r="B5965" s="84"/>
      <c r="C5965" s="84"/>
      <c r="D5965" s="116"/>
      <c r="E5965" s="116"/>
    </row>
    <row r="5966" spans="1:5" x14ac:dyDescent="0.25">
      <c r="A5966" s="83"/>
      <c r="B5966" s="84"/>
      <c r="C5966" s="84"/>
      <c r="D5966" s="116"/>
      <c r="E5966" s="116"/>
    </row>
    <row r="5967" spans="1:5" x14ac:dyDescent="0.25">
      <c r="A5967" s="83"/>
      <c r="B5967" s="84"/>
      <c r="C5967" s="84"/>
      <c r="D5967" s="116"/>
      <c r="E5967" s="116"/>
    </row>
    <row r="5968" spans="1:5" x14ac:dyDescent="0.25">
      <c r="A5968" s="83"/>
      <c r="B5968" s="84"/>
      <c r="C5968" s="84"/>
      <c r="D5968" s="116"/>
      <c r="E5968" s="116"/>
    </row>
    <row r="5969" spans="1:5" x14ac:dyDescent="0.25">
      <c r="A5969" s="83"/>
      <c r="B5969" s="84"/>
      <c r="C5969" s="84"/>
      <c r="D5969" s="116"/>
      <c r="E5969" s="116"/>
    </row>
    <row r="5970" spans="1:5" x14ac:dyDescent="0.25">
      <c r="A5970" s="83"/>
      <c r="B5970" s="84"/>
      <c r="C5970" s="84"/>
      <c r="D5970" s="116"/>
      <c r="E5970" s="116"/>
    </row>
    <row r="5971" spans="1:5" x14ac:dyDescent="0.25">
      <c r="A5971" s="83"/>
      <c r="B5971" s="84"/>
      <c r="C5971" s="84"/>
      <c r="D5971" s="116"/>
      <c r="E5971" s="116"/>
    </row>
    <row r="5972" spans="1:5" x14ac:dyDescent="0.25">
      <c r="A5972" s="83"/>
      <c r="B5972" s="84"/>
      <c r="C5972" s="84"/>
      <c r="D5972" s="116"/>
      <c r="E5972" s="116"/>
    </row>
    <row r="5973" spans="1:5" x14ac:dyDescent="0.25">
      <c r="A5973" s="83"/>
      <c r="B5973" s="84"/>
      <c r="C5973" s="84"/>
      <c r="D5973" s="116"/>
      <c r="E5973" s="116"/>
    </row>
    <row r="5974" spans="1:5" x14ac:dyDescent="0.25">
      <c r="A5974" s="83"/>
      <c r="B5974" s="84"/>
      <c r="C5974" s="84"/>
      <c r="D5974" s="116"/>
      <c r="E5974" s="116"/>
    </row>
    <row r="5975" spans="1:5" x14ac:dyDescent="0.25">
      <c r="A5975" s="83"/>
      <c r="B5975" s="84"/>
      <c r="C5975" s="84"/>
      <c r="D5975" s="116"/>
      <c r="E5975" s="116"/>
    </row>
    <row r="5976" spans="1:5" x14ac:dyDescent="0.25">
      <c r="A5976" s="83"/>
      <c r="B5976" s="84"/>
      <c r="C5976" s="84"/>
      <c r="D5976" s="116"/>
      <c r="E5976" s="116"/>
    </row>
    <row r="5977" spans="1:5" x14ac:dyDescent="0.25">
      <c r="A5977" s="83"/>
      <c r="B5977" s="84"/>
      <c r="C5977" s="84"/>
      <c r="D5977" s="116"/>
      <c r="E5977" s="116"/>
    </row>
    <row r="5978" spans="1:5" x14ac:dyDescent="0.25">
      <c r="A5978" s="83"/>
      <c r="B5978" s="84"/>
      <c r="C5978" s="84"/>
      <c r="D5978" s="116"/>
      <c r="E5978" s="116"/>
    </row>
    <row r="5979" spans="1:5" x14ac:dyDescent="0.25">
      <c r="A5979" s="83"/>
      <c r="B5979" s="84"/>
      <c r="C5979" s="84"/>
      <c r="D5979" s="116"/>
      <c r="E5979" s="116"/>
    </row>
    <row r="5980" spans="1:5" x14ac:dyDescent="0.25">
      <c r="A5980" s="83"/>
      <c r="B5980" s="84"/>
      <c r="C5980" s="84"/>
      <c r="D5980" s="116"/>
      <c r="E5980" s="116"/>
    </row>
    <row r="5981" spans="1:5" x14ac:dyDescent="0.25">
      <c r="A5981" s="83"/>
      <c r="B5981" s="84"/>
      <c r="C5981" s="84"/>
      <c r="D5981" s="116"/>
      <c r="E5981" s="116"/>
    </row>
    <row r="5982" spans="1:5" x14ac:dyDescent="0.25">
      <c r="A5982" s="83"/>
      <c r="B5982" s="84"/>
      <c r="C5982" s="84"/>
      <c r="D5982" s="116"/>
      <c r="E5982" s="116"/>
    </row>
    <row r="5983" spans="1:5" x14ac:dyDescent="0.25">
      <c r="A5983" s="83"/>
      <c r="B5983" s="84"/>
      <c r="C5983" s="84"/>
      <c r="D5983" s="116"/>
      <c r="E5983" s="116"/>
    </row>
    <row r="5984" spans="1:5" x14ac:dyDescent="0.25">
      <c r="A5984" s="83"/>
      <c r="B5984" s="84"/>
      <c r="C5984" s="84"/>
      <c r="D5984" s="116"/>
      <c r="E5984" s="116"/>
    </row>
    <row r="5985" spans="1:5" x14ac:dyDescent="0.25">
      <c r="A5985" s="83"/>
      <c r="B5985" s="84"/>
      <c r="C5985" s="84"/>
      <c r="D5985" s="116"/>
      <c r="E5985" s="116"/>
    </row>
    <row r="5986" spans="1:5" x14ac:dyDescent="0.25">
      <c r="A5986" s="83"/>
      <c r="B5986" s="84"/>
      <c r="C5986" s="84"/>
      <c r="D5986" s="116"/>
      <c r="E5986" s="116"/>
    </row>
    <row r="5987" spans="1:5" x14ac:dyDescent="0.25">
      <c r="A5987" s="83"/>
      <c r="B5987" s="84"/>
      <c r="C5987" s="84"/>
      <c r="D5987" s="116"/>
      <c r="E5987" s="116"/>
    </row>
    <row r="5988" spans="1:5" x14ac:dyDescent="0.25">
      <c r="A5988" s="83"/>
      <c r="B5988" s="84"/>
      <c r="C5988" s="84"/>
      <c r="D5988" s="116"/>
      <c r="E5988" s="116"/>
    </row>
    <row r="5989" spans="1:5" x14ac:dyDescent="0.25">
      <c r="A5989" s="83"/>
      <c r="B5989" s="84"/>
      <c r="C5989" s="84"/>
      <c r="D5989" s="116"/>
      <c r="E5989" s="116"/>
    </row>
    <row r="5990" spans="1:5" x14ac:dyDescent="0.25">
      <c r="A5990" s="83"/>
      <c r="B5990" s="84"/>
      <c r="C5990" s="84"/>
      <c r="D5990" s="116"/>
      <c r="E5990" s="116"/>
    </row>
    <row r="5991" spans="1:5" x14ac:dyDescent="0.25">
      <c r="A5991" s="83"/>
      <c r="B5991" s="84"/>
      <c r="C5991" s="84"/>
      <c r="D5991" s="116"/>
      <c r="E5991" s="116"/>
    </row>
    <row r="5992" spans="1:5" x14ac:dyDescent="0.25">
      <c r="A5992" s="83"/>
      <c r="B5992" s="84"/>
      <c r="C5992" s="84"/>
      <c r="D5992" s="116"/>
      <c r="E5992" s="116"/>
    </row>
    <row r="5993" spans="1:5" x14ac:dyDescent="0.25">
      <c r="A5993" s="83"/>
      <c r="B5993" s="84"/>
      <c r="C5993" s="84"/>
      <c r="D5993" s="116"/>
      <c r="E5993" s="116"/>
    </row>
    <row r="5994" spans="1:5" x14ac:dyDescent="0.25">
      <c r="A5994" s="83"/>
      <c r="B5994" s="84"/>
      <c r="C5994" s="84"/>
      <c r="D5994" s="116"/>
      <c r="E5994" s="116"/>
    </row>
    <row r="5995" spans="1:5" x14ac:dyDescent="0.25">
      <c r="A5995" s="83"/>
      <c r="B5995" s="84"/>
      <c r="C5995" s="84"/>
      <c r="D5995" s="116"/>
      <c r="E5995" s="116"/>
    </row>
    <row r="5996" spans="1:5" x14ac:dyDescent="0.25">
      <c r="A5996" s="83"/>
      <c r="B5996" s="84"/>
      <c r="C5996" s="84"/>
      <c r="D5996" s="116"/>
      <c r="E5996" s="116"/>
    </row>
    <row r="5997" spans="1:5" x14ac:dyDescent="0.25">
      <c r="A5997" s="83"/>
      <c r="B5997" s="84"/>
      <c r="C5997" s="84"/>
      <c r="D5997" s="116"/>
      <c r="E5997" s="116"/>
    </row>
    <row r="5998" spans="1:5" x14ac:dyDescent="0.25">
      <c r="A5998" s="83"/>
      <c r="B5998" s="84"/>
      <c r="C5998" s="84"/>
      <c r="D5998" s="116"/>
      <c r="E5998" s="116"/>
    </row>
    <row r="5999" spans="1:5" x14ac:dyDescent="0.25">
      <c r="A5999" s="83"/>
      <c r="B5999" s="84"/>
      <c r="C5999" s="84"/>
      <c r="D5999" s="116"/>
      <c r="E5999" s="116"/>
    </row>
    <row r="6000" spans="1:5" x14ac:dyDescent="0.25">
      <c r="A6000" s="83"/>
      <c r="B6000" s="84"/>
      <c r="C6000" s="84"/>
      <c r="D6000" s="116"/>
      <c r="E6000" s="116"/>
    </row>
    <row r="6001" spans="1:5" x14ac:dyDescent="0.25">
      <c r="A6001" s="83"/>
      <c r="B6001" s="84"/>
      <c r="C6001" s="84"/>
      <c r="D6001" s="116"/>
      <c r="E6001" s="116"/>
    </row>
    <row r="6002" spans="1:5" x14ac:dyDescent="0.25">
      <c r="A6002" s="83"/>
      <c r="B6002" s="84"/>
      <c r="C6002" s="84"/>
      <c r="D6002" s="116"/>
      <c r="E6002" s="116"/>
    </row>
    <row r="6003" spans="1:5" x14ac:dyDescent="0.25">
      <c r="A6003" s="83"/>
      <c r="B6003" s="84"/>
      <c r="C6003" s="84"/>
      <c r="D6003" s="116"/>
      <c r="E6003" s="116"/>
    </row>
    <row r="6004" spans="1:5" x14ac:dyDescent="0.25">
      <c r="A6004" s="83"/>
      <c r="B6004" s="84"/>
      <c r="C6004" s="84"/>
      <c r="D6004" s="116"/>
      <c r="E6004" s="116"/>
    </row>
    <row r="6005" spans="1:5" x14ac:dyDescent="0.25">
      <c r="A6005" s="83"/>
      <c r="B6005" s="84"/>
      <c r="C6005" s="84"/>
      <c r="D6005" s="116"/>
      <c r="E6005" s="116"/>
    </row>
    <row r="6006" spans="1:5" x14ac:dyDescent="0.25">
      <c r="A6006" s="83"/>
      <c r="B6006" s="84"/>
      <c r="C6006" s="84"/>
      <c r="D6006" s="116"/>
      <c r="E6006" s="116"/>
    </row>
    <row r="6007" spans="1:5" x14ac:dyDescent="0.25">
      <c r="A6007" s="83"/>
      <c r="B6007" s="84"/>
      <c r="C6007" s="84"/>
      <c r="D6007" s="116"/>
      <c r="E6007" s="116"/>
    </row>
    <row r="6008" spans="1:5" x14ac:dyDescent="0.25">
      <c r="A6008" s="83"/>
      <c r="B6008" s="84"/>
      <c r="C6008" s="84"/>
      <c r="D6008" s="116"/>
      <c r="E6008" s="116"/>
    </row>
    <row r="6009" spans="1:5" x14ac:dyDescent="0.25">
      <c r="A6009" s="83"/>
      <c r="B6009" s="84"/>
      <c r="C6009" s="84"/>
      <c r="D6009" s="116"/>
      <c r="E6009" s="116"/>
    </row>
    <row r="6010" spans="1:5" x14ac:dyDescent="0.25">
      <c r="A6010" s="83"/>
      <c r="B6010" s="84"/>
      <c r="C6010" s="84"/>
      <c r="D6010" s="116"/>
      <c r="E6010" s="116"/>
    </row>
    <row r="6011" spans="1:5" x14ac:dyDescent="0.25">
      <c r="A6011" s="83"/>
      <c r="B6011" s="84"/>
      <c r="C6011" s="84"/>
      <c r="D6011" s="116"/>
      <c r="E6011" s="116"/>
    </row>
    <row r="6012" spans="1:5" x14ac:dyDescent="0.25">
      <c r="A6012" s="83"/>
      <c r="B6012" s="84"/>
      <c r="C6012" s="84"/>
      <c r="D6012" s="116"/>
      <c r="E6012" s="116"/>
    </row>
    <row r="6013" spans="1:5" x14ac:dyDescent="0.25">
      <c r="A6013" s="83"/>
      <c r="B6013" s="84"/>
      <c r="C6013" s="84"/>
      <c r="D6013" s="116"/>
      <c r="E6013" s="116"/>
    </row>
    <row r="6014" spans="1:5" x14ac:dyDescent="0.25">
      <c r="A6014" s="83"/>
      <c r="B6014" s="84"/>
      <c r="C6014" s="84"/>
      <c r="D6014" s="116"/>
      <c r="E6014" s="116"/>
    </row>
    <row r="6015" spans="1:5" x14ac:dyDescent="0.25">
      <c r="A6015" s="83"/>
      <c r="B6015" s="84"/>
      <c r="C6015" s="84"/>
      <c r="D6015" s="116"/>
      <c r="E6015" s="116"/>
    </row>
    <row r="6016" spans="1:5" x14ac:dyDescent="0.25">
      <c r="A6016" s="83"/>
      <c r="B6016" s="84"/>
      <c r="C6016" s="84"/>
      <c r="D6016" s="116"/>
      <c r="E6016" s="116"/>
    </row>
    <row r="6017" spans="1:5" x14ac:dyDescent="0.25">
      <c r="A6017" s="83"/>
      <c r="B6017" s="84"/>
      <c r="C6017" s="84"/>
      <c r="D6017" s="116"/>
      <c r="E6017" s="116"/>
    </row>
    <row r="6018" spans="1:5" x14ac:dyDescent="0.25">
      <c r="A6018" s="83"/>
      <c r="B6018" s="84"/>
      <c r="C6018" s="84"/>
      <c r="D6018" s="116"/>
      <c r="E6018" s="116"/>
    </row>
    <row r="6019" spans="1:5" x14ac:dyDescent="0.25">
      <c r="A6019" s="83"/>
      <c r="B6019" s="84"/>
      <c r="C6019" s="84"/>
      <c r="D6019" s="116"/>
      <c r="E6019" s="116"/>
    </row>
    <row r="6020" spans="1:5" x14ac:dyDescent="0.25">
      <c r="A6020" s="83"/>
      <c r="B6020" s="84"/>
      <c r="C6020" s="84"/>
      <c r="D6020" s="116"/>
      <c r="E6020" s="116"/>
    </row>
    <row r="6021" spans="1:5" x14ac:dyDescent="0.25">
      <c r="A6021" s="83"/>
      <c r="B6021" s="84"/>
      <c r="C6021" s="84"/>
      <c r="D6021" s="116"/>
      <c r="E6021" s="116"/>
    </row>
    <row r="6022" spans="1:5" x14ac:dyDescent="0.25">
      <c r="A6022" s="83"/>
      <c r="B6022" s="84"/>
      <c r="C6022" s="84"/>
      <c r="D6022" s="116"/>
      <c r="E6022" s="116"/>
    </row>
    <row r="6023" spans="1:5" x14ac:dyDescent="0.25">
      <c r="A6023" s="83"/>
      <c r="B6023" s="84"/>
      <c r="C6023" s="84"/>
      <c r="D6023" s="116"/>
      <c r="E6023" s="116"/>
    </row>
    <row r="6024" spans="1:5" x14ac:dyDescent="0.25">
      <c r="A6024" s="83"/>
      <c r="B6024" s="84"/>
      <c r="C6024" s="84"/>
      <c r="D6024" s="116"/>
      <c r="E6024" s="116"/>
    </row>
    <row r="6025" spans="1:5" x14ac:dyDescent="0.25">
      <c r="A6025" s="83"/>
      <c r="B6025" s="84"/>
      <c r="C6025" s="84"/>
      <c r="D6025" s="116"/>
      <c r="E6025" s="116"/>
    </row>
    <row r="6026" spans="1:5" x14ac:dyDescent="0.25">
      <c r="A6026" s="83"/>
      <c r="B6026" s="84"/>
      <c r="C6026" s="84"/>
      <c r="D6026" s="116"/>
      <c r="E6026" s="116"/>
    </row>
    <row r="6027" spans="1:5" x14ac:dyDescent="0.25">
      <c r="A6027" s="83"/>
      <c r="B6027" s="84"/>
      <c r="C6027" s="84"/>
      <c r="D6027" s="116"/>
      <c r="E6027" s="116"/>
    </row>
    <row r="6028" spans="1:5" x14ac:dyDescent="0.25">
      <c r="A6028" s="83"/>
      <c r="B6028" s="84"/>
      <c r="C6028" s="84"/>
      <c r="D6028" s="116"/>
      <c r="E6028" s="116"/>
    </row>
    <row r="6029" spans="1:5" x14ac:dyDescent="0.25">
      <c r="A6029" s="83"/>
      <c r="B6029" s="84"/>
      <c r="C6029" s="84"/>
      <c r="D6029" s="116"/>
      <c r="E6029" s="116"/>
    </row>
    <row r="6030" spans="1:5" x14ac:dyDescent="0.25">
      <c r="A6030" s="83"/>
      <c r="B6030" s="84"/>
      <c r="C6030" s="84"/>
      <c r="D6030" s="116"/>
      <c r="E6030" s="116"/>
    </row>
    <row r="6031" spans="1:5" x14ac:dyDescent="0.25">
      <c r="A6031" s="83"/>
      <c r="B6031" s="84"/>
      <c r="C6031" s="84"/>
      <c r="D6031" s="116"/>
      <c r="E6031" s="116"/>
    </row>
    <row r="6032" spans="1:5" x14ac:dyDescent="0.25">
      <c r="A6032" s="83"/>
      <c r="B6032" s="84"/>
      <c r="C6032" s="84"/>
      <c r="D6032" s="116"/>
      <c r="E6032" s="116"/>
    </row>
    <row r="6033" spans="1:5" x14ac:dyDescent="0.25">
      <c r="A6033" s="83"/>
      <c r="B6033" s="84"/>
      <c r="C6033" s="84"/>
      <c r="D6033" s="116"/>
      <c r="E6033" s="116"/>
    </row>
    <row r="6034" spans="1:5" x14ac:dyDescent="0.25">
      <c r="A6034" s="83"/>
      <c r="B6034" s="84"/>
      <c r="C6034" s="84"/>
      <c r="D6034" s="116"/>
      <c r="E6034" s="116"/>
    </row>
    <row r="6035" spans="1:5" x14ac:dyDescent="0.25">
      <c r="A6035" s="83"/>
      <c r="B6035" s="84"/>
      <c r="C6035" s="84"/>
      <c r="D6035" s="116"/>
      <c r="E6035" s="116"/>
    </row>
    <row r="6036" spans="1:5" x14ac:dyDescent="0.25">
      <c r="A6036" s="83"/>
      <c r="B6036" s="84"/>
      <c r="C6036" s="84"/>
      <c r="D6036" s="116"/>
      <c r="E6036" s="116"/>
    </row>
    <row r="6037" spans="1:5" x14ac:dyDescent="0.25">
      <c r="A6037" s="83"/>
      <c r="B6037" s="84"/>
      <c r="C6037" s="84"/>
      <c r="D6037" s="116"/>
      <c r="E6037" s="116"/>
    </row>
    <row r="6038" spans="1:5" x14ac:dyDescent="0.25">
      <c r="A6038" s="83"/>
      <c r="B6038" s="84"/>
      <c r="C6038" s="84"/>
      <c r="D6038" s="116"/>
      <c r="E6038" s="116"/>
    </row>
    <row r="6039" spans="1:5" x14ac:dyDescent="0.25">
      <c r="A6039" s="83"/>
      <c r="B6039" s="84"/>
      <c r="C6039" s="84"/>
      <c r="D6039" s="116"/>
      <c r="E6039" s="116"/>
    </row>
    <row r="6040" spans="1:5" x14ac:dyDescent="0.25">
      <c r="A6040" s="83"/>
      <c r="B6040" s="84"/>
      <c r="C6040" s="84"/>
      <c r="D6040" s="116"/>
      <c r="E6040" s="116"/>
    </row>
    <row r="6041" spans="1:5" x14ac:dyDescent="0.25">
      <c r="A6041" s="83"/>
      <c r="B6041" s="84"/>
      <c r="C6041" s="84"/>
      <c r="D6041" s="116"/>
      <c r="E6041" s="116"/>
    </row>
    <row r="6042" spans="1:5" x14ac:dyDescent="0.25">
      <c r="A6042" s="83"/>
      <c r="B6042" s="84"/>
      <c r="C6042" s="84"/>
      <c r="D6042" s="116"/>
      <c r="E6042" s="116"/>
    </row>
    <row r="6043" spans="1:5" x14ac:dyDescent="0.25">
      <c r="A6043" s="83"/>
      <c r="B6043" s="84"/>
      <c r="C6043" s="84"/>
      <c r="D6043" s="116"/>
      <c r="E6043" s="116"/>
    </row>
    <row r="6044" spans="1:5" x14ac:dyDescent="0.25">
      <c r="A6044" s="83"/>
      <c r="B6044" s="84"/>
      <c r="C6044" s="84"/>
      <c r="D6044" s="116"/>
      <c r="E6044" s="116"/>
    </row>
    <row r="6045" spans="1:5" x14ac:dyDescent="0.25">
      <c r="A6045" s="83"/>
      <c r="B6045" s="84"/>
      <c r="C6045" s="84"/>
      <c r="D6045" s="116"/>
      <c r="E6045" s="116"/>
    </row>
    <row r="6046" spans="1:5" x14ac:dyDescent="0.25">
      <c r="A6046" s="83"/>
      <c r="B6046" s="84"/>
      <c r="C6046" s="84"/>
      <c r="D6046" s="116"/>
      <c r="E6046" s="116"/>
    </row>
    <row r="6047" spans="1:5" x14ac:dyDescent="0.25">
      <c r="A6047" s="83"/>
      <c r="B6047" s="84"/>
      <c r="C6047" s="84"/>
      <c r="D6047" s="116"/>
      <c r="E6047" s="116"/>
    </row>
    <row r="6048" spans="1:5" x14ac:dyDescent="0.25">
      <c r="A6048" s="83"/>
      <c r="B6048" s="84"/>
      <c r="C6048" s="84"/>
      <c r="D6048" s="116"/>
      <c r="E6048" s="116"/>
    </row>
    <row r="6049" spans="1:5" x14ac:dyDescent="0.25">
      <c r="A6049" s="83"/>
      <c r="B6049" s="84"/>
      <c r="C6049" s="84"/>
      <c r="D6049" s="116"/>
      <c r="E6049" s="116"/>
    </row>
    <row r="6050" spans="1:5" x14ac:dyDescent="0.25">
      <c r="A6050" s="83"/>
      <c r="B6050" s="84"/>
      <c r="C6050" s="84"/>
      <c r="D6050" s="116"/>
      <c r="E6050" s="116"/>
    </row>
    <row r="6051" spans="1:5" x14ac:dyDescent="0.25">
      <c r="A6051" s="83"/>
      <c r="B6051" s="84"/>
      <c r="C6051" s="84"/>
      <c r="D6051" s="116"/>
      <c r="E6051" s="116"/>
    </row>
    <row r="6052" spans="1:5" x14ac:dyDescent="0.25">
      <c r="A6052" s="83"/>
      <c r="B6052" s="84"/>
      <c r="C6052" s="84"/>
      <c r="D6052" s="116"/>
      <c r="E6052" s="116"/>
    </row>
    <row r="6053" spans="1:5" x14ac:dyDescent="0.25">
      <c r="A6053" s="83"/>
      <c r="B6053" s="84"/>
      <c r="C6053" s="84"/>
      <c r="D6053" s="116"/>
      <c r="E6053" s="116"/>
    </row>
    <row r="6054" spans="1:5" x14ac:dyDescent="0.25">
      <c r="A6054" s="83"/>
      <c r="B6054" s="84"/>
      <c r="C6054" s="84"/>
      <c r="D6054" s="116"/>
      <c r="E6054" s="116"/>
    </row>
    <row r="6055" spans="1:5" x14ac:dyDescent="0.25">
      <c r="A6055" s="83"/>
      <c r="B6055" s="84"/>
      <c r="C6055" s="84"/>
      <c r="D6055" s="116"/>
      <c r="E6055" s="116"/>
    </row>
    <row r="6056" spans="1:5" x14ac:dyDescent="0.25">
      <c r="A6056" s="83"/>
      <c r="B6056" s="84"/>
      <c r="C6056" s="84"/>
      <c r="D6056" s="116"/>
      <c r="E6056" s="116"/>
    </row>
    <row r="6057" spans="1:5" x14ac:dyDescent="0.25">
      <c r="A6057" s="83"/>
      <c r="B6057" s="84"/>
      <c r="C6057" s="84"/>
      <c r="D6057" s="116"/>
      <c r="E6057" s="116"/>
    </row>
    <row r="6058" spans="1:5" x14ac:dyDescent="0.25">
      <c r="A6058" s="83"/>
      <c r="B6058" s="84"/>
      <c r="C6058" s="84"/>
      <c r="D6058" s="116"/>
      <c r="E6058" s="116"/>
    </row>
    <row r="6059" spans="1:5" x14ac:dyDescent="0.25">
      <c r="A6059" s="83"/>
      <c r="B6059" s="84"/>
      <c r="C6059" s="84"/>
      <c r="D6059" s="116"/>
      <c r="E6059" s="116"/>
    </row>
    <row r="6060" spans="1:5" x14ac:dyDescent="0.25">
      <c r="A6060" s="83"/>
      <c r="B6060" s="84"/>
      <c r="C6060" s="84"/>
      <c r="D6060" s="116"/>
      <c r="E6060" s="116"/>
    </row>
    <row r="6061" spans="1:5" x14ac:dyDescent="0.25">
      <c r="A6061" s="83"/>
      <c r="B6061" s="84"/>
      <c r="C6061" s="84"/>
      <c r="D6061" s="116"/>
      <c r="E6061" s="116"/>
    </row>
    <row r="6062" spans="1:5" x14ac:dyDescent="0.25">
      <c r="A6062" s="83"/>
      <c r="B6062" s="84"/>
      <c r="C6062" s="84"/>
      <c r="D6062" s="116"/>
      <c r="E6062" s="116"/>
    </row>
    <row r="6063" spans="1:5" x14ac:dyDescent="0.25">
      <c r="A6063" s="83"/>
      <c r="B6063" s="84"/>
      <c r="C6063" s="84"/>
      <c r="D6063" s="116"/>
      <c r="E6063" s="116"/>
    </row>
    <row r="6064" spans="1:5" x14ac:dyDescent="0.25">
      <c r="A6064" s="83"/>
      <c r="B6064" s="84"/>
      <c r="C6064" s="84"/>
      <c r="D6064" s="116"/>
      <c r="E6064" s="116"/>
    </row>
    <row r="6065" spans="1:5" x14ac:dyDescent="0.25">
      <c r="A6065" s="83"/>
      <c r="B6065" s="84"/>
      <c r="C6065" s="84"/>
      <c r="D6065" s="116"/>
      <c r="E6065" s="116"/>
    </row>
    <row r="6066" spans="1:5" x14ac:dyDescent="0.25">
      <c r="A6066" s="83"/>
      <c r="B6066" s="84"/>
      <c r="C6066" s="84"/>
      <c r="D6066" s="116"/>
      <c r="E6066" s="116"/>
    </row>
    <row r="6067" spans="1:5" x14ac:dyDescent="0.25">
      <c r="A6067" s="83"/>
      <c r="B6067" s="84"/>
      <c r="C6067" s="84"/>
      <c r="D6067" s="116"/>
      <c r="E6067" s="116"/>
    </row>
    <row r="6068" spans="1:5" x14ac:dyDescent="0.25">
      <c r="A6068" s="83"/>
      <c r="B6068" s="84"/>
      <c r="C6068" s="84"/>
      <c r="D6068" s="116"/>
      <c r="E6068" s="116"/>
    </row>
    <row r="6069" spans="1:5" x14ac:dyDescent="0.25">
      <c r="A6069" s="83"/>
      <c r="B6069" s="84"/>
      <c r="C6069" s="84"/>
      <c r="D6069" s="116"/>
      <c r="E6069" s="116"/>
    </row>
    <row r="6070" spans="1:5" x14ac:dyDescent="0.25">
      <c r="A6070" s="83"/>
      <c r="B6070" s="84"/>
      <c r="C6070" s="84"/>
      <c r="D6070" s="116"/>
      <c r="E6070" s="116"/>
    </row>
    <row r="6071" spans="1:5" x14ac:dyDescent="0.25">
      <c r="A6071" s="83"/>
      <c r="B6071" s="84"/>
      <c r="C6071" s="84"/>
      <c r="D6071" s="116"/>
      <c r="E6071" s="116"/>
    </row>
    <row r="6072" spans="1:5" x14ac:dyDescent="0.25">
      <c r="A6072" s="83"/>
      <c r="B6072" s="84"/>
      <c r="C6072" s="84"/>
      <c r="D6072" s="116"/>
      <c r="E6072" s="116"/>
    </row>
    <row r="6073" spans="1:5" x14ac:dyDescent="0.25">
      <c r="A6073" s="83"/>
      <c r="B6073" s="84"/>
      <c r="C6073" s="84"/>
      <c r="D6073" s="116"/>
      <c r="E6073" s="116"/>
    </row>
    <row r="6074" spans="1:5" x14ac:dyDescent="0.25">
      <c r="A6074" s="83"/>
      <c r="B6074" s="84"/>
      <c r="C6074" s="84"/>
      <c r="D6074" s="116"/>
      <c r="E6074" s="116"/>
    </row>
    <row r="6075" spans="1:5" x14ac:dyDescent="0.25">
      <c r="A6075" s="83"/>
      <c r="B6075" s="84"/>
      <c r="C6075" s="84"/>
      <c r="D6075" s="116"/>
      <c r="E6075" s="116"/>
    </row>
    <row r="6076" spans="1:5" x14ac:dyDescent="0.25">
      <c r="A6076" s="83"/>
      <c r="B6076" s="84"/>
      <c r="C6076" s="84"/>
      <c r="D6076" s="116"/>
      <c r="E6076" s="116"/>
    </row>
    <row r="6077" spans="1:5" x14ac:dyDescent="0.25">
      <c r="A6077" s="83"/>
      <c r="B6077" s="84"/>
      <c r="C6077" s="84"/>
      <c r="D6077" s="116"/>
      <c r="E6077" s="116"/>
    </row>
    <row r="6078" spans="1:5" x14ac:dyDescent="0.25">
      <c r="A6078" s="83"/>
      <c r="B6078" s="84"/>
      <c r="C6078" s="84"/>
      <c r="D6078" s="116"/>
      <c r="E6078" s="116"/>
    </row>
    <row r="6079" spans="1:5" x14ac:dyDescent="0.25">
      <c r="A6079" s="83"/>
      <c r="B6079" s="84"/>
      <c r="C6079" s="84"/>
      <c r="D6079" s="116"/>
      <c r="E6079" s="116"/>
    </row>
    <row r="6080" spans="1:5" x14ac:dyDescent="0.25">
      <c r="A6080" s="83"/>
      <c r="B6080" s="84"/>
      <c r="C6080" s="84"/>
      <c r="D6080" s="116"/>
      <c r="E6080" s="116"/>
    </row>
    <row r="6081" spans="1:5" x14ac:dyDescent="0.25">
      <c r="A6081" s="83"/>
      <c r="B6081" s="84"/>
      <c r="C6081" s="84"/>
      <c r="D6081" s="116"/>
      <c r="E6081" s="116"/>
    </row>
    <row r="6082" spans="1:5" x14ac:dyDescent="0.25">
      <c r="A6082" s="83"/>
      <c r="B6082" s="84"/>
      <c r="C6082" s="84"/>
      <c r="D6082" s="116"/>
      <c r="E6082" s="116"/>
    </row>
    <row r="6083" spans="1:5" x14ac:dyDescent="0.25">
      <c r="A6083" s="83"/>
      <c r="B6083" s="84"/>
      <c r="C6083" s="84"/>
      <c r="D6083" s="116"/>
      <c r="E6083" s="116"/>
    </row>
    <row r="6084" spans="1:5" x14ac:dyDescent="0.25">
      <c r="A6084" s="83"/>
      <c r="B6084" s="84"/>
      <c r="C6084" s="84"/>
      <c r="D6084" s="116"/>
      <c r="E6084" s="116"/>
    </row>
    <row r="6085" spans="1:5" x14ac:dyDescent="0.25">
      <c r="A6085" s="83"/>
      <c r="B6085" s="84"/>
      <c r="C6085" s="84"/>
      <c r="D6085" s="116"/>
      <c r="E6085" s="116"/>
    </row>
    <row r="6086" spans="1:5" x14ac:dyDescent="0.25">
      <c r="A6086" s="83"/>
      <c r="B6086" s="84"/>
      <c r="C6086" s="84"/>
      <c r="D6086" s="116"/>
      <c r="E6086" s="116"/>
    </row>
    <row r="6087" spans="1:5" x14ac:dyDescent="0.25">
      <c r="A6087" s="83"/>
      <c r="B6087" s="84"/>
      <c r="C6087" s="84"/>
      <c r="D6087" s="116"/>
      <c r="E6087" s="116"/>
    </row>
    <row r="6088" spans="1:5" x14ac:dyDescent="0.25">
      <c r="A6088" s="83"/>
      <c r="B6088" s="84"/>
      <c r="C6088" s="84"/>
      <c r="D6088" s="116"/>
      <c r="E6088" s="116"/>
    </row>
    <row r="6089" spans="1:5" x14ac:dyDescent="0.25">
      <c r="A6089" s="83"/>
      <c r="B6089" s="84"/>
      <c r="C6089" s="84"/>
      <c r="D6089" s="116"/>
      <c r="E6089" s="116"/>
    </row>
    <row r="6090" spans="1:5" x14ac:dyDescent="0.25">
      <c r="A6090" s="83"/>
      <c r="B6090" s="84"/>
      <c r="C6090" s="84"/>
      <c r="D6090" s="116"/>
      <c r="E6090" s="116"/>
    </row>
    <row r="6091" spans="1:5" x14ac:dyDescent="0.25">
      <c r="A6091" s="83"/>
      <c r="B6091" s="84"/>
      <c r="C6091" s="84"/>
      <c r="D6091" s="116"/>
      <c r="E6091" s="116"/>
    </row>
    <row r="6092" spans="1:5" x14ac:dyDescent="0.25">
      <c r="A6092" s="83"/>
      <c r="B6092" s="84"/>
      <c r="C6092" s="84"/>
      <c r="D6092" s="116"/>
      <c r="E6092" s="116"/>
    </row>
    <row r="6093" spans="1:5" x14ac:dyDescent="0.25">
      <c r="A6093" s="83"/>
      <c r="B6093" s="84"/>
      <c r="C6093" s="84"/>
      <c r="D6093" s="116"/>
      <c r="E6093" s="116"/>
    </row>
    <row r="6094" spans="1:5" x14ac:dyDescent="0.25">
      <c r="A6094" s="83"/>
      <c r="B6094" s="84"/>
      <c r="C6094" s="84"/>
      <c r="D6094" s="116"/>
      <c r="E6094" s="116"/>
    </row>
    <row r="6095" spans="1:5" x14ac:dyDescent="0.25">
      <c r="A6095" s="83"/>
      <c r="B6095" s="84"/>
      <c r="C6095" s="84"/>
      <c r="D6095" s="116"/>
      <c r="E6095" s="116"/>
    </row>
    <row r="6096" spans="1:5" x14ac:dyDescent="0.25">
      <c r="A6096" s="83"/>
      <c r="B6096" s="84"/>
      <c r="C6096" s="84"/>
      <c r="D6096" s="116"/>
      <c r="E6096" s="116"/>
    </row>
    <row r="6097" spans="1:5" x14ac:dyDescent="0.25">
      <c r="A6097" s="83"/>
      <c r="B6097" s="84"/>
      <c r="C6097" s="84"/>
      <c r="D6097" s="116"/>
      <c r="E6097" s="116"/>
    </row>
    <row r="6098" spans="1:5" x14ac:dyDescent="0.25">
      <c r="A6098" s="83"/>
      <c r="B6098" s="84"/>
      <c r="C6098" s="84"/>
      <c r="D6098" s="116"/>
      <c r="E6098" s="116"/>
    </row>
    <row r="6099" spans="1:5" x14ac:dyDescent="0.25">
      <c r="A6099" s="83"/>
      <c r="B6099" s="84"/>
      <c r="C6099" s="84"/>
      <c r="D6099" s="116"/>
      <c r="E6099" s="116"/>
    </row>
    <row r="6100" spans="1:5" x14ac:dyDescent="0.25">
      <c r="A6100" s="83"/>
      <c r="B6100" s="84"/>
      <c r="C6100" s="84"/>
      <c r="D6100" s="116"/>
      <c r="E6100" s="116"/>
    </row>
    <row r="6101" spans="1:5" x14ac:dyDescent="0.25">
      <c r="A6101" s="83"/>
      <c r="B6101" s="84"/>
      <c r="C6101" s="84"/>
      <c r="D6101" s="116"/>
      <c r="E6101" s="116"/>
    </row>
    <row r="6102" spans="1:5" x14ac:dyDescent="0.25">
      <c r="A6102" s="83"/>
      <c r="B6102" s="84"/>
      <c r="C6102" s="84"/>
      <c r="D6102" s="116"/>
      <c r="E6102" s="116"/>
    </row>
    <row r="6103" spans="1:5" x14ac:dyDescent="0.25">
      <c r="A6103" s="83"/>
      <c r="B6103" s="84"/>
      <c r="C6103" s="84"/>
      <c r="D6103" s="116"/>
      <c r="E6103" s="116"/>
    </row>
    <row r="6104" spans="1:5" x14ac:dyDescent="0.25">
      <c r="A6104" s="83"/>
      <c r="B6104" s="84"/>
      <c r="C6104" s="84"/>
      <c r="D6104" s="116"/>
      <c r="E6104" s="116"/>
    </row>
    <row r="6105" spans="1:5" x14ac:dyDescent="0.25">
      <c r="A6105" s="83"/>
      <c r="B6105" s="84"/>
      <c r="C6105" s="84"/>
      <c r="D6105" s="116"/>
      <c r="E6105" s="116"/>
    </row>
    <row r="6106" spans="1:5" x14ac:dyDescent="0.25">
      <c r="A6106" s="83"/>
      <c r="B6106" s="84"/>
      <c r="C6106" s="84"/>
      <c r="D6106" s="116"/>
      <c r="E6106" s="116"/>
    </row>
    <row r="6107" spans="1:5" x14ac:dyDescent="0.25">
      <c r="A6107" s="83"/>
      <c r="B6107" s="84"/>
      <c r="C6107" s="84"/>
      <c r="D6107" s="116"/>
      <c r="E6107" s="116"/>
    </row>
    <row r="6108" spans="1:5" x14ac:dyDescent="0.25">
      <c r="A6108" s="83"/>
      <c r="B6108" s="84"/>
      <c r="C6108" s="84"/>
      <c r="D6108" s="116"/>
      <c r="E6108" s="116"/>
    </row>
    <row r="6109" spans="1:5" x14ac:dyDescent="0.25">
      <c r="A6109" s="83"/>
      <c r="B6109" s="84"/>
      <c r="C6109" s="84"/>
      <c r="D6109" s="116"/>
      <c r="E6109" s="116"/>
    </row>
    <row r="6110" spans="1:5" x14ac:dyDescent="0.25">
      <c r="A6110" s="83"/>
      <c r="B6110" s="84"/>
      <c r="C6110" s="84"/>
      <c r="D6110" s="116"/>
      <c r="E6110" s="116"/>
    </row>
    <row r="6111" spans="1:5" x14ac:dyDescent="0.25">
      <c r="A6111" s="83"/>
      <c r="B6111" s="84"/>
      <c r="C6111" s="84"/>
      <c r="D6111" s="116"/>
      <c r="E6111" s="116"/>
    </row>
    <row r="6112" spans="1:5" x14ac:dyDescent="0.25">
      <c r="A6112" s="83"/>
      <c r="B6112" s="84"/>
      <c r="C6112" s="84"/>
      <c r="D6112" s="116"/>
      <c r="E6112" s="116"/>
    </row>
    <row r="6113" spans="1:5" x14ac:dyDescent="0.25">
      <c r="A6113" s="83"/>
      <c r="B6113" s="84"/>
      <c r="C6113" s="84"/>
      <c r="D6113" s="116"/>
      <c r="E6113" s="116"/>
    </row>
    <row r="6114" spans="1:5" x14ac:dyDescent="0.25">
      <c r="A6114" s="83"/>
      <c r="B6114" s="84"/>
      <c r="C6114" s="84"/>
      <c r="D6114" s="116"/>
      <c r="E6114" s="116"/>
    </row>
    <row r="6115" spans="1:5" x14ac:dyDescent="0.25">
      <c r="A6115" s="83"/>
      <c r="B6115" s="84"/>
      <c r="C6115" s="84"/>
      <c r="D6115" s="116"/>
      <c r="E6115" s="116"/>
    </row>
    <row r="6116" spans="1:5" x14ac:dyDescent="0.25">
      <c r="A6116" s="83"/>
      <c r="B6116" s="84"/>
      <c r="C6116" s="84"/>
      <c r="D6116" s="116"/>
      <c r="E6116" s="116"/>
    </row>
    <row r="6117" spans="1:5" x14ac:dyDescent="0.25">
      <c r="A6117" s="83"/>
      <c r="B6117" s="84"/>
      <c r="C6117" s="84"/>
      <c r="D6117" s="116"/>
      <c r="E6117" s="116"/>
    </row>
    <row r="6118" spans="1:5" x14ac:dyDescent="0.25">
      <c r="A6118" s="83"/>
      <c r="B6118" s="84"/>
      <c r="C6118" s="84"/>
      <c r="D6118" s="116"/>
      <c r="E6118" s="116"/>
    </row>
    <row r="6119" spans="1:5" x14ac:dyDescent="0.25">
      <c r="A6119" s="83"/>
      <c r="B6119" s="84"/>
      <c r="C6119" s="84"/>
      <c r="D6119" s="116"/>
      <c r="E6119" s="116"/>
    </row>
    <row r="6120" spans="1:5" x14ac:dyDescent="0.25">
      <c r="A6120" s="83"/>
      <c r="B6120" s="84"/>
      <c r="C6120" s="84"/>
      <c r="D6120" s="116"/>
      <c r="E6120" s="116"/>
    </row>
    <row r="6121" spans="1:5" x14ac:dyDescent="0.25">
      <c r="A6121" s="83"/>
      <c r="B6121" s="84"/>
      <c r="C6121" s="84"/>
      <c r="D6121" s="116"/>
      <c r="E6121" s="116"/>
    </row>
    <row r="6122" spans="1:5" x14ac:dyDescent="0.25">
      <c r="A6122" s="83"/>
      <c r="B6122" s="84"/>
      <c r="C6122" s="84"/>
      <c r="D6122" s="116"/>
      <c r="E6122" s="116"/>
    </row>
    <row r="6123" spans="1:5" x14ac:dyDescent="0.25">
      <c r="A6123" s="83"/>
      <c r="B6123" s="84"/>
      <c r="C6123" s="84"/>
      <c r="D6123" s="116"/>
      <c r="E6123" s="116"/>
    </row>
    <row r="6124" spans="1:5" x14ac:dyDescent="0.25">
      <c r="A6124" s="83"/>
      <c r="B6124" s="84"/>
      <c r="C6124" s="84"/>
      <c r="D6124" s="116"/>
      <c r="E6124" s="116"/>
    </row>
    <row r="6125" spans="1:5" x14ac:dyDescent="0.25">
      <c r="A6125" s="83"/>
      <c r="B6125" s="84"/>
      <c r="C6125" s="84"/>
      <c r="D6125" s="116"/>
      <c r="E6125" s="116"/>
    </row>
    <row r="6126" spans="1:5" x14ac:dyDescent="0.25">
      <c r="A6126" s="83"/>
      <c r="B6126" s="84"/>
      <c r="C6126" s="84"/>
      <c r="D6126" s="116"/>
      <c r="E6126" s="116"/>
    </row>
    <row r="6127" spans="1:5" x14ac:dyDescent="0.25">
      <c r="A6127" s="83"/>
      <c r="B6127" s="84"/>
      <c r="C6127" s="84"/>
      <c r="D6127" s="116"/>
      <c r="E6127" s="116"/>
    </row>
    <row r="6128" spans="1:5" x14ac:dyDescent="0.25">
      <c r="A6128" s="83"/>
      <c r="B6128" s="84"/>
      <c r="C6128" s="84"/>
      <c r="D6128" s="116"/>
      <c r="E6128" s="116"/>
    </row>
    <row r="6129" spans="1:5" x14ac:dyDescent="0.25">
      <c r="A6129" s="83"/>
      <c r="B6129" s="84"/>
      <c r="C6129" s="84"/>
      <c r="D6129" s="116"/>
      <c r="E6129" s="116"/>
    </row>
    <row r="6130" spans="1:5" x14ac:dyDescent="0.25">
      <c r="A6130" s="83"/>
      <c r="B6130" s="84"/>
      <c r="C6130" s="84"/>
      <c r="D6130" s="116"/>
      <c r="E6130" s="116"/>
    </row>
    <row r="6131" spans="1:5" x14ac:dyDescent="0.25">
      <c r="A6131" s="83"/>
      <c r="B6131" s="84"/>
      <c r="C6131" s="84"/>
      <c r="D6131" s="116"/>
      <c r="E6131" s="116"/>
    </row>
    <row r="6132" spans="1:5" x14ac:dyDescent="0.25">
      <c r="A6132" s="83"/>
      <c r="B6132" s="84"/>
      <c r="C6132" s="84"/>
      <c r="D6132" s="116"/>
      <c r="E6132" s="116"/>
    </row>
    <row r="6133" spans="1:5" x14ac:dyDescent="0.25">
      <c r="A6133" s="83"/>
      <c r="B6133" s="84"/>
      <c r="C6133" s="84"/>
      <c r="D6133" s="116"/>
      <c r="E6133" s="116"/>
    </row>
    <row r="6134" spans="1:5" x14ac:dyDescent="0.25">
      <c r="A6134" s="83"/>
      <c r="B6134" s="84"/>
      <c r="C6134" s="84"/>
      <c r="D6134" s="116"/>
      <c r="E6134" s="116"/>
    </row>
    <row r="6135" spans="1:5" x14ac:dyDescent="0.25">
      <c r="A6135" s="83"/>
      <c r="B6135" s="84"/>
      <c r="C6135" s="84"/>
      <c r="D6135" s="116"/>
      <c r="E6135" s="116"/>
    </row>
    <row r="6136" spans="1:5" x14ac:dyDescent="0.25">
      <c r="A6136" s="83"/>
      <c r="B6136" s="84"/>
      <c r="C6136" s="84"/>
      <c r="D6136" s="116"/>
      <c r="E6136" s="116"/>
    </row>
    <row r="6137" spans="1:5" x14ac:dyDescent="0.25">
      <c r="A6137" s="83"/>
      <c r="B6137" s="84"/>
      <c r="C6137" s="84"/>
      <c r="D6137" s="116"/>
      <c r="E6137" s="116"/>
    </row>
    <row r="6138" spans="1:5" x14ac:dyDescent="0.25">
      <c r="A6138" s="83"/>
      <c r="B6138" s="84"/>
      <c r="C6138" s="84"/>
      <c r="D6138" s="116"/>
      <c r="E6138" s="116"/>
    </row>
    <row r="6139" spans="1:5" x14ac:dyDescent="0.25">
      <c r="A6139" s="83"/>
      <c r="B6139" s="84"/>
      <c r="C6139" s="84"/>
      <c r="D6139" s="116"/>
      <c r="E6139" s="116"/>
    </row>
    <row r="6140" spans="1:5" x14ac:dyDescent="0.25">
      <c r="A6140" s="83"/>
      <c r="B6140" s="84"/>
      <c r="C6140" s="84"/>
      <c r="D6140" s="116"/>
      <c r="E6140" s="116"/>
    </row>
    <row r="6141" spans="1:5" x14ac:dyDescent="0.25">
      <c r="A6141" s="83"/>
      <c r="B6141" s="84"/>
      <c r="C6141" s="84"/>
      <c r="D6141" s="116"/>
      <c r="E6141" s="116"/>
    </row>
    <row r="6142" spans="1:5" x14ac:dyDescent="0.25">
      <c r="A6142" s="83"/>
      <c r="B6142" s="84"/>
      <c r="C6142" s="84"/>
      <c r="D6142" s="116"/>
      <c r="E6142" s="116"/>
    </row>
    <row r="6143" spans="1:5" x14ac:dyDescent="0.25">
      <c r="A6143" s="83"/>
      <c r="B6143" s="84"/>
      <c r="C6143" s="84"/>
      <c r="D6143" s="116"/>
      <c r="E6143" s="116"/>
    </row>
    <row r="6144" spans="1:5" x14ac:dyDescent="0.25">
      <c r="A6144" s="83"/>
      <c r="B6144" s="84"/>
      <c r="C6144" s="84"/>
      <c r="D6144" s="116"/>
      <c r="E6144" s="116"/>
    </row>
    <row r="6145" spans="1:5" x14ac:dyDescent="0.25">
      <c r="A6145" s="83"/>
      <c r="B6145" s="84"/>
      <c r="C6145" s="84"/>
      <c r="D6145" s="116"/>
      <c r="E6145" s="116"/>
    </row>
    <row r="6146" spans="1:5" x14ac:dyDescent="0.25">
      <c r="A6146" s="83"/>
      <c r="B6146" s="84"/>
      <c r="C6146" s="84"/>
      <c r="D6146" s="116"/>
      <c r="E6146" s="116"/>
    </row>
    <row r="6147" spans="1:5" x14ac:dyDescent="0.25">
      <c r="A6147" s="83"/>
      <c r="B6147" s="84"/>
      <c r="C6147" s="84"/>
      <c r="D6147" s="116"/>
      <c r="E6147" s="116"/>
    </row>
    <row r="6148" spans="1:5" x14ac:dyDescent="0.25">
      <c r="A6148" s="83"/>
      <c r="B6148" s="84"/>
      <c r="C6148" s="84"/>
      <c r="D6148" s="116"/>
      <c r="E6148" s="116"/>
    </row>
    <row r="6149" spans="1:5" x14ac:dyDescent="0.25">
      <c r="A6149" s="83"/>
      <c r="B6149" s="84"/>
      <c r="C6149" s="84"/>
      <c r="D6149" s="116"/>
      <c r="E6149" s="116"/>
    </row>
    <row r="6150" spans="1:5" x14ac:dyDescent="0.25">
      <c r="A6150" s="83"/>
      <c r="B6150" s="84"/>
      <c r="C6150" s="84"/>
      <c r="D6150" s="116"/>
      <c r="E6150" s="116"/>
    </row>
    <row r="6151" spans="1:5" x14ac:dyDescent="0.25">
      <c r="A6151" s="83"/>
      <c r="B6151" s="84"/>
      <c r="C6151" s="84"/>
      <c r="D6151" s="116"/>
      <c r="E6151" s="116"/>
    </row>
    <row r="6152" spans="1:5" x14ac:dyDescent="0.25">
      <c r="A6152" s="83"/>
      <c r="B6152" s="84"/>
      <c r="C6152" s="84"/>
      <c r="D6152" s="116"/>
      <c r="E6152" s="116"/>
    </row>
    <row r="6153" spans="1:5" x14ac:dyDescent="0.25">
      <c r="A6153" s="83"/>
      <c r="B6153" s="84"/>
      <c r="C6153" s="84"/>
      <c r="D6153" s="116"/>
      <c r="E6153" s="116"/>
    </row>
    <row r="6154" spans="1:5" x14ac:dyDescent="0.25">
      <c r="A6154" s="83"/>
      <c r="B6154" s="84"/>
      <c r="C6154" s="84"/>
      <c r="D6154" s="116"/>
      <c r="E6154" s="116"/>
    </row>
    <row r="6155" spans="1:5" x14ac:dyDescent="0.25">
      <c r="A6155" s="83"/>
      <c r="B6155" s="84"/>
      <c r="C6155" s="84"/>
      <c r="D6155" s="116"/>
      <c r="E6155" s="116"/>
    </row>
    <row r="6156" spans="1:5" x14ac:dyDescent="0.25">
      <c r="A6156" s="83"/>
      <c r="B6156" s="84"/>
      <c r="C6156" s="84"/>
      <c r="D6156" s="116"/>
      <c r="E6156" s="116"/>
    </row>
    <row r="6157" spans="1:5" x14ac:dyDescent="0.25">
      <c r="A6157" s="83"/>
      <c r="B6157" s="84"/>
      <c r="C6157" s="84"/>
      <c r="D6157" s="116"/>
      <c r="E6157" s="116"/>
    </row>
    <row r="6158" spans="1:5" x14ac:dyDescent="0.25">
      <c r="A6158" s="83"/>
      <c r="B6158" s="84"/>
      <c r="C6158" s="84"/>
      <c r="D6158" s="116"/>
      <c r="E6158" s="116"/>
    </row>
    <row r="6159" spans="1:5" x14ac:dyDescent="0.25">
      <c r="A6159" s="83"/>
      <c r="B6159" s="84"/>
      <c r="C6159" s="84"/>
      <c r="D6159" s="116"/>
      <c r="E6159" s="116"/>
    </row>
    <row r="6160" spans="1:5" x14ac:dyDescent="0.25">
      <c r="A6160" s="83"/>
      <c r="B6160" s="84"/>
      <c r="C6160" s="84"/>
      <c r="D6160" s="116"/>
      <c r="E6160" s="116"/>
    </row>
    <row r="6161" spans="1:5" x14ac:dyDescent="0.25">
      <c r="A6161" s="83"/>
      <c r="B6161" s="84"/>
      <c r="C6161" s="84"/>
      <c r="D6161" s="116"/>
      <c r="E6161" s="116"/>
    </row>
    <row r="6162" spans="1:5" x14ac:dyDescent="0.25">
      <c r="A6162" s="83"/>
      <c r="B6162" s="84"/>
      <c r="C6162" s="84"/>
      <c r="D6162" s="116"/>
      <c r="E6162" s="116"/>
    </row>
    <row r="6163" spans="1:5" x14ac:dyDescent="0.25">
      <c r="A6163" s="83"/>
      <c r="B6163" s="84"/>
      <c r="C6163" s="84"/>
      <c r="D6163" s="116"/>
      <c r="E6163" s="116"/>
    </row>
    <row r="6164" spans="1:5" x14ac:dyDescent="0.25">
      <c r="A6164" s="83"/>
      <c r="B6164" s="84"/>
      <c r="C6164" s="84"/>
      <c r="D6164" s="116"/>
      <c r="E6164" s="116"/>
    </row>
    <row r="6165" spans="1:5" x14ac:dyDescent="0.25">
      <c r="A6165" s="83"/>
      <c r="B6165" s="84"/>
      <c r="C6165" s="84"/>
      <c r="D6165" s="116"/>
      <c r="E6165" s="116"/>
    </row>
    <row r="6166" spans="1:5" x14ac:dyDescent="0.25">
      <c r="A6166" s="83"/>
      <c r="B6166" s="84"/>
      <c r="C6166" s="84"/>
      <c r="D6166" s="116"/>
      <c r="E6166" s="116"/>
    </row>
    <row r="6167" spans="1:5" x14ac:dyDescent="0.25">
      <c r="A6167" s="83"/>
      <c r="B6167" s="84"/>
      <c r="C6167" s="84"/>
      <c r="D6167" s="116"/>
      <c r="E6167" s="116"/>
    </row>
    <row r="6168" spans="1:5" x14ac:dyDescent="0.25">
      <c r="A6168" s="83"/>
      <c r="B6168" s="84"/>
      <c r="C6168" s="84"/>
      <c r="D6168" s="116"/>
      <c r="E6168" s="116"/>
    </row>
    <row r="6169" spans="1:5" x14ac:dyDescent="0.25">
      <c r="A6169" s="83"/>
      <c r="B6169" s="84"/>
      <c r="C6169" s="84"/>
      <c r="D6169" s="116"/>
      <c r="E6169" s="116"/>
    </row>
    <row r="6170" spans="1:5" x14ac:dyDescent="0.25">
      <c r="A6170" s="83"/>
      <c r="B6170" s="84"/>
      <c r="C6170" s="84"/>
      <c r="D6170" s="116"/>
      <c r="E6170" s="116"/>
    </row>
    <row r="6171" spans="1:5" x14ac:dyDescent="0.25">
      <c r="A6171" s="83"/>
      <c r="B6171" s="84"/>
      <c r="C6171" s="84"/>
      <c r="D6171" s="116"/>
      <c r="E6171" s="116"/>
    </row>
    <row r="6172" spans="1:5" x14ac:dyDescent="0.25">
      <c r="A6172" s="83"/>
      <c r="B6172" s="84"/>
      <c r="C6172" s="84"/>
      <c r="D6172" s="116"/>
      <c r="E6172" s="116"/>
    </row>
    <row r="6173" spans="1:5" x14ac:dyDescent="0.25">
      <c r="A6173" s="83"/>
      <c r="B6173" s="84"/>
      <c r="C6173" s="84"/>
      <c r="D6173" s="116"/>
      <c r="E6173" s="116"/>
    </row>
    <row r="6174" spans="1:5" x14ac:dyDescent="0.25">
      <c r="A6174" s="83"/>
      <c r="B6174" s="84"/>
      <c r="C6174" s="84"/>
      <c r="D6174" s="116"/>
      <c r="E6174" s="116"/>
    </row>
    <row r="6175" spans="1:5" x14ac:dyDescent="0.25">
      <c r="A6175" s="83"/>
      <c r="B6175" s="84"/>
      <c r="C6175" s="84"/>
      <c r="D6175" s="116"/>
      <c r="E6175" s="116"/>
    </row>
    <row r="6176" spans="1:5" x14ac:dyDescent="0.25">
      <c r="A6176" s="83"/>
      <c r="B6176" s="84"/>
      <c r="C6176" s="84"/>
      <c r="D6176" s="116"/>
      <c r="E6176" s="116"/>
    </row>
    <row r="6177" spans="1:5" x14ac:dyDescent="0.25">
      <c r="A6177" s="83"/>
      <c r="B6177" s="84"/>
      <c r="C6177" s="84"/>
      <c r="D6177" s="116"/>
      <c r="E6177" s="116"/>
    </row>
    <row r="6178" spans="1:5" x14ac:dyDescent="0.25">
      <c r="A6178" s="83"/>
      <c r="B6178" s="84"/>
      <c r="C6178" s="84"/>
      <c r="D6178" s="116"/>
      <c r="E6178" s="116"/>
    </row>
    <row r="6179" spans="1:5" x14ac:dyDescent="0.25">
      <c r="A6179" s="83"/>
      <c r="B6179" s="84"/>
      <c r="C6179" s="84"/>
      <c r="D6179" s="116"/>
      <c r="E6179" s="116"/>
    </row>
    <row r="6180" spans="1:5" x14ac:dyDescent="0.25">
      <c r="A6180" s="83"/>
      <c r="B6180" s="84"/>
      <c r="C6180" s="84"/>
      <c r="D6180" s="116"/>
      <c r="E6180" s="116"/>
    </row>
    <row r="6181" spans="1:5" x14ac:dyDescent="0.25">
      <c r="A6181" s="83"/>
      <c r="B6181" s="84"/>
      <c r="C6181" s="84"/>
      <c r="D6181" s="116"/>
      <c r="E6181" s="116"/>
    </row>
    <row r="6182" spans="1:5" x14ac:dyDescent="0.25">
      <c r="A6182" s="83"/>
      <c r="B6182" s="84"/>
      <c r="C6182" s="84"/>
      <c r="D6182" s="116"/>
      <c r="E6182" s="116"/>
    </row>
    <row r="6183" spans="1:5" x14ac:dyDescent="0.25">
      <c r="A6183" s="83"/>
      <c r="B6183" s="84"/>
      <c r="C6183" s="84"/>
      <c r="D6183" s="116"/>
      <c r="E6183" s="116"/>
    </row>
    <row r="6184" spans="1:5" x14ac:dyDescent="0.25">
      <c r="A6184" s="83"/>
      <c r="B6184" s="84"/>
      <c r="C6184" s="84"/>
      <c r="D6184" s="116"/>
      <c r="E6184" s="116"/>
    </row>
    <row r="6185" spans="1:5" x14ac:dyDescent="0.25">
      <c r="A6185" s="83"/>
      <c r="B6185" s="84"/>
      <c r="C6185" s="84"/>
      <c r="D6185" s="116"/>
      <c r="E6185" s="116"/>
    </row>
    <row r="6186" spans="1:5" x14ac:dyDescent="0.25">
      <c r="A6186" s="83"/>
      <c r="B6186" s="84"/>
      <c r="C6186" s="84"/>
      <c r="D6186" s="116"/>
      <c r="E6186" s="116"/>
    </row>
    <row r="6187" spans="1:5" x14ac:dyDescent="0.25">
      <c r="A6187" s="83"/>
      <c r="B6187" s="84"/>
      <c r="C6187" s="84"/>
      <c r="D6187" s="116"/>
      <c r="E6187" s="116"/>
    </row>
    <row r="6188" spans="1:5" x14ac:dyDescent="0.25">
      <c r="A6188" s="83"/>
      <c r="B6188" s="84"/>
      <c r="C6188" s="84"/>
      <c r="D6188" s="116"/>
      <c r="E6188" s="116"/>
    </row>
    <row r="6189" spans="1:5" x14ac:dyDescent="0.25">
      <c r="A6189" s="83"/>
      <c r="B6189" s="84"/>
      <c r="C6189" s="84"/>
      <c r="D6189" s="116"/>
      <c r="E6189" s="116"/>
    </row>
    <row r="6190" spans="1:5" x14ac:dyDescent="0.25">
      <c r="A6190" s="83"/>
      <c r="B6190" s="84"/>
      <c r="C6190" s="84"/>
      <c r="D6190" s="116"/>
      <c r="E6190" s="116"/>
    </row>
    <row r="6191" spans="1:5" x14ac:dyDescent="0.25">
      <c r="A6191" s="83"/>
      <c r="B6191" s="84"/>
      <c r="C6191" s="84"/>
      <c r="D6191" s="116"/>
      <c r="E6191" s="116"/>
    </row>
    <row r="6192" spans="1:5" x14ac:dyDescent="0.25">
      <c r="A6192" s="83"/>
      <c r="B6192" s="84"/>
      <c r="C6192" s="84"/>
      <c r="D6192" s="116"/>
      <c r="E6192" s="116"/>
    </row>
    <row r="6193" spans="1:5" x14ac:dyDescent="0.25">
      <c r="A6193" s="83"/>
      <c r="B6193" s="84"/>
      <c r="C6193" s="84"/>
      <c r="D6193" s="116"/>
      <c r="E6193" s="116"/>
    </row>
    <row r="6194" spans="1:5" x14ac:dyDescent="0.25">
      <c r="A6194" s="83"/>
      <c r="B6194" s="84"/>
      <c r="C6194" s="84"/>
      <c r="D6194" s="116"/>
      <c r="E6194" s="116"/>
    </row>
    <row r="6195" spans="1:5" x14ac:dyDescent="0.25">
      <c r="A6195" s="83"/>
      <c r="B6195" s="84"/>
      <c r="C6195" s="84"/>
      <c r="D6195" s="116"/>
      <c r="E6195" s="116"/>
    </row>
    <row r="6196" spans="1:5" x14ac:dyDescent="0.25">
      <c r="A6196" s="83"/>
      <c r="B6196" s="84"/>
      <c r="C6196" s="84"/>
      <c r="D6196" s="116"/>
      <c r="E6196" s="116"/>
    </row>
    <row r="6197" spans="1:5" x14ac:dyDescent="0.25">
      <c r="A6197" s="83"/>
      <c r="B6197" s="84"/>
      <c r="C6197" s="84"/>
      <c r="D6197" s="116"/>
      <c r="E6197" s="116"/>
    </row>
    <row r="6198" spans="1:5" x14ac:dyDescent="0.25">
      <c r="A6198" s="83"/>
      <c r="B6198" s="84"/>
      <c r="C6198" s="84"/>
      <c r="D6198" s="116"/>
      <c r="E6198" s="116"/>
    </row>
    <row r="6199" spans="1:5" x14ac:dyDescent="0.25">
      <c r="A6199" s="83"/>
      <c r="B6199" s="84"/>
      <c r="C6199" s="84"/>
      <c r="D6199" s="116"/>
      <c r="E6199" s="116"/>
    </row>
    <row r="6200" spans="1:5" x14ac:dyDescent="0.25">
      <c r="A6200" s="83"/>
      <c r="B6200" s="84"/>
      <c r="C6200" s="84"/>
      <c r="D6200" s="116"/>
      <c r="E6200" s="116"/>
    </row>
    <row r="6201" spans="1:5" x14ac:dyDescent="0.25">
      <c r="A6201" s="83"/>
      <c r="B6201" s="84"/>
      <c r="C6201" s="84"/>
      <c r="D6201" s="116"/>
      <c r="E6201" s="116"/>
    </row>
    <row r="6202" spans="1:5" x14ac:dyDescent="0.25">
      <c r="A6202" s="83"/>
      <c r="B6202" s="84"/>
      <c r="C6202" s="84"/>
      <c r="D6202" s="116"/>
      <c r="E6202" s="116"/>
    </row>
    <row r="6203" spans="1:5" x14ac:dyDescent="0.25">
      <c r="A6203" s="83"/>
      <c r="B6203" s="84"/>
      <c r="C6203" s="84"/>
      <c r="D6203" s="116"/>
      <c r="E6203" s="116"/>
    </row>
    <row r="6204" spans="1:5" x14ac:dyDescent="0.25">
      <c r="A6204" s="83"/>
      <c r="B6204" s="84"/>
      <c r="C6204" s="84"/>
      <c r="D6204" s="116"/>
      <c r="E6204" s="116"/>
    </row>
    <row r="6205" spans="1:5" x14ac:dyDescent="0.25">
      <c r="A6205" s="83"/>
      <c r="B6205" s="84"/>
      <c r="C6205" s="84"/>
      <c r="D6205" s="116"/>
      <c r="E6205" s="116"/>
    </row>
    <row r="6206" spans="1:5" x14ac:dyDescent="0.25">
      <c r="A6206" s="83"/>
      <c r="B6206" s="84"/>
      <c r="C6206" s="84"/>
      <c r="D6206" s="116"/>
      <c r="E6206" s="116"/>
    </row>
    <row r="6207" spans="1:5" x14ac:dyDescent="0.25">
      <c r="A6207" s="83"/>
      <c r="B6207" s="84"/>
      <c r="C6207" s="84"/>
      <c r="D6207" s="116"/>
      <c r="E6207" s="116"/>
    </row>
    <row r="6208" spans="1:5" x14ac:dyDescent="0.25">
      <c r="A6208" s="83"/>
      <c r="B6208" s="84"/>
      <c r="C6208" s="84"/>
      <c r="D6208" s="116"/>
      <c r="E6208" s="116"/>
    </row>
    <row r="6209" spans="1:5" x14ac:dyDescent="0.25">
      <c r="A6209" s="83"/>
      <c r="B6209" s="84"/>
      <c r="C6209" s="84"/>
      <c r="D6209" s="116"/>
      <c r="E6209" s="116"/>
    </row>
    <row r="6210" spans="1:5" x14ac:dyDescent="0.25">
      <c r="A6210" s="83"/>
      <c r="B6210" s="84"/>
      <c r="C6210" s="84"/>
      <c r="D6210" s="116"/>
      <c r="E6210" s="116"/>
    </row>
    <row r="6211" spans="1:5" x14ac:dyDescent="0.25">
      <c r="A6211" s="83"/>
      <c r="B6211" s="84"/>
      <c r="C6211" s="84"/>
      <c r="D6211" s="116"/>
      <c r="E6211" s="116"/>
    </row>
    <row r="6212" spans="1:5" x14ac:dyDescent="0.25">
      <c r="A6212" s="83"/>
      <c r="B6212" s="84"/>
      <c r="C6212" s="84"/>
      <c r="D6212" s="116"/>
      <c r="E6212" s="116"/>
    </row>
    <row r="6213" spans="1:5" x14ac:dyDescent="0.25">
      <c r="A6213" s="83"/>
      <c r="B6213" s="84"/>
      <c r="C6213" s="84"/>
      <c r="D6213" s="116"/>
      <c r="E6213" s="116"/>
    </row>
    <row r="6214" spans="1:5" x14ac:dyDescent="0.25">
      <c r="A6214" s="83"/>
      <c r="B6214" s="84"/>
      <c r="C6214" s="84"/>
      <c r="D6214" s="116"/>
      <c r="E6214" s="116"/>
    </row>
    <row r="6215" spans="1:5" x14ac:dyDescent="0.25">
      <c r="A6215" s="83"/>
      <c r="B6215" s="84"/>
      <c r="C6215" s="84"/>
      <c r="D6215" s="116"/>
      <c r="E6215" s="116"/>
    </row>
    <row r="6216" spans="1:5" x14ac:dyDescent="0.25">
      <c r="A6216" s="83"/>
      <c r="B6216" s="84"/>
      <c r="C6216" s="84"/>
      <c r="D6216" s="116"/>
      <c r="E6216" s="116"/>
    </row>
    <row r="6217" spans="1:5" x14ac:dyDescent="0.25">
      <c r="A6217" s="83"/>
      <c r="B6217" s="84"/>
      <c r="C6217" s="84"/>
      <c r="D6217" s="116"/>
      <c r="E6217" s="116"/>
    </row>
    <row r="6218" spans="1:5" x14ac:dyDescent="0.25">
      <c r="A6218" s="83"/>
      <c r="B6218" s="84"/>
      <c r="C6218" s="84"/>
      <c r="D6218" s="116"/>
      <c r="E6218" s="116"/>
    </row>
    <row r="6219" spans="1:5" x14ac:dyDescent="0.25">
      <c r="A6219" s="83"/>
      <c r="B6219" s="84"/>
      <c r="C6219" s="84"/>
      <c r="D6219" s="116"/>
      <c r="E6219" s="116"/>
    </row>
    <row r="6220" spans="1:5" x14ac:dyDescent="0.25">
      <c r="A6220" s="83"/>
      <c r="B6220" s="84"/>
      <c r="C6220" s="84"/>
      <c r="D6220" s="116"/>
      <c r="E6220" s="116"/>
    </row>
    <row r="6221" spans="1:5" x14ac:dyDescent="0.25">
      <c r="A6221" s="83"/>
      <c r="B6221" s="84"/>
      <c r="C6221" s="84"/>
      <c r="D6221" s="116"/>
      <c r="E6221" s="116"/>
    </row>
    <row r="6222" spans="1:5" x14ac:dyDescent="0.25">
      <c r="A6222" s="83"/>
      <c r="B6222" s="84"/>
      <c r="C6222" s="84"/>
      <c r="D6222" s="116"/>
      <c r="E6222" s="116"/>
    </row>
    <row r="6223" spans="1:5" x14ac:dyDescent="0.25">
      <c r="A6223" s="83"/>
      <c r="B6223" s="84"/>
      <c r="C6223" s="84"/>
      <c r="D6223" s="116"/>
      <c r="E6223" s="116"/>
    </row>
    <row r="6224" spans="1:5" x14ac:dyDescent="0.25">
      <c r="A6224" s="83"/>
      <c r="B6224" s="84"/>
      <c r="C6224" s="84"/>
      <c r="D6224" s="116"/>
      <c r="E6224" s="116"/>
    </row>
    <row r="6225" spans="1:5" x14ac:dyDescent="0.25">
      <c r="A6225" s="83"/>
      <c r="B6225" s="84"/>
      <c r="C6225" s="84"/>
      <c r="D6225" s="116"/>
      <c r="E6225" s="116"/>
    </row>
    <row r="6226" spans="1:5" x14ac:dyDescent="0.25">
      <c r="A6226" s="83"/>
      <c r="B6226" s="84"/>
      <c r="C6226" s="84"/>
      <c r="D6226" s="116"/>
      <c r="E6226" s="116"/>
    </row>
    <row r="6227" spans="1:5" x14ac:dyDescent="0.25">
      <c r="A6227" s="83"/>
      <c r="B6227" s="84"/>
      <c r="C6227" s="84"/>
      <c r="D6227" s="116"/>
      <c r="E6227" s="116"/>
    </row>
    <row r="6228" spans="1:5" x14ac:dyDescent="0.25">
      <c r="A6228" s="83"/>
      <c r="B6228" s="84"/>
      <c r="C6228" s="84"/>
      <c r="D6228" s="116"/>
      <c r="E6228" s="116"/>
    </row>
    <row r="6229" spans="1:5" x14ac:dyDescent="0.25">
      <c r="A6229" s="83"/>
      <c r="B6229" s="84"/>
      <c r="C6229" s="84"/>
      <c r="D6229" s="116"/>
      <c r="E6229" s="116"/>
    </row>
    <row r="6230" spans="1:5" x14ac:dyDescent="0.25">
      <c r="A6230" s="83"/>
      <c r="B6230" s="84"/>
      <c r="C6230" s="84"/>
      <c r="D6230" s="116"/>
      <c r="E6230" s="116"/>
    </row>
    <row r="6231" spans="1:5" x14ac:dyDescent="0.25">
      <c r="A6231" s="83"/>
      <c r="B6231" s="84"/>
      <c r="C6231" s="84"/>
      <c r="D6231" s="116"/>
      <c r="E6231" s="116"/>
    </row>
    <row r="6232" spans="1:5" x14ac:dyDescent="0.25">
      <c r="A6232" s="83"/>
      <c r="B6232" s="84"/>
      <c r="C6232" s="84"/>
      <c r="D6232" s="116"/>
      <c r="E6232" s="116"/>
    </row>
    <row r="6233" spans="1:5" x14ac:dyDescent="0.25">
      <c r="A6233" s="83"/>
      <c r="B6233" s="84"/>
      <c r="C6233" s="84"/>
      <c r="D6233" s="116"/>
      <c r="E6233" s="116"/>
    </row>
    <row r="6234" spans="1:5" x14ac:dyDescent="0.25">
      <c r="A6234" s="83"/>
      <c r="B6234" s="84"/>
      <c r="C6234" s="84"/>
      <c r="D6234" s="116"/>
      <c r="E6234" s="116"/>
    </row>
    <row r="6235" spans="1:5" x14ac:dyDescent="0.25">
      <c r="A6235" s="83"/>
      <c r="B6235" s="84"/>
      <c r="C6235" s="84"/>
      <c r="D6235" s="116"/>
      <c r="E6235" s="116"/>
    </row>
    <row r="6236" spans="1:5" x14ac:dyDescent="0.25">
      <c r="A6236" s="83"/>
      <c r="B6236" s="84"/>
      <c r="C6236" s="84"/>
      <c r="D6236" s="116"/>
      <c r="E6236" s="116"/>
    </row>
    <row r="6237" spans="1:5" x14ac:dyDescent="0.25">
      <c r="A6237" s="83"/>
      <c r="B6237" s="84"/>
      <c r="C6237" s="84"/>
      <c r="D6237" s="116"/>
      <c r="E6237" s="116"/>
    </row>
    <row r="6238" spans="1:5" x14ac:dyDescent="0.25">
      <c r="A6238" s="83"/>
      <c r="B6238" s="84"/>
      <c r="C6238" s="84"/>
      <c r="D6238" s="116"/>
      <c r="E6238" s="116"/>
    </row>
    <row r="6239" spans="1:5" x14ac:dyDescent="0.25">
      <c r="A6239" s="83"/>
      <c r="B6239" s="84"/>
      <c r="C6239" s="84"/>
      <c r="D6239" s="116"/>
      <c r="E6239" s="116"/>
    </row>
    <row r="6240" spans="1:5" x14ac:dyDescent="0.25">
      <c r="A6240" s="83"/>
      <c r="B6240" s="84"/>
      <c r="C6240" s="84"/>
      <c r="D6240" s="116"/>
      <c r="E6240" s="116"/>
    </row>
    <row r="6241" spans="1:5" x14ac:dyDescent="0.25">
      <c r="A6241" s="83"/>
      <c r="B6241" s="84"/>
      <c r="C6241" s="84"/>
      <c r="D6241" s="116"/>
      <c r="E6241" s="116"/>
    </row>
    <row r="6242" spans="1:5" x14ac:dyDescent="0.25">
      <c r="A6242" s="83"/>
      <c r="B6242" s="84"/>
      <c r="C6242" s="84"/>
      <c r="D6242" s="116"/>
      <c r="E6242" s="116"/>
    </row>
    <row r="6243" spans="1:5" x14ac:dyDescent="0.25">
      <c r="A6243" s="83"/>
      <c r="B6243" s="84"/>
      <c r="C6243" s="84"/>
      <c r="D6243" s="116"/>
      <c r="E6243" s="116"/>
    </row>
    <row r="6244" spans="1:5" x14ac:dyDescent="0.25">
      <c r="A6244" s="83"/>
      <c r="B6244" s="84"/>
      <c r="C6244" s="84"/>
      <c r="D6244" s="116"/>
      <c r="E6244" s="116"/>
    </row>
    <row r="6245" spans="1:5" x14ac:dyDescent="0.25">
      <c r="A6245" s="83"/>
      <c r="B6245" s="84"/>
      <c r="C6245" s="84"/>
      <c r="D6245" s="116"/>
      <c r="E6245" s="116"/>
    </row>
    <row r="6246" spans="1:5" x14ac:dyDescent="0.25">
      <c r="A6246" s="83"/>
      <c r="B6246" s="84"/>
      <c r="C6246" s="84"/>
      <c r="D6246" s="116"/>
      <c r="E6246" s="116"/>
    </row>
    <row r="6247" spans="1:5" x14ac:dyDescent="0.25">
      <c r="A6247" s="83"/>
      <c r="B6247" s="84"/>
      <c r="C6247" s="84"/>
      <c r="D6247" s="116"/>
      <c r="E6247" s="116"/>
    </row>
    <row r="6248" spans="1:5" x14ac:dyDescent="0.25">
      <c r="A6248" s="83"/>
      <c r="B6248" s="84"/>
      <c r="C6248" s="84"/>
      <c r="D6248" s="116"/>
      <c r="E6248" s="116"/>
    </row>
    <row r="6249" spans="1:5" x14ac:dyDescent="0.25">
      <c r="A6249" s="83"/>
      <c r="B6249" s="84"/>
      <c r="C6249" s="84"/>
      <c r="D6249" s="116"/>
      <c r="E6249" s="116"/>
    </row>
    <row r="6250" spans="1:5" x14ac:dyDescent="0.25">
      <c r="A6250" s="83"/>
      <c r="B6250" s="84"/>
      <c r="C6250" s="84"/>
      <c r="D6250" s="116"/>
      <c r="E6250" s="116"/>
    </row>
    <row r="6251" spans="1:5" x14ac:dyDescent="0.25">
      <c r="A6251" s="83"/>
      <c r="B6251" s="84"/>
      <c r="C6251" s="84"/>
      <c r="D6251" s="116"/>
      <c r="E6251" s="116"/>
    </row>
    <row r="6252" spans="1:5" x14ac:dyDescent="0.25">
      <c r="A6252" s="83"/>
      <c r="B6252" s="84"/>
      <c r="C6252" s="84"/>
      <c r="D6252" s="116"/>
      <c r="E6252" s="116"/>
    </row>
    <row r="6253" spans="1:5" x14ac:dyDescent="0.25">
      <c r="A6253" s="83"/>
      <c r="B6253" s="84"/>
      <c r="C6253" s="84"/>
      <c r="D6253" s="116"/>
      <c r="E6253" s="116"/>
    </row>
    <row r="6254" spans="1:5" x14ac:dyDescent="0.25">
      <c r="A6254" s="83"/>
      <c r="B6254" s="84"/>
      <c r="C6254" s="84"/>
      <c r="D6254" s="116"/>
      <c r="E6254" s="116"/>
    </row>
    <row r="6255" spans="1:5" x14ac:dyDescent="0.25">
      <c r="A6255" s="83"/>
      <c r="B6255" s="84"/>
      <c r="C6255" s="84"/>
      <c r="D6255" s="116"/>
      <c r="E6255" s="116"/>
    </row>
    <row r="6256" spans="1:5" x14ac:dyDescent="0.25">
      <c r="A6256" s="83"/>
      <c r="B6256" s="84"/>
      <c r="C6256" s="84"/>
      <c r="D6256" s="116"/>
      <c r="E6256" s="116"/>
    </row>
    <row r="6257" spans="1:5" x14ac:dyDescent="0.25">
      <c r="A6257" s="83"/>
      <c r="B6257" s="84"/>
      <c r="C6257" s="84"/>
      <c r="D6257" s="116"/>
      <c r="E6257" s="116"/>
    </row>
    <row r="6258" spans="1:5" x14ac:dyDescent="0.25">
      <c r="A6258" s="83"/>
      <c r="B6258" s="84"/>
      <c r="C6258" s="84"/>
      <c r="D6258" s="116"/>
      <c r="E6258" s="116"/>
    </row>
    <row r="6259" spans="1:5" x14ac:dyDescent="0.25">
      <c r="A6259" s="83"/>
      <c r="B6259" s="84"/>
      <c r="C6259" s="84"/>
      <c r="D6259" s="116"/>
      <c r="E6259" s="116"/>
    </row>
    <row r="6260" spans="1:5" x14ac:dyDescent="0.25">
      <c r="A6260" s="83"/>
      <c r="B6260" s="84"/>
      <c r="C6260" s="84"/>
      <c r="D6260" s="116"/>
      <c r="E6260" s="116"/>
    </row>
    <row r="6261" spans="1:5" x14ac:dyDescent="0.25">
      <c r="A6261" s="83"/>
      <c r="B6261" s="84"/>
      <c r="C6261" s="84"/>
      <c r="D6261" s="116"/>
      <c r="E6261" s="116"/>
    </row>
    <row r="6262" spans="1:5" x14ac:dyDescent="0.25">
      <c r="A6262" s="83"/>
      <c r="B6262" s="84"/>
      <c r="C6262" s="84"/>
      <c r="D6262" s="116"/>
      <c r="E6262" s="116"/>
    </row>
    <row r="6263" spans="1:5" x14ac:dyDescent="0.25">
      <c r="A6263" s="83"/>
      <c r="B6263" s="84"/>
      <c r="C6263" s="84"/>
      <c r="D6263" s="116"/>
      <c r="E6263" s="116"/>
    </row>
    <row r="6264" spans="1:5" x14ac:dyDescent="0.25">
      <c r="A6264" s="83"/>
      <c r="B6264" s="84"/>
      <c r="C6264" s="84"/>
      <c r="D6264" s="116"/>
      <c r="E6264" s="116"/>
    </row>
    <row r="6265" spans="1:5" x14ac:dyDescent="0.25">
      <c r="A6265" s="83"/>
      <c r="B6265" s="84"/>
      <c r="C6265" s="84"/>
      <c r="D6265" s="116"/>
      <c r="E6265" s="116"/>
    </row>
    <row r="6266" spans="1:5" x14ac:dyDescent="0.25">
      <c r="A6266" s="83"/>
      <c r="B6266" s="84"/>
      <c r="C6266" s="84"/>
      <c r="D6266" s="116"/>
      <c r="E6266" s="116"/>
    </row>
    <row r="6267" spans="1:5" x14ac:dyDescent="0.25">
      <c r="A6267" s="83"/>
      <c r="B6267" s="84"/>
      <c r="C6267" s="84"/>
      <c r="D6267" s="116"/>
      <c r="E6267" s="116"/>
    </row>
    <row r="6268" spans="1:5" x14ac:dyDescent="0.25">
      <c r="A6268" s="83"/>
      <c r="B6268" s="84"/>
      <c r="C6268" s="84"/>
      <c r="D6268" s="116"/>
      <c r="E6268" s="116"/>
    </row>
    <row r="6269" spans="1:5" x14ac:dyDescent="0.25">
      <c r="A6269" s="83"/>
      <c r="B6269" s="84"/>
      <c r="C6269" s="84"/>
      <c r="D6269" s="116"/>
      <c r="E6269" s="116"/>
    </row>
    <row r="6270" spans="1:5" x14ac:dyDescent="0.25">
      <c r="A6270" s="83"/>
      <c r="B6270" s="84"/>
      <c r="C6270" s="84"/>
      <c r="D6270" s="116"/>
      <c r="E6270" s="116"/>
    </row>
    <row r="6271" spans="1:5" x14ac:dyDescent="0.25">
      <c r="A6271" s="83"/>
      <c r="B6271" s="84"/>
      <c r="C6271" s="84"/>
      <c r="D6271" s="116"/>
      <c r="E6271" s="116"/>
    </row>
    <row r="6272" spans="1:5" x14ac:dyDescent="0.25">
      <c r="A6272" s="83"/>
      <c r="B6272" s="84"/>
      <c r="C6272" s="84"/>
      <c r="D6272" s="116"/>
      <c r="E6272" s="116"/>
    </row>
    <row r="6273" spans="1:5" x14ac:dyDescent="0.25">
      <c r="A6273" s="83"/>
      <c r="B6273" s="84"/>
      <c r="C6273" s="84"/>
      <c r="D6273" s="116"/>
      <c r="E6273" s="116"/>
    </row>
    <row r="6274" spans="1:5" x14ac:dyDescent="0.25">
      <c r="A6274" s="83"/>
      <c r="B6274" s="84"/>
      <c r="C6274" s="84"/>
      <c r="D6274" s="116"/>
      <c r="E6274" s="116"/>
    </row>
    <row r="6275" spans="1:5" x14ac:dyDescent="0.25">
      <c r="A6275" s="83"/>
      <c r="B6275" s="84"/>
      <c r="C6275" s="84"/>
      <c r="D6275" s="116"/>
      <c r="E6275" s="116"/>
    </row>
    <row r="6276" spans="1:5" x14ac:dyDescent="0.25">
      <c r="A6276" s="83"/>
      <c r="B6276" s="84"/>
      <c r="C6276" s="84"/>
      <c r="D6276" s="116"/>
      <c r="E6276" s="116"/>
    </row>
    <row r="6277" spans="1:5" x14ac:dyDescent="0.25">
      <c r="A6277" s="83"/>
      <c r="B6277" s="84"/>
      <c r="C6277" s="84"/>
      <c r="D6277" s="116"/>
      <c r="E6277" s="116"/>
    </row>
    <row r="6278" spans="1:5" x14ac:dyDescent="0.25">
      <c r="A6278" s="83"/>
      <c r="B6278" s="84"/>
      <c r="C6278" s="84"/>
      <c r="D6278" s="116"/>
      <c r="E6278" s="116"/>
    </row>
    <row r="6279" spans="1:5" x14ac:dyDescent="0.25">
      <c r="A6279" s="83"/>
      <c r="B6279" s="84"/>
      <c r="C6279" s="84"/>
      <c r="D6279" s="116"/>
      <c r="E6279" s="116"/>
    </row>
    <row r="6280" spans="1:5" x14ac:dyDescent="0.25">
      <c r="A6280" s="83"/>
      <c r="B6280" s="84"/>
      <c r="C6280" s="84"/>
      <c r="D6280" s="116"/>
      <c r="E6280" s="116"/>
    </row>
    <row r="6281" spans="1:5" x14ac:dyDescent="0.25">
      <c r="A6281" s="83"/>
      <c r="B6281" s="84"/>
      <c r="C6281" s="84"/>
      <c r="D6281" s="116"/>
      <c r="E6281" s="116"/>
    </row>
    <row r="6282" spans="1:5" x14ac:dyDescent="0.25">
      <c r="A6282" s="83"/>
      <c r="B6282" s="84"/>
      <c r="C6282" s="84"/>
      <c r="D6282" s="116"/>
      <c r="E6282" s="116"/>
    </row>
    <row r="6283" spans="1:5" x14ac:dyDescent="0.25">
      <c r="A6283" s="83"/>
      <c r="B6283" s="84"/>
      <c r="C6283" s="84"/>
      <c r="D6283" s="116"/>
      <c r="E6283" s="116"/>
    </row>
    <row r="6284" spans="1:5" x14ac:dyDescent="0.25">
      <c r="A6284" s="83"/>
      <c r="B6284" s="84"/>
      <c r="C6284" s="84"/>
      <c r="D6284" s="116"/>
      <c r="E6284" s="116"/>
    </row>
    <row r="6285" spans="1:5" x14ac:dyDescent="0.25">
      <c r="A6285" s="83"/>
      <c r="B6285" s="84"/>
      <c r="C6285" s="84"/>
      <c r="D6285" s="116"/>
      <c r="E6285" s="116"/>
    </row>
    <row r="6286" spans="1:5" x14ac:dyDescent="0.25">
      <c r="A6286" s="83"/>
      <c r="B6286" s="84"/>
      <c r="C6286" s="84"/>
      <c r="D6286" s="116"/>
      <c r="E6286" s="116"/>
    </row>
    <row r="6287" spans="1:5" x14ac:dyDescent="0.25">
      <c r="A6287" s="83"/>
      <c r="B6287" s="84"/>
      <c r="C6287" s="84"/>
      <c r="D6287" s="116"/>
      <c r="E6287" s="116"/>
    </row>
    <row r="6288" spans="1:5" x14ac:dyDescent="0.25">
      <c r="A6288" s="83"/>
      <c r="B6288" s="84"/>
      <c r="C6288" s="84"/>
      <c r="D6288" s="116"/>
      <c r="E6288" s="116"/>
    </row>
    <row r="6289" spans="1:5" x14ac:dyDescent="0.25">
      <c r="A6289" s="83"/>
      <c r="B6289" s="84"/>
      <c r="C6289" s="84"/>
      <c r="D6289" s="116"/>
      <c r="E6289" s="116"/>
    </row>
    <row r="6290" spans="1:5" x14ac:dyDescent="0.25">
      <c r="A6290" s="83"/>
      <c r="B6290" s="84"/>
      <c r="C6290" s="84"/>
      <c r="D6290" s="116"/>
      <c r="E6290" s="116"/>
    </row>
    <row r="6291" spans="1:5" x14ac:dyDescent="0.25">
      <c r="A6291" s="83"/>
      <c r="B6291" s="84"/>
      <c r="C6291" s="84"/>
      <c r="D6291" s="116"/>
      <c r="E6291" s="116"/>
    </row>
    <row r="6292" spans="1:5" x14ac:dyDescent="0.25">
      <c r="A6292" s="83"/>
      <c r="B6292" s="84"/>
      <c r="C6292" s="84"/>
      <c r="D6292" s="116"/>
      <c r="E6292" s="116"/>
    </row>
    <row r="6293" spans="1:5" x14ac:dyDescent="0.25">
      <c r="A6293" s="83"/>
      <c r="B6293" s="84"/>
      <c r="C6293" s="84"/>
      <c r="D6293" s="116"/>
      <c r="E6293" s="116"/>
    </row>
    <row r="6294" spans="1:5" x14ac:dyDescent="0.25">
      <c r="A6294" s="83"/>
      <c r="B6294" s="84"/>
      <c r="C6294" s="84"/>
      <c r="D6294" s="116"/>
      <c r="E6294" s="116"/>
    </row>
    <row r="6295" spans="1:5" x14ac:dyDescent="0.25">
      <c r="A6295" s="83"/>
      <c r="B6295" s="84"/>
      <c r="C6295" s="84"/>
      <c r="D6295" s="116"/>
      <c r="E6295" s="116"/>
    </row>
    <row r="6296" spans="1:5" x14ac:dyDescent="0.25">
      <c r="A6296" s="83"/>
      <c r="B6296" s="84"/>
      <c r="C6296" s="84"/>
      <c r="D6296" s="116"/>
      <c r="E6296" s="116"/>
    </row>
    <row r="6297" spans="1:5" x14ac:dyDescent="0.25">
      <c r="A6297" s="83"/>
      <c r="B6297" s="84"/>
      <c r="C6297" s="84"/>
      <c r="D6297" s="116"/>
      <c r="E6297" s="116"/>
    </row>
    <row r="6298" spans="1:5" x14ac:dyDescent="0.25">
      <c r="A6298" s="83"/>
      <c r="B6298" s="84"/>
      <c r="C6298" s="84"/>
      <c r="D6298" s="116"/>
      <c r="E6298" s="116"/>
    </row>
    <row r="6299" spans="1:5" x14ac:dyDescent="0.25">
      <c r="A6299" s="83"/>
      <c r="B6299" s="84"/>
      <c r="C6299" s="84"/>
      <c r="D6299" s="116"/>
      <c r="E6299" s="116"/>
    </row>
    <row r="6300" spans="1:5" x14ac:dyDescent="0.25">
      <c r="A6300" s="83"/>
      <c r="B6300" s="84"/>
      <c r="C6300" s="84"/>
      <c r="D6300" s="116"/>
      <c r="E6300" s="116"/>
    </row>
    <row r="6301" spans="1:5" x14ac:dyDescent="0.25">
      <c r="A6301" s="83"/>
      <c r="B6301" s="84"/>
      <c r="C6301" s="84"/>
      <c r="D6301" s="116"/>
      <c r="E6301" s="116"/>
    </row>
    <row r="6302" spans="1:5" x14ac:dyDescent="0.25">
      <c r="A6302" s="83"/>
      <c r="B6302" s="84"/>
      <c r="C6302" s="84"/>
      <c r="D6302" s="116"/>
      <c r="E6302" s="116"/>
    </row>
    <row r="6303" spans="1:5" x14ac:dyDescent="0.25">
      <c r="A6303" s="83"/>
      <c r="B6303" s="84"/>
      <c r="C6303" s="84"/>
      <c r="D6303" s="116"/>
      <c r="E6303" s="116"/>
    </row>
    <row r="6304" spans="1:5" x14ac:dyDescent="0.25">
      <c r="A6304" s="83"/>
      <c r="B6304" s="84"/>
      <c r="C6304" s="84"/>
      <c r="D6304" s="116"/>
      <c r="E6304" s="116"/>
    </row>
    <row r="6305" spans="1:5" x14ac:dyDescent="0.25">
      <c r="A6305" s="83"/>
      <c r="B6305" s="84"/>
      <c r="C6305" s="84"/>
      <c r="D6305" s="116"/>
      <c r="E6305" s="116"/>
    </row>
    <row r="6306" spans="1:5" x14ac:dyDescent="0.25">
      <c r="A6306" s="83"/>
      <c r="B6306" s="84"/>
      <c r="C6306" s="84"/>
      <c r="D6306" s="116"/>
      <c r="E6306" s="116"/>
    </row>
    <row r="6307" spans="1:5" x14ac:dyDescent="0.25">
      <c r="A6307" s="83"/>
      <c r="B6307" s="84"/>
      <c r="C6307" s="84"/>
      <c r="D6307" s="116"/>
      <c r="E6307" s="116"/>
    </row>
    <row r="6308" spans="1:5" x14ac:dyDescent="0.25">
      <c r="A6308" s="83"/>
      <c r="B6308" s="84"/>
      <c r="C6308" s="84"/>
      <c r="D6308" s="116"/>
      <c r="E6308" s="116"/>
    </row>
    <row r="6309" spans="1:5" x14ac:dyDescent="0.25">
      <c r="A6309" s="83"/>
      <c r="B6309" s="84"/>
      <c r="C6309" s="84"/>
      <c r="D6309" s="116"/>
      <c r="E6309" s="116"/>
    </row>
    <row r="6310" spans="1:5" x14ac:dyDescent="0.25">
      <c r="A6310" s="83"/>
      <c r="B6310" s="84"/>
      <c r="C6310" s="84"/>
      <c r="D6310" s="116"/>
      <c r="E6310" s="116"/>
    </row>
    <row r="6311" spans="1:5" x14ac:dyDescent="0.25">
      <c r="A6311" s="83"/>
      <c r="B6311" s="84"/>
      <c r="C6311" s="84"/>
      <c r="D6311" s="116"/>
      <c r="E6311" s="116"/>
    </row>
    <row r="6312" spans="1:5" x14ac:dyDescent="0.25">
      <c r="A6312" s="83"/>
      <c r="B6312" s="84"/>
      <c r="C6312" s="84"/>
      <c r="D6312" s="116"/>
      <c r="E6312" s="116"/>
    </row>
    <row r="6313" spans="1:5" x14ac:dyDescent="0.25">
      <c r="A6313" s="83"/>
      <c r="B6313" s="84"/>
      <c r="C6313" s="84"/>
      <c r="D6313" s="116"/>
      <c r="E6313" s="116"/>
    </row>
    <row r="6314" spans="1:5" x14ac:dyDescent="0.25">
      <c r="A6314" s="83"/>
      <c r="B6314" s="84"/>
      <c r="C6314" s="84"/>
      <c r="D6314" s="116"/>
      <c r="E6314" s="116"/>
    </row>
    <row r="6315" spans="1:5" x14ac:dyDescent="0.25">
      <c r="A6315" s="83"/>
      <c r="B6315" s="84"/>
      <c r="C6315" s="84"/>
      <c r="D6315" s="116"/>
      <c r="E6315" s="116"/>
    </row>
    <row r="6316" spans="1:5" x14ac:dyDescent="0.25">
      <c r="A6316" s="83"/>
      <c r="B6316" s="84"/>
      <c r="C6316" s="84"/>
      <c r="D6316" s="116"/>
      <c r="E6316" s="116"/>
    </row>
    <row r="6317" spans="1:5" x14ac:dyDescent="0.25">
      <c r="A6317" s="83"/>
      <c r="B6317" s="84"/>
      <c r="C6317" s="84"/>
      <c r="D6317" s="116"/>
      <c r="E6317" s="116"/>
    </row>
    <row r="6318" spans="1:5" x14ac:dyDescent="0.25">
      <c r="A6318" s="83"/>
      <c r="B6318" s="84"/>
      <c r="C6318" s="84"/>
      <c r="D6318" s="116"/>
      <c r="E6318" s="116"/>
    </row>
    <row r="6319" spans="1:5" x14ac:dyDescent="0.25">
      <c r="A6319" s="83"/>
      <c r="B6319" s="84"/>
      <c r="C6319" s="84"/>
      <c r="D6319" s="116"/>
      <c r="E6319" s="116"/>
    </row>
    <row r="6320" spans="1:5" x14ac:dyDescent="0.25">
      <c r="A6320" s="83"/>
      <c r="B6320" s="84"/>
      <c r="C6320" s="84"/>
      <c r="D6320" s="116"/>
      <c r="E6320" s="116"/>
    </row>
    <row r="6321" spans="1:5" x14ac:dyDescent="0.25">
      <c r="A6321" s="83"/>
      <c r="B6321" s="84"/>
      <c r="C6321" s="84"/>
      <c r="D6321" s="116"/>
      <c r="E6321" s="116"/>
    </row>
    <row r="6322" spans="1:5" x14ac:dyDescent="0.25">
      <c r="A6322" s="83"/>
      <c r="B6322" s="84"/>
      <c r="C6322" s="84"/>
      <c r="D6322" s="116"/>
      <c r="E6322" s="116"/>
    </row>
    <row r="6323" spans="1:5" x14ac:dyDescent="0.25">
      <c r="A6323" s="83"/>
      <c r="B6323" s="84"/>
      <c r="C6323" s="84"/>
      <c r="D6323" s="116"/>
      <c r="E6323" s="116"/>
    </row>
    <row r="6324" spans="1:5" x14ac:dyDescent="0.25">
      <c r="A6324" s="83"/>
      <c r="B6324" s="84"/>
      <c r="C6324" s="84"/>
      <c r="D6324" s="116"/>
      <c r="E6324" s="116"/>
    </row>
    <row r="6325" spans="1:5" x14ac:dyDescent="0.25">
      <c r="A6325" s="83"/>
      <c r="B6325" s="84"/>
      <c r="C6325" s="84"/>
      <c r="D6325" s="116"/>
      <c r="E6325" s="116"/>
    </row>
    <row r="6326" spans="1:5" x14ac:dyDescent="0.25">
      <c r="A6326" s="83"/>
      <c r="B6326" s="84"/>
      <c r="C6326" s="84"/>
      <c r="D6326" s="116"/>
      <c r="E6326" s="116"/>
    </row>
    <row r="6327" spans="1:5" x14ac:dyDescent="0.25">
      <c r="A6327" s="83"/>
      <c r="B6327" s="84"/>
      <c r="C6327" s="84"/>
      <c r="D6327" s="116"/>
      <c r="E6327" s="116"/>
    </row>
    <row r="6328" spans="1:5" x14ac:dyDescent="0.25">
      <c r="A6328" s="83"/>
      <c r="B6328" s="84"/>
      <c r="C6328" s="84"/>
      <c r="D6328" s="116"/>
      <c r="E6328" s="116"/>
    </row>
    <row r="6329" spans="1:5" x14ac:dyDescent="0.25">
      <c r="A6329" s="83"/>
      <c r="B6329" s="84"/>
      <c r="C6329" s="84"/>
      <c r="D6329" s="116"/>
      <c r="E6329" s="116"/>
    </row>
    <row r="6330" spans="1:5" x14ac:dyDescent="0.25">
      <c r="A6330" s="83"/>
      <c r="B6330" s="84"/>
      <c r="C6330" s="84"/>
      <c r="D6330" s="116"/>
      <c r="E6330" s="116"/>
    </row>
    <row r="6331" spans="1:5" x14ac:dyDescent="0.25">
      <c r="A6331" s="83"/>
      <c r="B6331" s="84"/>
      <c r="C6331" s="84"/>
      <c r="D6331" s="116"/>
      <c r="E6331" s="116"/>
    </row>
    <row r="6332" spans="1:5" x14ac:dyDescent="0.25">
      <c r="A6332" s="83"/>
      <c r="B6332" s="84"/>
      <c r="C6332" s="84"/>
      <c r="D6332" s="116"/>
      <c r="E6332" s="116"/>
    </row>
    <row r="6333" spans="1:5" x14ac:dyDescent="0.25">
      <c r="A6333" s="83"/>
      <c r="B6333" s="84"/>
      <c r="C6333" s="84"/>
      <c r="D6333" s="116"/>
      <c r="E6333" s="116"/>
    </row>
    <row r="6334" spans="1:5" x14ac:dyDescent="0.25">
      <c r="A6334" s="83"/>
      <c r="B6334" s="84"/>
      <c r="C6334" s="84"/>
      <c r="D6334" s="116"/>
      <c r="E6334" s="116"/>
    </row>
    <row r="6335" spans="1:5" x14ac:dyDescent="0.25">
      <c r="A6335" s="83"/>
      <c r="B6335" s="84"/>
      <c r="C6335" s="84"/>
      <c r="D6335" s="116"/>
      <c r="E6335" s="116"/>
    </row>
    <row r="6336" spans="1:5" x14ac:dyDescent="0.25">
      <c r="A6336" s="83"/>
      <c r="B6336" s="84"/>
      <c r="C6336" s="84"/>
      <c r="D6336" s="116"/>
      <c r="E6336" s="116"/>
    </row>
    <row r="6337" spans="1:5" x14ac:dyDescent="0.25">
      <c r="A6337" s="83"/>
      <c r="B6337" s="84"/>
      <c r="C6337" s="84"/>
      <c r="D6337" s="116"/>
      <c r="E6337" s="116"/>
    </row>
    <row r="6338" spans="1:5" x14ac:dyDescent="0.25">
      <c r="A6338" s="83"/>
      <c r="B6338" s="84"/>
      <c r="C6338" s="84"/>
      <c r="D6338" s="116"/>
      <c r="E6338" s="116"/>
    </row>
    <row r="6339" spans="1:5" x14ac:dyDescent="0.25">
      <c r="A6339" s="83"/>
      <c r="B6339" s="84"/>
      <c r="C6339" s="84"/>
      <c r="D6339" s="116"/>
      <c r="E6339" s="116"/>
    </row>
    <row r="6340" spans="1:5" x14ac:dyDescent="0.25">
      <c r="A6340" s="83"/>
      <c r="B6340" s="84"/>
      <c r="C6340" s="84"/>
      <c r="D6340" s="116"/>
      <c r="E6340" s="116"/>
    </row>
    <row r="6341" spans="1:5" x14ac:dyDescent="0.25">
      <c r="A6341" s="83"/>
      <c r="B6341" s="84"/>
      <c r="C6341" s="84"/>
      <c r="D6341" s="116"/>
      <c r="E6341" s="116"/>
    </row>
    <row r="6342" spans="1:5" x14ac:dyDescent="0.25">
      <c r="A6342" s="83"/>
      <c r="B6342" s="84"/>
      <c r="C6342" s="84"/>
      <c r="D6342" s="116"/>
      <c r="E6342" s="116"/>
    </row>
    <row r="6343" spans="1:5" x14ac:dyDescent="0.25">
      <c r="A6343" s="83"/>
      <c r="B6343" s="84"/>
      <c r="C6343" s="84"/>
      <c r="D6343" s="116"/>
      <c r="E6343" s="116"/>
    </row>
    <row r="6344" spans="1:5" x14ac:dyDescent="0.25">
      <c r="A6344" s="83"/>
      <c r="B6344" s="84"/>
      <c r="C6344" s="84"/>
      <c r="D6344" s="116"/>
      <c r="E6344" s="116"/>
    </row>
    <row r="6345" spans="1:5" x14ac:dyDescent="0.25">
      <c r="A6345" s="83"/>
      <c r="B6345" s="84"/>
      <c r="C6345" s="84"/>
      <c r="D6345" s="116"/>
      <c r="E6345" s="116"/>
    </row>
    <row r="6346" spans="1:5" x14ac:dyDescent="0.25">
      <c r="A6346" s="83"/>
      <c r="B6346" s="84"/>
      <c r="C6346" s="84"/>
      <c r="D6346" s="116"/>
      <c r="E6346" s="116"/>
    </row>
    <row r="6347" spans="1:5" x14ac:dyDescent="0.25">
      <c r="A6347" s="83"/>
      <c r="B6347" s="84"/>
      <c r="C6347" s="84"/>
      <c r="D6347" s="116"/>
      <c r="E6347" s="116"/>
    </row>
    <row r="6348" spans="1:5" x14ac:dyDescent="0.25">
      <c r="A6348" s="83"/>
      <c r="B6348" s="84"/>
      <c r="C6348" s="84"/>
      <c r="D6348" s="116"/>
      <c r="E6348" s="116"/>
    </row>
    <row r="6349" spans="1:5" x14ac:dyDescent="0.25">
      <c r="A6349" s="83"/>
      <c r="B6349" s="84"/>
      <c r="C6349" s="84"/>
      <c r="D6349" s="116"/>
      <c r="E6349" s="116"/>
    </row>
    <row r="6350" spans="1:5" x14ac:dyDescent="0.25">
      <c r="A6350" s="83"/>
      <c r="B6350" s="84"/>
      <c r="C6350" s="84"/>
      <c r="D6350" s="116"/>
      <c r="E6350" s="116"/>
    </row>
    <row r="6351" spans="1:5" x14ac:dyDescent="0.25">
      <c r="A6351" s="83"/>
      <c r="B6351" s="84"/>
      <c r="C6351" s="84"/>
      <c r="D6351" s="116"/>
      <c r="E6351" s="116"/>
    </row>
    <row r="6352" spans="1:5" x14ac:dyDescent="0.25">
      <c r="A6352" s="83"/>
      <c r="B6352" s="84"/>
      <c r="C6352" s="84"/>
      <c r="D6352" s="116"/>
      <c r="E6352" s="116"/>
    </row>
    <row r="6353" spans="1:5" x14ac:dyDescent="0.25">
      <c r="A6353" s="83"/>
      <c r="B6353" s="84"/>
      <c r="C6353" s="84"/>
      <c r="D6353" s="116"/>
      <c r="E6353" s="116"/>
    </row>
    <row r="6354" spans="1:5" x14ac:dyDescent="0.25">
      <c r="A6354" s="83"/>
      <c r="B6354" s="84"/>
      <c r="C6354" s="84"/>
      <c r="D6354" s="116"/>
      <c r="E6354" s="116"/>
    </row>
    <row r="6355" spans="1:5" x14ac:dyDescent="0.25">
      <c r="A6355" s="83"/>
      <c r="B6355" s="84"/>
      <c r="C6355" s="84"/>
      <c r="D6355" s="116"/>
      <c r="E6355" s="116"/>
    </row>
    <row r="6356" spans="1:5" x14ac:dyDescent="0.25">
      <c r="A6356" s="83"/>
      <c r="B6356" s="84"/>
      <c r="C6356" s="84"/>
      <c r="D6356" s="116"/>
      <c r="E6356" s="116"/>
    </row>
    <row r="6357" spans="1:5" x14ac:dyDescent="0.25">
      <c r="A6357" s="83"/>
      <c r="B6357" s="84"/>
      <c r="C6357" s="84"/>
      <c r="D6357" s="116"/>
      <c r="E6357" s="116"/>
    </row>
    <row r="6358" spans="1:5" x14ac:dyDescent="0.25">
      <c r="A6358" s="83"/>
      <c r="B6358" s="84"/>
      <c r="C6358" s="84"/>
      <c r="D6358" s="116"/>
      <c r="E6358" s="116"/>
    </row>
    <row r="6359" spans="1:5" x14ac:dyDescent="0.25">
      <c r="A6359" s="83"/>
      <c r="B6359" s="84"/>
      <c r="C6359" s="84"/>
      <c r="D6359" s="116"/>
      <c r="E6359" s="116"/>
    </row>
    <row r="6360" spans="1:5" x14ac:dyDescent="0.25">
      <c r="A6360" s="83"/>
      <c r="B6360" s="84"/>
      <c r="C6360" s="84"/>
      <c r="D6360" s="116"/>
      <c r="E6360" s="116"/>
    </row>
    <row r="6361" spans="1:5" x14ac:dyDescent="0.25">
      <c r="A6361" s="83"/>
      <c r="B6361" s="84"/>
      <c r="C6361" s="84"/>
      <c r="D6361" s="116"/>
      <c r="E6361" s="116"/>
    </row>
    <row r="6362" spans="1:5" x14ac:dyDescent="0.25">
      <c r="A6362" s="83"/>
      <c r="B6362" s="84"/>
      <c r="C6362" s="84"/>
      <c r="D6362" s="116"/>
      <c r="E6362" s="116"/>
    </row>
    <row r="6363" spans="1:5" x14ac:dyDescent="0.25">
      <c r="A6363" s="83"/>
      <c r="B6363" s="84"/>
      <c r="C6363" s="84"/>
      <c r="D6363" s="116"/>
      <c r="E6363" s="116"/>
    </row>
    <row r="6364" spans="1:5" x14ac:dyDescent="0.25">
      <c r="A6364" s="83"/>
      <c r="B6364" s="84"/>
      <c r="C6364" s="84"/>
      <c r="D6364" s="116"/>
      <c r="E6364" s="116"/>
    </row>
    <row r="6365" spans="1:5" x14ac:dyDescent="0.25">
      <c r="A6365" s="83"/>
      <c r="B6365" s="84"/>
      <c r="C6365" s="84"/>
      <c r="D6365" s="116"/>
      <c r="E6365" s="116"/>
    </row>
    <row r="6366" spans="1:5" x14ac:dyDescent="0.25">
      <c r="A6366" s="83"/>
      <c r="B6366" s="84"/>
      <c r="C6366" s="84"/>
      <c r="D6366" s="116"/>
      <c r="E6366" s="116"/>
    </row>
    <row r="6367" spans="1:5" x14ac:dyDescent="0.25">
      <c r="A6367" s="83"/>
      <c r="B6367" s="84"/>
      <c r="C6367" s="84"/>
      <c r="D6367" s="116"/>
      <c r="E6367" s="116"/>
    </row>
    <row r="6368" spans="1:5" x14ac:dyDescent="0.25">
      <c r="A6368" s="83"/>
      <c r="B6368" s="84"/>
      <c r="C6368" s="84"/>
      <c r="D6368" s="116"/>
      <c r="E6368" s="116"/>
    </row>
    <row r="6369" spans="1:5" x14ac:dyDescent="0.25">
      <c r="A6369" s="83"/>
      <c r="B6369" s="84"/>
      <c r="C6369" s="84"/>
      <c r="D6369" s="116"/>
      <c r="E6369" s="116"/>
    </row>
    <row r="6370" spans="1:5" x14ac:dyDescent="0.25">
      <c r="A6370" s="83"/>
      <c r="B6370" s="84"/>
      <c r="C6370" s="84"/>
      <c r="D6370" s="116"/>
      <c r="E6370" s="116"/>
    </row>
    <row r="6371" spans="1:5" x14ac:dyDescent="0.25">
      <c r="A6371" s="83"/>
      <c r="B6371" s="84"/>
      <c r="C6371" s="84"/>
      <c r="D6371" s="116"/>
      <c r="E6371" s="116"/>
    </row>
    <row r="6372" spans="1:5" x14ac:dyDescent="0.25">
      <c r="A6372" s="83"/>
      <c r="B6372" s="84"/>
      <c r="C6372" s="84"/>
      <c r="D6372" s="116"/>
      <c r="E6372" s="116"/>
    </row>
    <row r="6373" spans="1:5" x14ac:dyDescent="0.25">
      <c r="A6373" s="83"/>
      <c r="B6373" s="84"/>
      <c r="C6373" s="84"/>
      <c r="D6373" s="116"/>
      <c r="E6373" s="116"/>
    </row>
    <row r="6374" spans="1:5" x14ac:dyDescent="0.25">
      <c r="A6374" s="83"/>
      <c r="B6374" s="84"/>
      <c r="C6374" s="84"/>
      <c r="D6374" s="116"/>
      <c r="E6374" s="116"/>
    </row>
    <row r="6375" spans="1:5" x14ac:dyDescent="0.25">
      <c r="A6375" s="83"/>
      <c r="B6375" s="84"/>
      <c r="C6375" s="84"/>
      <c r="D6375" s="116"/>
      <c r="E6375" s="116"/>
    </row>
    <row r="6376" spans="1:5" x14ac:dyDescent="0.25">
      <c r="A6376" s="83"/>
      <c r="B6376" s="84"/>
      <c r="C6376" s="84"/>
      <c r="D6376" s="116"/>
      <c r="E6376" s="116"/>
    </row>
    <row r="6377" spans="1:5" x14ac:dyDescent="0.25">
      <c r="A6377" s="83"/>
      <c r="B6377" s="84"/>
      <c r="C6377" s="84"/>
      <c r="D6377" s="116"/>
      <c r="E6377" s="116"/>
    </row>
    <row r="6378" spans="1:5" x14ac:dyDescent="0.25">
      <c r="A6378" s="83"/>
      <c r="B6378" s="84"/>
      <c r="C6378" s="84"/>
      <c r="D6378" s="116"/>
      <c r="E6378" s="116"/>
    </row>
    <row r="6379" spans="1:5" x14ac:dyDescent="0.25">
      <c r="A6379" s="83"/>
      <c r="B6379" s="84"/>
      <c r="C6379" s="84"/>
      <c r="D6379" s="116"/>
      <c r="E6379" s="116"/>
    </row>
    <row r="6380" spans="1:5" x14ac:dyDescent="0.25">
      <c r="A6380" s="83"/>
      <c r="B6380" s="84"/>
      <c r="C6380" s="84"/>
      <c r="D6380" s="116"/>
      <c r="E6380" s="116"/>
    </row>
    <row r="6381" spans="1:5" x14ac:dyDescent="0.25">
      <c r="A6381" s="83"/>
      <c r="B6381" s="84"/>
      <c r="C6381" s="84"/>
      <c r="D6381" s="116"/>
      <c r="E6381" s="116"/>
    </row>
    <row r="6382" spans="1:5" x14ac:dyDescent="0.25">
      <c r="A6382" s="83"/>
      <c r="B6382" s="84"/>
      <c r="C6382" s="84"/>
      <c r="D6382" s="116"/>
      <c r="E6382" s="116"/>
    </row>
    <row r="6383" spans="1:5" x14ac:dyDescent="0.25">
      <c r="A6383" s="83"/>
      <c r="B6383" s="84"/>
      <c r="C6383" s="84"/>
      <c r="D6383" s="116"/>
      <c r="E6383" s="116"/>
    </row>
    <row r="6384" spans="1:5" x14ac:dyDescent="0.25">
      <c r="A6384" s="83"/>
      <c r="B6384" s="84"/>
      <c r="C6384" s="84"/>
      <c r="D6384" s="116"/>
      <c r="E6384" s="116"/>
    </row>
    <row r="6385" spans="1:5" x14ac:dyDescent="0.25">
      <c r="A6385" s="83"/>
      <c r="B6385" s="84"/>
      <c r="C6385" s="84"/>
      <c r="D6385" s="116"/>
      <c r="E6385" s="116"/>
    </row>
    <row r="6386" spans="1:5" x14ac:dyDescent="0.25">
      <c r="A6386" s="83"/>
      <c r="B6386" s="84"/>
      <c r="C6386" s="84"/>
      <c r="D6386" s="116"/>
      <c r="E6386" s="116"/>
    </row>
    <row r="6387" spans="1:5" x14ac:dyDescent="0.25">
      <c r="A6387" s="83"/>
      <c r="B6387" s="84"/>
      <c r="C6387" s="84"/>
      <c r="D6387" s="116"/>
      <c r="E6387" s="116"/>
    </row>
    <row r="6388" spans="1:5" x14ac:dyDescent="0.25">
      <c r="A6388" s="83"/>
      <c r="B6388" s="84"/>
      <c r="C6388" s="84"/>
      <c r="D6388" s="116"/>
      <c r="E6388" s="116"/>
    </row>
    <row r="6389" spans="1:5" x14ac:dyDescent="0.25">
      <c r="A6389" s="83"/>
      <c r="B6389" s="84"/>
      <c r="C6389" s="84"/>
      <c r="D6389" s="116"/>
      <c r="E6389" s="116"/>
    </row>
    <row r="6390" spans="1:5" x14ac:dyDescent="0.25">
      <c r="A6390" s="83"/>
      <c r="B6390" s="84"/>
      <c r="C6390" s="84"/>
      <c r="D6390" s="116"/>
      <c r="E6390" s="116"/>
    </row>
    <row r="6391" spans="1:5" x14ac:dyDescent="0.25">
      <c r="A6391" s="83"/>
      <c r="B6391" s="84"/>
      <c r="C6391" s="84"/>
      <c r="D6391" s="116"/>
      <c r="E6391" s="116"/>
    </row>
    <row r="6392" spans="1:5" x14ac:dyDescent="0.25">
      <c r="A6392" s="83"/>
      <c r="B6392" s="84"/>
      <c r="C6392" s="84"/>
      <c r="D6392" s="116"/>
      <c r="E6392" s="116"/>
    </row>
    <row r="6393" spans="1:5" x14ac:dyDescent="0.25">
      <c r="A6393" s="83"/>
      <c r="B6393" s="84"/>
      <c r="C6393" s="84"/>
      <c r="D6393" s="116"/>
      <c r="E6393" s="116"/>
    </row>
    <row r="6394" spans="1:5" x14ac:dyDescent="0.25">
      <c r="A6394" s="83"/>
      <c r="B6394" s="84"/>
      <c r="C6394" s="84"/>
      <c r="D6394" s="116"/>
      <c r="E6394" s="116"/>
    </row>
    <row r="6395" spans="1:5" x14ac:dyDescent="0.25">
      <c r="A6395" s="83"/>
      <c r="B6395" s="84"/>
      <c r="C6395" s="84"/>
      <c r="D6395" s="116"/>
      <c r="E6395" s="116"/>
    </row>
    <row r="6396" spans="1:5" x14ac:dyDescent="0.25">
      <c r="A6396" s="83"/>
      <c r="B6396" s="84"/>
      <c r="C6396" s="84"/>
      <c r="D6396" s="116"/>
      <c r="E6396" s="116"/>
    </row>
    <row r="6397" spans="1:5" x14ac:dyDescent="0.25">
      <c r="A6397" s="83"/>
      <c r="B6397" s="84"/>
      <c r="C6397" s="84"/>
      <c r="D6397" s="116"/>
      <c r="E6397" s="116"/>
    </row>
    <row r="6398" spans="1:5" x14ac:dyDescent="0.25">
      <c r="A6398" s="83"/>
      <c r="B6398" s="84"/>
      <c r="C6398" s="84"/>
      <c r="D6398" s="116"/>
      <c r="E6398" s="116"/>
    </row>
    <row r="6399" spans="1:5" x14ac:dyDescent="0.25">
      <c r="A6399" s="83"/>
      <c r="B6399" s="84"/>
      <c r="C6399" s="84"/>
      <c r="D6399" s="116"/>
      <c r="E6399" s="116"/>
    </row>
    <row r="6400" spans="1:5" x14ac:dyDescent="0.25">
      <c r="A6400" s="83"/>
      <c r="B6400" s="84"/>
      <c r="C6400" s="84"/>
      <c r="D6400" s="116"/>
      <c r="E6400" s="116"/>
    </row>
    <row r="6401" spans="1:5" x14ac:dyDescent="0.25">
      <c r="A6401" s="83"/>
      <c r="B6401" s="84"/>
      <c r="C6401" s="84"/>
      <c r="D6401" s="116"/>
      <c r="E6401" s="116"/>
    </row>
    <row r="6402" spans="1:5" x14ac:dyDescent="0.25">
      <c r="A6402" s="83"/>
      <c r="B6402" s="84"/>
      <c r="C6402" s="84"/>
      <c r="D6402" s="116"/>
      <c r="E6402" s="116"/>
    </row>
    <row r="6403" spans="1:5" x14ac:dyDescent="0.25">
      <c r="A6403" s="83"/>
      <c r="B6403" s="84"/>
      <c r="C6403" s="84"/>
      <c r="D6403" s="116"/>
      <c r="E6403" s="116"/>
    </row>
    <row r="6404" spans="1:5" x14ac:dyDescent="0.25">
      <c r="A6404" s="83"/>
      <c r="B6404" s="84"/>
      <c r="C6404" s="84"/>
      <c r="D6404" s="116"/>
      <c r="E6404" s="116"/>
    </row>
    <row r="6405" spans="1:5" x14ac:dyDescent="0.25">
      <c r="A6405" s="83"/>
      <c r="B6405" s="84"/>
      <c r="C6405" s="84"/>
      <c r="D6405" s="116"/>
      <c r="E6405" s="116"/>
    </row>
    <row r="6406" spans="1:5" x14ac:dyDescent="0.25">
      <c r="A6406" s="83"/>
      <c r="B6406" s="84"/>
      <c r="C6406" s="84"/>
      <c r="D6406" s="116"/>
      <c r="E6406" s="116"/>
    </row>
    <row r="6407" spans="1:5" x14ac:dyDescent="0.25">
      <c r="A6407" s="83"/>
      <c r="B6407" s="84"/>
      <c r="C6407" s="84"/>
      <c r="D6407" s="116"/>
      <c r="E6407" s="116"/>
    </row>
    <row r="6408" spans="1:5" x14ac:dyDescent="0.25">
      <c r="A6408" s="83"/>
      <c r="B6408" s="84"/>
      <c r="C6408" s="84"/>
      <c r="D6408" s="116"/>
      <c r="E6408" s="116"/>
    </row>
    <row r="6409" spans="1:5" x14ac:dyDescent="0.25">
      <c r="A6409" s="83"/>
      <c r="B6409" s="84"/>
      <c r="C6409" s="84"/>
      <c r="D6409" s="116"/>
      <c r="E6409" s="116"/>
    </row>
    <row r="6410" spans="1:5" x14ac:dyDescent="0.25">
      <c r="A6410" s="83"/>
      <c r="B6410" s="84"/>
      <c r="C6410" s="84"/>
      <c r="D6410" s="116"/>
      <c r="E6410" s="116"/>
    </row>
    <row r="6411" spans="1:5" x14ac:dyDescent="0.25">
      <c r="A6411" s="83"/>
      <c r="B6411" s="84"/>
      <c r="C6411" s="84"/>
      <c r="D6411" s="116"/>
      <c r="E6411" s="116"/>
    </row>
    <row r="6412" spans="1:5" x14ac:dyDescent="0.25">
      <c r="A6412" s="83"/>
      <c r="B6412" s="84"/>
      <c r="C6412" s="84"/>
      <c r="D6412" s="116"/>
      <c r="E6412" s="116"/>
    </row>
    <row r="6413" spans="1:5" x14ac:dyDescent="0.25">
      <c r="A6413" s="83"/>
      <c r="B6413" s="84"/>
      <c r="C6413" s="84"/>
      <c r="D6413" s="116"/>
      <c r="E6413" s="116"/>
    </row>
    <row r="6414" spans="1:5" x14ac:dyDescent="0.25">
      <c r="A6414" s="83"/>
      <c r="B6414" s="84"/>
      <c r="C6414" s="84"/>
      <c r="D6414" s="116"/>
      <c r="E6414" s="116"/>
    </row>
    <row r="6415" spans="1:5" x14ac:dyDescent="0.25">
      <c r="A6415" s="83"/>
      <c r="B6415" s="84"/>
      <c r="C6415" s="84"/>
      <c r="D6415" s="116"/>
      <c r="E6415" s="116"/>
    </row>
    <row r="6416" spans="1:5" x14ac:dyDescent="0.25">
      <c r="A6416" s="83"/>
      <c r="B6416" s="84"/>
      <c r="C6416" s="84"/>
      <c r="D6416" s="116"/>
      <c r="E6416" s="116"/>
    </row>
    <row r="6417" spans="1:5" x14ac:dyDescent="0.25">
      <c r="A6417" s="83"/>
      <c r="B6417" s="84"/>
      <c r="C6417" s="84"/>
      <c r="D6417" s="116"/>
      <c r="E6417" s="116"/>
    </row>
    <row r="6418" spans="1:5" x14ac:dyDescent="0.25">
      <c r="A6418" s="83"/>
      <c r="B6418" s="84"/>
      <c r="C6418" s="84"/>
      <c r="D6418" s="116"/>
      <c r="E6418" s="116"/>
    </row>
    <row r="6419" spans="1:5" x14ac:dyDescent="0.25">
      <c r="A6419" s="83"/>
      <c r="B6419" s="84"/>
      <c r="C6419" s="84"/>
      <c r="D6419" s="116"/>
      <c r="E6419" s="116"/>
    </row>
    <row r="6420" spans="1:5" x14ac:dyDescent="0.25">
      <c r="A6420" s="83"/>
      <c r="B6420" s="84"/>
      <c r="C6420" s="84"/>
      <c r="D6420" s="116"/>
      <c r="E6420" s="116"/>
    </row>
    <row r="6421" spans="1:5" x14ac:dyDescent="0.25">
      <c r="A6421" s="83"/>
      <c r="B6421" s="84"/>
      <c r="C6421" s="84"/>
      <c r="D6421" s="116"/>
      <c r="E6421" s="116"/>
    </row>
    <row r="6422" spans="1:5" x14ac:dyDescent="0.25">
      <c r="A6422" s="83"/>
      <c r="B6422" s="84"/>
      <c r="C6422" s="84"/>
      <c r="D6422" s="116"/>
      <c r="E6422" s="116"/>
    </row>
    <row r="6423" spans="1:5" x14ac:dyDescent="0.25">
      <c r="A6423" s="83"/>
      <c r="B6423" s="84"/>
      <c r="C6423" s="84"/>
      <c r="D6423" s="116"/>
      <c r="E6423" s="116"/>
    </row>
    <row r="6424" spans="1:5" x14ac:dyDescent="0.25">
      <c r="A6424" s="83"/>
      <c r="B6424" s="84"/>
      <c r="C6424" s="84"/>
      <c r="D6424" s="116"/>
      <c r="E6424" s="116"/>
    </row>
    <row r="6425" spans="1:5" x14ac:dyDescent="0.25">
      <c r="A6425" s="83"/>
      <c r="B6425" s="84"/>
      <c r="C6425" s="84"/>
      <c r="D6425" s="116"/>
      <c r="E6425" s="116"/>
    </row>
    <row r="6426" spans="1:5" x14ac:dyDescent="0.25">
      <c r="A6426" s="83"/>
      <c r="B6426" s="84"/>
      <c r="C6426" s="84"/>
      <c r="D6426" s="116"/>
      <c r="E6426" s="116"/>
    </row>
    <row r="6427" spans="1:5" x14ac:dyDescent="0.25">
      <c r="A6427" s="83"/>
      <c r="B6427" s="84"/>
      <c r="C6427" s="84"/>
      <c r="D6427" s="116"/>
      <c r="E6427" s="116"/>
    </row>
    <row r="6428" spans="1:5" x14ac:dyDescent="0.25">
      <c r="A6428" s="83"/>
      <c r="B6428" s="84"/>
      <c r="C6428" s="84"/>
      <c r="D6428" s="116"/>
      <c r="E6428" s="116"/>
    </row>
    <row r="6429" spans="1:5" x14ac:dyDescent="0.25">
      <c r="A6429" s="83"/>
      <c r="B6429" s="84"/>
      <c r="C6429" s="84"/>
      <c r="D6429" s="116"/>
      <c r="E6429" s="116"/>
    </row>
    <row r="6430" spans="1:5" x14ac:dyDescent="0.25">
      <c r="A6430" s="83"/>
      <c r="B6430" s="84"/>
      <c r="C6430" s="84"/>
      <c r="D6430" s="116"/>
      <c r="E6430" s="116"/>
    </row>
    <row r="6431" spans="1:5" x14ac:dyDescent="0.25">
      <c r="A6431" s="83"/>
      <c r="B6431" s="84"/>
      <c r="C6431" s="84"/>
      <c r="D6431" s="116"/>
      <c r="E6431" s="116"/>
    </row>
    <row r="6432" spans="1:5" x14ac:dyDescent="0.25">
      <c r="A6432" s="83"/>
      <c r="B6432" s="84"/>
      <c r="C6432" s="84"/>
      <c r="D6432" s="116"/>
      <c r="E6432" s="116"/>
    </row>
    <row r="6433" spans="1:5" x14ac:dyDescent="0.25">
      <c r="A6433" s="83"/>
      <c r="B6433" s="84"/>
      <c r="C6433" s="84"/>
      <c r="D6433" s="116"/>
      <c r="E6433" s="116"/>
    </row>
    <row r="6434" spans="1:5" x14ac:dyDescent="0.25">
      <c r="A6434" s="83"/>
      <c r="B6434" s="84"/>
      <c r="C6434" s="84"/>
      <c r="D6434" s="116"/>
      <c r="E6434" s="116"/>
    </row>
    <row r="6435" spans="1:5" x14ac:dyDescent="0.25">
      <c r="A6435" s="83"/>
      <c r="B6435" s="84"/>
      <c r="C6435" s="84"/>
      <c r="D6435" s="116"/>
      <c r="E6435" s="116"/>
    </row>
    <row r="6436" spans="1:5" x14ac:dyDescent="0.25">
      <c r="A6436" s="83"/>
      <c r="B6436" s="84"/>
      <c r="C6436" s="84"/>
      <c r="D6436" s="116"/>
      <c r="E6436" s="116"/>
    </row>
    <row r="6437" spans="1:5" x14ac:dyDescent="0.25">
      <c r="A6437" s="83"/>
      <c r="B6437" s="84"/>
      <c r="C6437" s="84"/>
      <c r="D6437" s="116"/>
      <c r="E6437" s="116"/>
    </row>
    <row r="6438" spans="1:5" x14ac:dyDescent="0.25">
      <c r="A6438" s="83"/>
      <c r="B6438" s="84"/>
      <c r="C6438" s="84"/>
      <c r="D6438" s="116"/>
      <c r="E6438" s="116"/>
    </row>
    <row r="6439" spans="1:5" x14ac:dyDescent="0.25">
      <c r="A6439" s="83"/>
      <c r="B6439" s="84"/>
      <c r="C6439" s="84"/>
      <c r="D6439" s="116"/>
      <c r="E6439" s="116"/>
    </row>
    <row r="6440" spans="1:5" x14ac:dyDescent="0.25">
      <c r="A6440" s="83"/>
      <c r="B6440" s="84"/>
      <c r="C6440" s="84"/>
      <c r="D6440" s="116"/>
      <c r="E6440" s="116"/>
    </row>
    <row r="6441" spans="1:5" x14ac:dyDescent="0.25">
      <c r="A6441" s="83"/>
      <c r="B6441" s="84"/>
      <c r="C6441" s="84"/>
      <c r="D6441" s="116"/>
      <c r="E6441" s="116"/>
    </row>
    <row r="6442" spans="1:5" x14ac:dyDescent="0.25">
      <c r="A6442" s="83"/>
      <c r="B6442" s="84"/>
      <c r="C6442" s="84"/>
      <c r="D6442" s="116"/>
      <c r="E6442" s="116"/>
    </row>
    <row r="6443" spans="1:5" x14ac:dyDescent="0.25">
      <c r="A6443" s="83"/>
      <c r="B6443" s="84"/>
      <c r="C6443" s="84"/>
      <c r="D6443" s="116"/>
      <c r="E6443" s="116"/>
    </row>
    <row r="6444" spans="1:5" x14ac:dyDescent="0.25">
      <c r="A6444" s="83"/>
      <c r="B6444" s="84"/>
      <c r="C6444" s="84"/>
      <c r="D6444" s="116"/>
      <c r="E6444" s="116"/>
    </row>
    <row r="6445" spans="1:5" x14ac:dyDescent="0.25">
      <c r="A6445" s="83"/>
      <c r="B6445" s="84"/>
      <c r="C6445" s="84"/>
      <c r="D6445" s="116"/>
      <c r="E6445" s="116"/>
    </row>
    <row r="6446" spans="1:5" x14ac:dyDescent="0.25">
      <c r="A6446" s="83"/>
      <c r="B6446" s="84"/>
      <c r="C6446" s="84"/>
      <c r="D6446" s="116"/>
      <c r="E6446" s="116"/>
    </row>
    <row r="6447" spans="1:5" x14ac:dyDescent="0.25">
      <c r="A6447" s="83"/>
      <c r="B6447" s="84"/>
      <c r="C6447" s="84"/>
      <c r="D6447" s="116"/>
      <c r="E6447" s="116"/>
    </row>
    <row r="6448" spans="1:5" x14ac:dyDescent="0.25">
      <c r="A6448" s="83"/>
      <c r="B6448" s="84"/>
      <c r="C6448" s="84"/>
      <c r="D6448" s="116"/>
      <c r="E6448" s="116"/>
    </row>
    <row r="6449" spans="1:5" x14ac:dyDescent="0.25">
      <c r="A6449" s="83"/>
      <c r="B6449" s="84"/>
      <c r="C6449" s="84"/>
      <c r="D6449" s="116"/>
      <c r="E6449" s="116"/>
    </row>
    <row r="6450" spans="1:5" x14ac:dyDescent="0.25">
      <c r="A6450" s="83"/>
      <c r="B6450" s="84"/>
      <c r="C6450" s="84"/>
      <c r="D6450" s="116"/>
      <c r="E6450" s="116"/>
    </row>
    <row r="6451" spans="1:5" x14ac:dyDescent="0.25">
      <c r="A6451" s="83"/>
      <c r="B6451" s="84"/>
      <c r="C6451" s="84"/>
      <c r="D6451" s="116"/>
      <c r="E6451" s="116"/>
    </row>
    <row r="6452" spans="1:5" x14ac:dyDescent="0.25">
      <c r="A6452" s="83"/>
      <c r="B6452" s="84"/>
      <c r="C6452" s="84"/>
      <c r="D6452" s="116"/>
      <c r="E6452" s="116"/>
    </row>
    <row r="6453" spans="1:5" x14ac:dyDescent="0.25">
      <c r="A6453" s="83"/>
      <c r="B6453" s="84"/>
      <c r="C6453" s="84"/>
      <c r="D6453" s="116"/>
      <c r="E6453" s="116"/>
    </row>
    <row r="6454" spans="1:5" x14ac:dyDescent="0.25">
      <c r="A6454" s="83"/>
      <c r="B6454" s="84"/>
      <c r="C6454" s="84"/>
      <c r="D6454" s="116"/>
      <c r="E6454" s="116"/>
    </row>
    <row r="6455" spans="1:5" x14ac:dyDescent="0.25">
      <c r="A6455" s="83"/>
      <c r="B6455" s="84"/>
      <c r="C6455" s="84"/>
      <c r="D6455" s="116"/>
      <c r="E6455" s="116"/>
    </row>
    <row r="6456" spans="1:5" x14ac:dyDescent="0.25">
      <c r="A6456" s="83"/>
      <c r="B6456" s="84"/>
      <c r="C6456" s="84"/>
      <c r="D6456" s="116"/>
      <c r="E6456" s="116"/>
    </row>
    <row r="6457" spans="1:5" x14ac:dyDescent="0.25">
      <c r="A6457" s="83"/>
      <c r="B6457" s="84"/>
      <c r="C6457" s="84"/>
      <c r="D6457" s="116"/>
      <c r="E6457" s="116"/>
    </row>
    <row r="6458" spans="1:5" x14ac:dyDescent="0.25">
      <c r="A6458" s="83"/>
      <c r="B6458" s="84"/>
      <c r="C6458" s="84"/>
      <c r="D6458" s="116"/>
      <c r="E6458" s="116"/>
    </row>
    <row r="6459" spans="1:5" x14ac:dyDescent="0.25">
      <c r="A6459" s="83"/>
      <c r="B6459" s="84"/>
      <c r="C6459" s="84"/>
      <c r="D6459" s="116"/>
      <c r="E6459" s="116"/>
    </row>
    <row r="6460" spans="1:5" x14ac:dyDescent="0.25">
      <c r="A6460" s="83"/>
      <c r="B6460" s="84"/>
      <c r="C6460" s="84"/>
      <c r="D6460" s="116"/>
      <c r="E6460" s="116"/>
    </row>
    <row r="6461" spans="1:5" x14ac:dyDescent="0.25">
      <c r="A6461" s="83"/>
      <c r="B6461" s="84"/>
      <c r="C6461" s="84"/>
      <c r="D6461" s="116"/>
      <c r="E6461" s="116"/>
    </row>
    <row r="6462" spans="1:5" x14ac:dyDescent="0.25">
      <c r="A6462" s="83"/>
      <c r="B6462" s="84"/>
      <c r="C6462" s="84"/>
      <c r="D6462" s="116"/>
      <c r="E6462" s="116"/>
    </row>
    <row r="6463" spans="1:5" x14ac:dyDescent="0.25">
      <c r="A6463" s="83"/>
      <c r="B6463" s="84"/>
      <c r="C6463" s="84"/>
      <c r="D6463" s="116"/>
      <c r="E6463" s="116"/>
    </row>
    <row r="6464" spans="1:5" x14ac:dyDescent="0.25">
      <c r="A6464" s="83"/>
      <c r="B6464" s="84"/>
      <c r="C6464" s="84"/>
      <c r="D6464" s="116"/>
      <c r="E6464" s="116"/>
    </row>
    <row r="6465" spans="1:5" x14ac:dyDescent="0.25">
      <c r="A6465" s="83"/>
      <c r="B6465" s="84"/>
      <c r="C6465" s="84"/>
      <c r="D6465" s="116"/>
      <c r="E6465" s="116"/>
    </row>
    <row r="6466" spans="1:5" x14ac:dyDescent="0.25">
      <c r="A6466" s="83"/>
      <c r="B6466" s="84"/>
      <c r="C6466" s="84"/>
      <c r="D6466" s="116"/>
      <c r="E6466" s="116"/>
    </row>
    <row r="6467" spans="1:5" x14ac:dyDescent="0.25">
      <c r="A6467" s="83"/>
      <c r="B6467" s="84"/>
      <c r="C6467" s="84"/>
      <c r="D6467" s="116"/>
      <c r="E6467" s="116"/>
    </row>
    <row r="6468" spans="1:5" x14ac:dyDescent="0.25">
      <c r="A6468" s="83"/>
      <c r="B6468" s="84"/>
      <c r="C6468" s="84"/>
      <c r="D6468" s="116"/>
      <c r="E6468" s="116"/>
    </row>
    <row r="6469" spans="1:5" x14ac:dyDescent="0.25">
      <c r="A6469" s="83"/>
      <c r="B6469" s="84"/>
      <c r="C6469" s="84"/>
      <c r="D6469" s="116"/>
      <c r="E6469" s="116"/>
    </row>
    <row r="6470" spans="1:5" x14ac:dyDescent="0.25">
      <c r="A6470" s="83"/>
      <c r="B6470" s="84"/>
      <c r="C6470" s="84"/>
      <c r="D6470" s="116"/>
      <c r="E6470" s="116"/>
    </row>
    <row r="6471" spans="1:5" x14ac:dyDescent="0.25">
      <c r="A6471" s="83"/>
      <c r="B6471" s="84"/>
      <c r="C6471" s="84"/>
      <c r="D6471" s="116"/>
      <c r="E6471" s="116"/>
    </row>
    <row r="6472" spans="1:5" x14ac:dyDescent="0.25">
      <c r="A6472" s="83"/>
      <c r="B6472" s="84"/>
      <c r="C6472" s="84"/>
      <c r="D6472" s="116"/>
      <c r="E6472" s="116"/>
    </row>
    <row r="6473" spans="1:5" x14ac:dyDescent="0.25">
      <c r="A6473" s="83"/>
      <c r="B6473" s="84"/>
      <c r="C6473" s="84"/>
      <c r="D6473" s="116"/>
      <c r="E6473" s="116"/>
    </row>
    <row r="6474" spans="1:5" x14ac:dyDescent="0.25">
      <c r="A6474" s="83"/>
      <c r="B6474" s="84"/>
      <c r="C6474" s="84"/>
      <c r="D6474" s="116"/>
      <c r="E6474" s="116"/>
    </row>
    <row r="6475" spans="1:5" x14ac:dyDescent="0.25">
      <c r="A6475" s="83"/>
      <c r="B6475" s="84"/>
      <c r="C6475" s="84"/>
      <c r="D6475" s="116"/>
      <c r="E6475" s="116"/>
    </row>
    <row r="6476" spans="1:5" x14ac:dyDescent="0.25">
      <c r="A6476" s="83"/>
      <c r="B6476" s="84"/>
      <c r="C6476" s="84"/>
      <c r="D6476" s="116"/>
      <c r="E6476" s="116"/>
    </row>
    <row r="6477" spans="1:5" x14ac:dyDescent="0.25">
      <c r="A6477" s="83"/>
      <c r="B6477" s="84"/>
      <c r="C6477" s="84"/>
      <c r="D6477" s="116"/>
      <c r="E6477" s="116"/>
    </row>
    <row r="6478" spans="1:5" x14ac:dyDescent="0.25">
      <c r="A6478" s="83"/>
      <c r="B6478" s="84"/>
      <c r="C6478" s="84"/>
      <c r="D6478" s="116"/>
      <c r="E6478" s="116"/>
    </row>
    <row r="6479" spans="1:5" x14ac:dyDescent="0.25">
      <c r="A6479" s="83"/>
      <c r="B6479" s="84"/>
      <c r="C6479" s="84"/>
      <c r="D6479" s="116"/>
      <c r="E6479" s="116"/>
    </row>
    <row r="6480" spans="1:5" x14ac:dyDescent="0.25">
      <c r="A6480" s="83"/>
      <c r="B6480" s="84"/>
      <c r="C6480" s="84"/>
      <c r="D6480" s="116"/>
      <c r="E6480" s="116"/>
    </row>
    <row r="6481" spans="1:5" x14ac:dyDescent="0.25">
      <c r="A6481" s="83"/>
      <c r="B6481" s="84"/>
      <c r="C6481" s="84"/>
      <c r="D6481" s="116"/>
      <c r="E6481" s="116"/>
    </row>
    <row r="6482" spans="1:5" x14ac:dyDescent="0.25">
      <c r="A6482" s="83"/>
      <c r="B6482" s="84"/>
      <c r="C6482" s="84"/>
      <c r="D6482" s="116"/>
      <c r="E6482" s="116"/>
    </row>
    <row r="6483" spans="1:5" x14ac:dyDescent="0.25">
      <c r="A6483" s="83"/>
      <c r="B6483" s="84"/>
      <c r="C6483" s="84"/>
      <c r="D6483" s="116"/>
      <c r="E6483" s="116"/>
    </row>
    <row r="6484" spans="1:5" x14ac:dyDescent="0.25">
      <c r="A6484" s="83"/>
      <c r="B6484" s="84"/>
      <c r="C6484" s="84"/>
      <c r="D6484" s="116"/>
      <c r="E6484" s="116"/>
    </row>
    <row r="6485" spans="1:5" x14ac:dyDescent="0.25">
      <c r="A6485" s="83"/>
      <c r="B6485" s="84"/>
      <c r="C6485" s="84"/>
      <c r="D6485" s="116"/>
      <c r="E6485" s="116"/>
    </row>
    <row r="6486" spans="1:5" x14ac:dyDescent="0.25">
      <c r="A6486" s="83"/>
      <c r="B6486" s="84"/>
      <c r="C6486" s="84"/>
      <c r="D6486" s="116"/>
      <c r="E6486" s="116"/>
    </row>
    <row r="6487" spans="1:5" x14ac:dyDescent="0.25">
      <c r="A6487" s="83"/>
      <c r="B6487" s="84"/>
      <c r="C6487" s="84"/>
      <c r="D6487" s="116"/>
      <c r="E6487" s="116"/>
    </row>
    <row r="6488" spans="1:5" x14ac:dyDescent="0.25">
      <c r="A6488" s="83"/>
      <c r="B6488" s="84"/>
      <c r="C6488" s="84"/>
      <c r="D6488" s="116"/>
      <c r="E6488" s="116"/>
    </row>
    <row r="6489" spans="1:5" x14ac:dyDescent="0.25">
      <c r="A6489" s="83"/>
      <c r="B6489" s="84"/>
      <c r="C6489" s="84"/>
      <c r="D6489" s="116"/>
      <c r="E6489" s="116"/>
    </row>
    <row r="6490" spans="1:5" x14ac:dyDescent="0.25">
      <c r="A6490" s="83"/>
      <c r="B6490" s="84"/>
      <c r="C6490" s="84"/>
      <c r="D6490" s="116"/>
      <c r="E6490" s="116"/>
    </row>
    <row r="6491" spans="1:5" x14ac:dyDescent="0.25">
      <c r="A6491" s="83"/>
      <c r="B6491" s="84"/>
      <c r="C6491" s="84"/>
      <c r="D6491" s="116"/>
      <c r="E6491" s="116"/>
    </row>
    <row r="6492" spans="1:5" x14ac:dyDescent="0.25">
      <c r="A6492" s="83"/>
      <c r="B6492" s="84"/>
      <c r="C6492" s="84"/>
      <c r="D6492" s="116"/>
      <c r="E6492" s="116"/>
    </row>
    <row r="6493" spans="1:5" x14ac:dyDescent="0.25">
      <c r="A6493" s="83"/>
      <c r="B6493" s="84"/>
      <c r="C6493" s="84"/>
      <c r="D6493" s="116"/>
      <c r="E6493" s="116"/>
    </row>
    <row r="6494" spans="1:5" x14ac:dyDescent="0.25">
      <c r="A6494" s="83"/>
      <c r="B6494" s="84"/>
      <c r="C6494" s="84"/>
      <c r="D6494" s="116"/>
      <c r="E6494" s="116"/>
    </row>
    <row r="6495" spans="1:5" x14ac:dyDescent="0.25">
      <c r="A6495" s="83"/>
      <c r="B6495" s="84"/>
      <c r="C6495" s="84"/>
      <c r="D6495" s="116"/>
      <c r="E6495" s="116"/>
    </row>
    <row r="6496" spans="1:5" x14ac:dyDescent="0.25">
      <c r="A6496" s="83"/>
      <c r="B6496" s="84"/>
      <c r="C6496" s="84"/>
      <c r="D6496" s="116"/>
      <c r="E6496" s="116"/>
    </row>
    <row r="6497" spans="1:5" x14ac:dyDescent="0.25">
      <c r="A6497" s="83"/>
      <c r="B6497" s="84"/>
      <c r="C6497" s="84"/>
      <c r="D6497" s="116"/>
      <c r="E6497" s="116"/>
    </row>
    <row r="6498" spans="1:5" x14ac:dyDescent="0.25">
      <c r="A6498" s="83"/>
      <c r="B6498" s="84"/>
      <c r="C6498" s="84"/>
      <c r="D6498" s="116"/>
      <c r="E6498" s="116"/>
    </row>
    <row r="6499" spans="1:5" x14ac:dyDescent="0.25">
      <c r="A6499" s="83"/>
      <c r="B6499" s="84"/>
      <c r="C6499" s="84"/>
      <c r="D6499" s="116"/>
      <c r="E6499" s="116"/>
    </row>
    <row r="6500" spans="1:5" x14ac:dyDescent="0.25">
      <c r="A6500" s="83"/>
      <c r="B6500" s="84"/>
      <c r="C6500" s="84"/>
      <c r="D6500" s="116"/>
      <c r="E6500" s="116"/>
    </row>
    <row r="6501" spans="1:5" x14ac:dyDescent="0.25">
      <c r="A6501" s="83"/>
      <c r="B6501" s="84"/>
      <c r="C6501" s="84"/>
      <c r="D6501" s="116"/>
      <c r="E6501" s="116"/>
    </row>
    <row r="6502" spans="1:5" x14ac:dyDescent="0.25">
      <c r="A6502" s="83"/>
      <c r="B6502" s="84"/>
      <c r="C6502" s="84"/>
      <c r="D6502" s="116"/>
      <c r="E6502" s="116"/>
    </row>
    <row r="6503" spans="1:5" x14ac:dyDescent="0.25">
      <c r="A6503" s="83"/>
      <c r="B6503" s="84"/>
      <c r="C6503" s="84"/>
      <c r="D6503" s="116"/>
      <c r="E6503" s="116"/>
    </row>
    <row r="6504" spans="1:5" x14ac:dyDescent="0.25">
      <c r="A6504" s="83"/>
      <c r="B6504" s="84"/>
      <c r="C6504" s="84"/>
      <c r="D6504" s="116"/>
      <c r="E6504" s="116"/>
    </row>
    <row r="6505" spans="1:5" x14ac:dyDescent="0.25">
      <c r="A6505" s="83"/>
      <c r="B6505" s="84"/>
      <c r="C6505" s="84"/>
      <c r="D6505" s="116"/>
      <c r="E6505" s="116"/>
    </row>
    <row r="6506" spans="1:5" x14ac:dyDescent="0.25">
      <c r="A6506" s="83"/>
      <c r="B6506" s="84"/>
      <c r="C6506" s="84"/>
      <c r="D6506" s="116"/>
      <c r="E6506" s="116"/>
    </row>
    <row r="6507" spans="1:5" x14ac:dyDescent="0.25">
      <c r="A6507" s="83"/>
      <c r="B6507" s="84"/>
      <c r="C6507" s="84"/>
      <c r="D6507" s="116"/>
      <c r="E6507" s="116"/>
    </row>
    <row r="6508" spans="1:5" x14ac:dyDescent="0.25">
      <c r="A6508" s="83"/>
      <c r="B6508" s="84"/>
      <c r="C6508" s="84"/>
      <c r="D6508" s="116"/>
      <c r="E6508" s="116"/>
    </row>
    <row r="6509" spans="1:5" x14ac:dyDescent="0.25">
      <c r="A6509" s="83"/>
      <c r="B6509" s="84"/>
      <c r="C6509" s="84"/>
      <c r="D6509" s="116"/>
      <c r="E6509" s="116"/>
    </row>
    <row r="6510" spans="1:5" x14ac:dyDescent="0.25">
      <c r="A6510" s="83"/>
      <c r="B6510" s="84"/>
      <c r="C6510" s="84"/>
      <c r="D6510" s="116"/>
      <c r="E6510" s="116"/>
    </row>
    <row r="6511" spans="1:5" x14ac:dyDescent="0.25">
      <c r="A6511" s="83"/>
      <c r="B6511" s="84"/>
      <c r="C6511" s="84"/>
      <c r="D6511" s="116"/>
      <c r="E6511" s="116"/>
    </row>
    <row r="6512" spans="1:5" x14ac:dyDescent="0.25">
      <c r="A6512" s="83"/>
      <c r="B6512" s="84"/>
      <c r="C6512" s="84"/>
      <c r="D6512" s="116"/>
      <c r="E6512" s="116"/>
    </row>
    <row r="6513" spans="1:5" x14ac:dyDescent="0.25">
      <c r="A6513" s="83"/>
      <c r="B6513" s="84"/>
      <c r="C6513" s="84"/>
      <c r="D6513" s="116"/>
      <c r="E6513" s="116"/>
    </row>
    <row r="6514" spans="1:5" x14ac:dyDescent="0.25">
      <c r="A6514" s="83"/>
      <c r="B6514" s="84"/>
      <c r="C6514" s="84"/>
      <c r="D6514" s="116"/>
      <c r="E6514" s="116"/>
    </row>
    <row r="6515" spans="1:5" x14ac:dyDescent="0.25">
      <c r="A6515" s="83"/>
      <c r="B6515" s="84"/>
      <c r="C6515" s="84"/>
      <c r="D6515" s="116"/>
      <c r="E6515" s="116"/>
    </row>
    <row r="6516" spans="1:5" x14ac:dyDescent="0.25">
      <c r="A6516" s="83"/>
      <c r="B6516" s="84"/>
      <c r="C6516" s="84"/>
      <c r="D6516" s="116"/>
      <c r="E6516" s="116"/>
    </row>
    <row r="6517" spans="1:5" x14ac:dyDescent="0.25">
      <c r="A6517" s="83"/>
      <c r="B6517" s="84"/>
      <c r="C6517" s="84"/>
      <c r="D6517" s="116"/>
      <c r="E6517" s="116"/>
    </row>
    <row r="6518" spans="1:5" x14ac:dyDescent="0.25">
      <c r="A6518" s="83"/>
      <c r="B6518" s="84"/>
      <c r="C6518" s="84"/>
      <c r="D6518" s="116"/>
      <c r="E6518" s="116"/>
    </row>
    <row r="6519" spans="1:5" x14ac:dyDescent="0.25">
      <c r="A6519" s="83"/>
      <c r="B6519" s="84"/>
      <c r="C6519" s="84"/>
      <c r="D6519" s="116"/>
      <c r="E6519" s="116"/>
    </row>
    <row r="6520" spans="1:5" x14ac:dyDescent="0.25">
      <c r="A6520" s="83"/>
      <c r="B6520" s="84"/>
      <c r="C6520" s="84"/>
      <c r="D6520" s="116"/>
      <c r="E6520" s="116"/>
    </row>
    <row r="6521" spans="1:5" x14ac:dyDescent="0.25">
      <c r="A6521" s="83"/>
      <c r="B6521" s="84"/>
      <c r="C6521" s="84"/>
      <c r="D6521" s="116"/>
      <c r="E6521" s="116"/>
    </row>
    <row r="6522" spans="1:5" x14ac:dyDescent="0.25">
      <c r="A6522" s="83"/>
      <c r="B6522" s="84"/>
      <c r="C6522" s="84"/>
      <c r="D6522" s="116"/>
      <c r="E6522" s="116"/>
    </row>
    <row r="6523" spans="1:5" x14ac:dyDescent="0.25">
      <c r="A6523" s="83"/>
      <c r="B6523" s="84"/>
      <c r="C6523" s="84"/>
      <c r="D6523" s="116"/>
      <c r="E6523" s="116"/>
    </row>
    <row r="6524" spans="1:5" x14ac:dyDescent="0.25">
      <c r="A6524" s="83"/>
      <c r="B6524" s="84"/>
      <c r="C6524" s="84"/>
      <c r="D6524" s="116"/>
      <c r="E6524" s="116"/>
    </row>
    <row r="6525" spans="1:5" x14ac:dyDescent="0.25">
      <c r="A6525" s="83"/>
      <c r="B6525" s="84"/>
      <c r="C6525" s="84"/>
      <c r="D6525" s="116"/>
      <c r="E6525" s="116"/>
    </row>
    <row r="6526" spans="1:5" x14ac:dyDescent="0.25">
      <c r="A6526" s="83"/>
      <c r="B6526" s="84"/>
      <c r="C6526" s="84"/>
      <c r="D6526" s="116"/>
      <c r="E6526" s="116"/>
    </row>
    <row r="6527" spans="1:5" x14ac:dyDescent="0.25">
      <c r="A6527" s="83"/>
      <c r="B6527" s="84"/>
      <c r="C6527" s="84"/>
      <c r="D6527" s="116"/>
      <c r="E6527" s="116"/>
    </row>
    <row r="6528" spans="1:5" x14ac:dyDescent="0.25">
      <c r="A6528" s="83"/>
      <c r="B6528" s="84"/>
      <c r="C6528" s="84"/>
      <c r="D6528" s="116"/>
      <c r="E6528" s="116"/>
    </row>
    <row r="6529" spans="1:5" x14ac:dyDescent="0.25">
      <c r="A6529" s="83"/>
      <c r="B6529" s="84"/>
      <c r="C6529" s="84"/>
      <c r="D6529" s="116"/>
      <c r="E6529" s="116"/>
    </row>
    <row r="6530" spans="1:5" x14ac:dyDescent="0.25">
      <c r="A6530" s="83"/>
      <c r="B6530" s="84"/>
      <c r="C6530" s="84"/>
      <c r="D6530" s="116"/>
      <c r="E6530" s="116"/>
    </row>
    <row r="6531" spans="1:5" x14ac:dyDescent="0.25">
      <c r="A6531" s="83"/>
      <c r="B6531" s="84"/>
      <c r="C6531" s="84"/>
      <c r="D6531" s="116"/>
      <c r="E6531" s="116"/>
    </row>
    <row r="6532" spans="1:5" x14ac:dyDescent="0.25">
      <c r="A6532" s="83"/>
      <c r="B6532" s="84"/>
      <c r="C6532" s="84"/>
      <c r="D6532" s="116"/>
      <c r="E6532" s="116"/>
    </row>
    <row r="6533" spans="1:5" x14ac:dyDescent="0.25">
      <c r="A6533" s="83"/>
      <c r="B6533" s="84"/>
      <c r="C6533" s="84"/>
      <c r="D6533" s="116"/>
      <c r="E6533" s="116"/>
    </row>
    <row r="6534" spans="1:5" x14ac:dyDescent="0.25">
      <c r="A6534" s="83"/>
      <c r="B6534" s="84"/>
      <c r="C6534" s="84"/>
      <c r="D6534" s="116"/>
      <c r="E6534" s="116"/>
    </row>
    <row r="6535" spans="1:5" x14ac:dyDescent="0.25">
      <c r="A6535" s="83"/>
      <c r="B6535" s="84"/>
      <c r="C6535" s="84"/>
      <c r="D6535" s="116"/>
      <c r="E6535" s="116"/>
    </row>
    <row r="6536" spans="1:5" x14ac:dyDescent="0.25">
      <c r="A6536" s="83"/>
      <c r="B6536" s="84"/>
      <c r="C6536" s="84"/>
      <c r="D6536" s="116"/>
      <c r="E6536" s="116"/>
    </row>
    <row r="6537" spans="1:5" x14ac:dyDescent="0.25">
      <c r="A6537" s="83"/>
      <c r="B6537" s="84"/>
      <c r="C6537" s="84"/>
      <c r="D6537" s="116"/>
      <c r="E6537" s="116"/>
    </row>
    <row r="6538" spans="1:5" x14ac:dyDescent="0.25">
      <c r="A6538" s="83"/>
      <c r="B6538" s="84"/>
      <c r="C6538" s="84"/>
      <c r="D6538" s="116"/>
      <c r="E6538" s="116"/>
    </row>
    <row r="6539" spans="1:5" x14ac:dyDescent="0.25">
      <c r="A6539" s="83"/>
      <c r="B6539" s="84"/>
      <c r="C6539" s="84"/>
      <c r="D6539" s="116"/>
      <c r="E6539" s="116"/>
    </row>
    <row r="6540" spans="1:5" x14ac:dyDescent="0.25">
      <c r="A6540" s="83"/>
      <c r="B6540" s="84"/>
      <c r="C6540" s="84"/>
      <c r="D6540" s="116"/>
      <c r="E6540" s="116"/>
    </row>
    <row r="6541" spans="1:5" x14ac:dyDescent="0.25">
      <c r="A6541" s="83"/>
      <c r="B6541" s="84"/>
      <c r="C6541" s="84"/>
      <c r="D6541" s="116"/>
      <c r="E6541" s="116"/>
    </row>
    <row r="6542" spans="1:5" x14ac:dyDescent="0.25">
      <c r="A6542" s="83"/>
      <c r="B6542" s="84"/>
      <c r="C6542" s="84"/>
      <c r="D6542" s="116"/>
      <c r="E6542" s="116"/>
    </row>
    <row r="6543" spans="1:5" x14ac:dyDescent="0.25">
      <c r="A6543" s="83"/>
      <c r="B6543" s="84"/>
      <c r="C6543" s="84"/>
      <c r="D6543" s="116"/>
      <c r="E6543" s="116"/>
    </row>
    <row r="6544" spans="1:5" x14ac:dyDescent="0.25">
      <c r="A6544" s="83"/>
      <c r="B6544" s="84"/>
      <c r="C6544" s="84"/>
      <c r="D6544" s="116"/>
      <c r="E6544" s="116"/>
    </row>
    <row r="6545" spans="1:5" x14ac:dyDescent="0.25">
      <c r="A6545" s="83"/>
      <c r="B6545" s="84"/>
      <c r="C6545" s="84"/>
      <c r="D6545" s="116"/>
      <c r="E6545" s="116"/>
    </row>
    <row r="6546" spans="1:5" x14ac:dyDescent="0.25">
      <c r="A6546" s="83"/>
      <c r="B6546" s="84"/>
      <c r="C6546" s="84"/>
      <c r="D6546" s="116"/>
      <c r="E6546" s="116"/>
    </row>
    <row r="6547" spans="1:5" x14ac:dyDescent="0.25">
      <c r="A6547" s="83"/>
      <c r="B6547" s="84"/>
      <c r="C6547" s="84"/>
      <c r="D6547" s="116"/>
      <c r="E6547" s="116"/>
    </row>
    <row r="6548" spans="1:5" x14ac:dyDescent="0.25">
      <c r="A6548" s="83"/>
      <c r="B6548" s="84"/>
      <c r="C6548" s="84"/>
      <c r="D6548" s="116"/>
      <c r="E6548" s="116"/>
    </row>
    <row r="6549" spans="1:5" x14ac:dyDescent="0.25">
      <c r="A6549" s="83"/>
      <c r="B6549" s="84"/>
      <c r="C6549" s="84"/>
      <c r="D6549" s="116"/>
      <c r="E6549" s="116"/>
    </row>
    <row r="6550" spans="1:5" x14ac:dyDescent="0.25">
      <c r="A6550" s="83"/>
      <c r="B6550" s="84"/>
      <c r="C6550" s="84"/>
      <c r="D6550" s="116"/>
      <c r="E6550" s="116"/>
    </row>
    <row r="6551" spans="1:5" x14ac:dyDescent="0.25">
      <c r="A6551" s="83"/>
      <c r="B6551" s="84"/>
      <c r="C6551" s="84"/>
      <c r="D6551" s="116"/>
      <c r="E6551" s="116"/>
    </row>
    <row r="6552" spans="1:5" x14ac:dyDescent="0.25">
      <c r="A6552" s="83"/>
      <c r="B6552" s="84"/>
      <c r="C6552" s="84"/>
      <c r="D6552" s="116"/>
      <c r="E6552" s="116"/>
    </row>
    <row r="6553" spans="1:5" x14ac:dyDescent="0.25">
      <c r="A6553" s="83"/>
      <c r="B6553" s="84"/>
      <c r="C6553" s="84"/>
      <c r="D6553" s="116"/>
      <c r="E6553" s="116"/>
    </row>
    <row r="6554" spans="1:5" x14ac:dyDescent="0.25">
      <c r="A6554" s="83"/>
      <c r="B6554" s="84"/>
      <c r="C6554" s="84"/>
      <c r="D6554" s="116"/>
      <c r="E6554" s="116"/>
    </row>
    <row r="6555" spans="1:5" x14ac:dyDescent="0.25">
      <c r="A6555" s="83"/>
      <c r="B6555" s="84"/>
      <c r="C6555" s="84"/>
      <c r="D6555" s="116"/>
      <c r="E6555" s="116"/>
    </row>
    <row r="6556" spans="1:5" x14ac:dyDescent="0.25">
      <c r="A6556" s="83"/>
      <c r="B6556" s="84"/>
      <c r="C6556" s="84"/>
      <c r="D6556" s="116"/>
      <c r="E6556" s="116"/>
    </row>
    <row r="6557" spans="1:5" x14ac:dyDescent="0.25">
      <c r="A6557" s="83"/>
      <c r="B6557" s="84"/>
      <c r="C6557" s="84"/>
      <c r="D6557" s="116"/>
      <c r="E6557" s="116"/>
    </row>
    <row r="6558" spans="1:5" x14ac:dyDescent="0.25">
      <c r="A6558" s="83"/>
      <c r="B6558" s="84"/>
      <c r="C6558" s="84"/>
      <c r="D6558" s="116"/>
      <c r="E6558" s="116"/>
    </row>
    <row r="6559" spans="1:5" x14ac:dyDescent="0.25">
      <c r="A6559" s="83"/>
      <c r="B6559" s="84"/>
      <c r="C6559" s="84"/>
      <c r="D6559" s="116"/>
      <c r="E6559" s="116"/>
    </row>
    <row r="6560" spans="1:5" x14ac:dyDescent="0.25">
      <c r="A6560" s="83"/>
      <c r="B6560" s="84"/>
      <c r="C6560" s="84"/>
      <c r="D6560" s="116"/>
      <c r="E6560" s="116"/>
    </row>
    <row r="6561" spans="1:5" x14ac:dyDescent="0.25">
      <c r="A6561" s="83"/>
      <c r="B6561" s="84"/>
      <c r="C6561" s="84"/>
      <c r="D6561" s="116"/>
      <c r="E6561" s="116"/>
    </row>
    <row r="6562" spans="1:5" x14ac:dyDescent="0.25">
      <c r="A6562" s="83"/>
      <c r="B6562" s="84"/>
      <c r="C6562" s="84"/>
      <c r="D6562" s="116"/>
      <c r="E6562" s="116"/>
    </row>
    <row r="6563" spans="1:5" x14ac:dyDescent="0.25">
      <c r="A6563" s="83"/>
      <c r="B6563" s="84"/>
      <c r="C6563" s="84"/>
      <c r="D6563" s="116"/>
      <c r="E6563" s="116"/>
    </row>
    <row r="6564" spans="1:5" x14ac:dyDescent="0.25">
      <c r="A6564" s="83"/>
      <c r="B6564" s="84"/>
      <c r="C6564" s="84"/>
      <c r="D6564" s="116"/>
      <c r="E6564" s="116"/>
    </row>
    <row r="6565" spans="1:5" x14ac:dyDescent="0.25">
      <c r="A6565" s="83"/>
      <c r="B6565" s="84"/>
      <c r="C6565" s="84"/>
      <c r="D6565" s="116"/>
      <c r="E6565" s="116"/>
    </row>
    <row r="6566" spans="1:5" x14ac:dyDescent="0.25">
      <c r="A6566" s="83"/>
      <c r="B6566" s="84"/>
      <c r="C6566" s="84"/>
      <c r="D6566" s="116"/>
      <c r="E6566" s="116"/>
    </row>
    <row r="6567" spans="1:5" x14ac:dyDescent="0.25">
      <c r="A6567" s="83"/>
      <c r="B6567" s="84"/>
      <c r="C6567" s="84"/>
      <c r="D6567" s="116"/>
      <c r="E6567" s="116"/>
    </row>
    <row r="6568" spans="1:5" x14ac:dyDescent="0.25">
      <c r="A6568" s="83"/>
      <c r="B6568" s="84"/>
      <c r="C6568" s="84"/>
      <c r="D6568" s="116"/>
      <c r="E6568" s="116"/>
    </row>
    <row r="6569" spans="1:5" x14ac:dyDescent="0.25">
      <c r="A6569" s="83"/>
      <c r="B6569" s="84"/>
      <c r="C6569" s="84"/>
      <c r="D6569" s="116"/>
      <c r="E6569" s="116"/>
    </row>
    <row r="6570" spans="1:5" x14ac:dyDescent="0.25">
      <c r="A6570" s="83"/>
      <c r="B6570" s="84"/>
      <c r="C6570" s="84"/>
      <c r="D6570" s="116"/>
      <c r="E6570" s="116"/>
    </row>
    <row r="6571" spans="1:5" x14ac:dyDescent="0.25">
      <c r="A6571" s="83"/>
      <c r="B6571" s="84"/>
      <c r="C6571" s="84"/>
      <c r="D6571" s="116"/>
      <c r="E6571" s="116"/>
    </row>
    <row r="6572" spans="1:5" x14ac:dyDescent="0.25">
      <c r="A6572" s="83"/>
      <c r="B6572" s="84"/>
      <c r="C6572" s="84"/>
      <c r="D6572" s="116"/>
      <c r="E6572" s="116"/>
    </row>
    <row r="6573" spans="1:5" x14ac:dyDescent="0.25">
      <c r="A6573" s="83"/>
      <c r="B6573" s="84"/>
      <c r="C6573" s="84"/>
      <c r="D6573" s="116"/>
      <c r="E6573" s="116"/>
    </row>
    <row r="6574" spans="1:5" x14ac:dyDescent="0.25">
      <c r="A6574" s="83"/>
      <c r="B6574" s="84"/>
      <c r="C6574" s="84"/>
      <c r="D6574" s="116"/>
      <c r="E6574" s="116"/>
    </row>
    <row r="6575" spans="1:5" x14ac:dyDescent="0.25">
      <c r="A6575" s="83"/>
      <c r="B6575" s="84"/>
      <c r="C6575" s="84"/>
      <c r="D6575" s="116"/>
      <c r="E6575" s="116"/>
    </row>
    <row r="6576" spans="1:5" x14ac:dyDescent="0.25">
      <c r="A6576" s="83"/>
      <c r="B6576" s="84"/>
      <c r="C6576" s="84"/>
      <c r="D6576" s="116"/>
      <c r="E6576" s="116"/>
    </row>
    <row r="6577" spans="1:5" x14ac:dyDescent="0.25">
      <c r="A6577" s="83"/>
      <c r="B6577" s="84"/>
      <c r="C6577" s="84"/>
      <c r="D6577" s="116"/>
      <c r="E6577" s="116"/>
    </row>
    <row r="6578" spans="1:5" x14ac:dyDescent="0.25">
      <c r="A6578" s="83"/>
      <c r="B6578" s="84"/>
      <c r="C6578" s="84"/>
      <c r="D6578" s="116"/>
      <c r="E6578" s="116"/>
    </row>
    <row r="6579" spans="1:5" x14ac:dyDescent="0.25">
      <c r="A6579" s="83"/>
      <c r="B6579" s="84"/>
      <c r="C6579" s="84"/>
      <c r="D6579" s="116"/>
      <c r="E6579" s="116"/>
    </row>
    <row r="6580" spans="1:5" x14ac:dyDescent="0.25">
      <c r="A6580" s="83"/>
      <c r="B6580" s="84"/>
      <c r="C6580" s="84"/>
      <c r="D6580" s="116"/>
      <c r="E6580" s="116"/>
    </row>
    <row r="6581" spans="1:5" x14ac:dyDescent="0.25">
      <c r="A6581" s="83"/>
      <c r="B6581" s="84"/>
      <c r="C6581" s="84"/>
      <c r="D6581" s="116"/>
      <c r="E6581" s="116"/>
    </row>
    <row r="6582" spans="1:5" x14ac:dyDescent="0.25">
      <c r="A6582" s="83"/>
      <c r="B6582" s="84"/>
      <c r="C6582" s="84"/>
      <c r="D6582" s="116"/>
      <c r="E6582" s="116"/>
    </row>
    <row r="6583" spans="1:5" x14ac:dyDescent="0.25">
      <c r="A6583" s="83"/>
      <c r="B6583" s="84"/>
      <c r="C6583" s="84"/>
      <c r="D6583" s="116"/>
      <c r="E6583" s="116"/>
    </row>
    <row r="6584" spans="1:5" x14ac:dyDescent="0.25">
      <c r="A6584" s="83"/>
      <c r="B6584" s="84"/>
      <c r="C6584" s="84"/>
      <c r="D6584" s="116"/>
      <c r="E6584" s="116"/>
    </row>
    <row r="6585" spans="1:5" x14ac:dyDescent="0.25">
      <c r="A6585" s="83"/>
      <c r="B6585" s="84"/>
      <c r="C6585" s="84"/>
      <c r="D6585" s="116"/>
      <c r="E6585" s="116"/>
    </row>
    <row r="6586" spans="1:5" x14ac:dyDescent="0.25">
      <c r="A6586" s="83"/>
      <c r="B6586" s="84"/>
      <c r="C6586" s="84"/>
      <c r="D6586" s="116"/>
      <c r="E6586" s="116"/>
    </row>
    <row r="6587" spans="1:5" x14ac:dyDescent="0.25">
      <c r="A6587" s="83"/>
      <c r="B6587" s="84"/>
      <c r="C6587" s="84"/>
      <c r="D6587" s="116"/>
      <c r="E6587" s="116"/>
    </row>
    <row r="6588" spans="1:5" x14ac:dyDescent="0.25">
      <c r="A6588" s="83"/>
      <c r="B6588" s="84"/>
      <c r="C6588" s="84"/>
      <c r="D6588" s="116"/>
      <c r="E6588" s="116"/>
    </row>
    <row r="6589" spans="1:5" x14ac:dyDescent="0.25">
      <c r="A6589" s="83"/>
      <c r="B6589" s="84"/>
      <c r="C6589" s="84"/>
      <c r="D6589" s="116"/>
      <c r="E6589" s="116"/>
    </row>
    <row r="6590" spans="1:5" x14ac:dyDescent="0.25">
      <c r="A6590" s="83"/>
      <c r="B6590" s="84"/>
      <c r="C6590" s="84"/>
      <c r="D6590" s="116"/>
      <c r="E6590" s="116"/>
    </row>
    <row r="6591" spans="1:5" x14ac:dyDescent="0.25">
      <c r="A6591" s="83"/>
      <c r="B6591" s="84"/>
      <c r="C6591" s="84"/>
      <c r="D6591" s="116"/>
      <c r="E6591" s="116"/>
    </row>
    <row r="6592" spans="1:5" x14ac:dyDescent="0.25">
      <c r="A6592" s="83"/>
      <c r="B6592" s="84"/>
      <c r="C6592" s="84"/>
      <c r="D6592" s="116"/>
      <c r="E6592" s="116"/>
    </row>
    <row r="6593" spans="1:5" x14ac:dyDescent="0.25">
      <c r="A6593" s="83"/>
      <c r="B6593" s="84"/>
      <c r="C6593" s="84"/>
      <c r="D6593" s="116"/>
      <c r="E6593" s="116"/>
    </row>
    <row r="6594" spans="1:5" x14ac:dyDescent="0.25">
      <c r="A6594" s="83"/>
      <c r="B6594" s="84"/>
      <c r="C6594" s="84"/>
      <c r="D6594" s="116"/>
      <c r="E6594" s="116"/>
    </row>
    <row r="6595" spans="1:5" x14ac:dyDescent="0.25">
      <c r="A6595" s="83"/>
      <c r="B6595" s="84"/>
      <c r="C6595" s="84"/>
      <c r="D6595" s="116"/>
      <c r="E6595" s="116"/>
    </row>
    <row r="6596" spans="1:5" x14ac:dyDescent="0.25">
      <c r="A6596" s="83"/>
      <c r="B6596" s="84"/>
      <c r="C6596" s="84"/>
      <c r="D6596" s="116"/>
      <c r="E6596" s="116"/>
    </row>
    <row r="6597" spans="1:5" x14ac:dyDescent="0.25">
      <c r="A6597" s="83"/>
      <c r="B6597" s="84"/>
      <c r="C6597" s="84"/>
      <c r="D6597" s="116"/>
      <c r="E6597" s="116"/>
    </row>
    <row r="6598" spans="1:5" x14ac:dyDescent="0.25">
      <c r="A6598" s="83"/>
      <c r="B6598" s="84"/>
      <c r="C6598" s="84"/>
      <c r="D6598" s="116"/>
      <c r="E6598" s="116"/>
    </row>
    <row r="6599" spans="1:5" x14ac:dyDescent="0.25">
      <c r="A6599" s="83"/>
      <c r="B6599" s="84"/>
      <c r="C6599" s="84"/>
      <c r="D6599" s="116"/>
      <c r="E6599" s="116"/>
    </row>
    <row r="6600" spans="1:5" x14ac:dyDescent="0.25">
      <c r="A6600" s="83"/>
      <c r="B6600" s="84"/>
      <c r="C6600" s="84"/>
      <c r="D6600" s="116"/>
      <c r="E6600" s="116"/>
    </row>
    <row r="6601" spans="1:5" x14ac:dyDescent="0.25">
      <c r="A6601" s="83"/>
      <c r="B6601" s="84"/>
      <c r="C6601" s="84"/>
      <c r="D6601" s="116"/>
      <c r="E6601" s="116"/>
    </row>
    <row r="6602" spans="1:5" x14ac:dyDescent="0.25">
      <c r="A6602" s="83"/>
      <c r="B6602" s="84"/>
      <c r="C6602" s="84"/>
      <c r="D6602" s="116"/>
      <c r="E6602" s="116"/>
    </row>
    <row r="6603" spans="1:5" x14ac:dyDescent="0.25">
      <c r="A6603" s="83"/>
      <c r="B6603" s="84"/>
      <c r="C6603" s="84"/>
      <c r="D6603" s="116"/>
      <c r="E6603" s="116"/>
    </row>
    <row r="6604" spans="1:5" x14ac:dyDescent="0.25">
      <c r="A6604" s="83"/>
      <c r="B6604" s="84"/>
      <c r="C6604" s="84"/>
      <c r="D6604" s="116"/>
      <c r="E6604" s="116"/>
    </row>
    <row r="6605" spans="1:5" x14ac:dyDescent="0.25">
      <c r="A6605" s="83"/>
      <c r="B6605" s="84"/>
      <c r="C6605" s="84"/>
      <c r="D6605" s="116"/>
      <c r="E6605" s="116"/>
    </row>
    <row r="6606" spans="1:5" x14ac:dyDescent="0.25">
      <c r="A6606" s="83"/>
      <c r="B6606" s="84"/>
      <c r="C6606" s="84"/>
      <c r="D6606" s="116"/>
      <c r="E6606" s="116"/>
    </row>
    <row r="6607" spans="1:5" x14ac:dyDescent="0.25">
      <c r="A6607" s="83"/>
      <c r="B6607" s="84"/>
      <c r="C6607" s="84"/>
      <c r="D6607" s="116"/>
      <c r="E6607" s="116"/>
    </row>
    <row r="6608" spans="1:5" x14ac:dyDescent="0.25">
      <c r="A6608" s="83"/>
      <c r="B6608" s="84"/>
      <c r="C6608" s="84"/>
      <c r="D6608" s="116"/>
      <c r="E6608" s="116"/>
    </row>
    <row r="6609" spans="1:5" x14ac:dyDescent="0.25">
      <c r="A6609" s="83"/>
      <c r="B6609" s="84"/>
      <c r="C6609" s="84"/>
      <c r="D6609" s="116"/>
      <c r="E6609" s="116"/>
    </row>
    <row r="6610" spans="1:5" x14ac:dyDescent="0.25">
      <c r="A6610" s="83"/>
      <c r="B6610" s="84"/>
      <c r="C6610" s="84"/>
      <c r="D6610" s="116"/>
      <c r="E6610" s="116"/>
    </row>
    <row r="6611" spans="1:5" x14ac:dyDescent="0.25">
      <c r="A6611" s="83"/>
      <c r="B6611" s="84"/>
      <c r="C6611" s="84"/>
      <c r="D6611" s="116"/>
      <c r="E6611" s="116"/>
    </row>
    <row r="6612" spans="1:5" x14ac:dyDescent="0.25">
      <c r="A6612" s="83"/>
      <c r="B6612" s="84"/>
      <c r="C6612" s="84"/>
      <c r="D6612" s="116"/>
      <c r="E6612" s="116"/>
    </row>
    <row r="6613" spans="1:5" x14ac:dyDescent="0.25">
      <c r="A6613" s="83"/>
      <c r="B6613" s="84"/>
      <c r="C6613" s="84"/>
      <c r="D6613" s="116"/>
      <c r="E6613" s="116"/>
    </row>
    <row r="6614" spans="1:5" x14ac:dyDescent="0.25">
      <c r="A6614" s="83"/>
      <c r="B6614" s="84"/>
      <c r="C6614" s="84"/>
      <c r="D6614" s="116"/>
      <c r="E6614" s="116"/>
    </row>
    <row r="6615" spans="1:5" x14ac:dyDescent="0.25">
      <c r="A6615" s="83"/>
      <c r="B6615" s="84"/>
      <c r="C6615" s="84"/>
      <c r="D6615" s="116"/>
      <c r="E6615" s="116"/>
    </row>
    <row r="6616" spans="1:5" x14ac:dyDescent="0.25">
      <c r="A6616" s="83"/>
      <c r="B6616" s="84"/>
      <c r="C6616" s="84"/>
      <c r="D6616" s="116"/>
      <c r="E6616" s="116"/>
    </row>
    <row r="6617" spans="1:5" x14ac:dyDescent="0.25">
      <c r="A6617" s="83"/>
      <c r="B6617" s="84"/>
      <c r="C6617" s="84"/>
      <c r="D6617" s="116"/>
      <c r="E6617" s="116"/>
    </row>
    <row r="6618" spans="1:5" x14ac:dyDescent="0.25">
      <c r="A6618" s="83"/>
      <c r="B6618" s="84"/>
      <c r="C6618" s="84"/>
      <c r="D6618" s="116"/>
      <c r="E6618" s="116"/>
    </row>
    <row r="6619" spans="1:5" x14ac:dyDescent="0.25">
      <c r="A6619" s="83"/>
      <c r="B6619" s="84"/>
      <c r="C6619" s="84"/>
      <c r="D6619" s="116"/>
      <c r="E6619" s="116"/>
    </row>
    <row r="6620" spans="1:5" x14ac:dyDescent="0.25">
      <c r="A6620" s="83"/>
      <c r="B6620" s="84"/>
      <c r="C6620" s="84"/>
      <c r="D6620" s="116"/>
      <c r="E6620" s="116"/>
    </row>
    <row r="6621" spans="1:5" x14ac:dyDescent="0.25">
      <c r="A6621" s="83"/>
      <c r="B6621" s="84"/>
      <c r="C6621" s="84"/>
      <c r="D6621" s="116"/>
      <c r="E6621" s="116"/>
    </row>
    <row r="6622" spans="1:5" x14ac:dyDescent="0.25">
      <c r="A6622" s="83"/>
      <c r="B6622" s="84"/>
      <c r="C6622" s="84"/>
      <c r="D6622" s="116"/>
      <c r="E6622" s="116"/>
    </row>
    <row r="6623" spans="1:5" x14ac:dyDescent="0.25">
      <c r="A6623" s="83"/>
      <c r="B6623" s="84"/>
      <c r="C6623" s="84"/>
      <c r="D6623" s="116"/>
      <c r="E6623" s="116"/>
    </row>
    <row r="6624" spans="1:5" x14ac:dyDescent="0.25">
      <c r="A6624" s="83"/>
      <c r="B6624" s="84"/>
      <c r="C6624" s="84"/>
      <c r="D6624" s="116"/>
      <c r="E6624" s="116"/>
    </row>
    <row r="6625" spans="1:5" x14ac:dyDescent="0.25">
      <c r="A6625" s="83"/>
      <c r="B6625" s="84"/>
      <c r="C6625" s="84"/>
      <c r="D6625" s="116"/>
      <c r="E6625" s="116"/>
    </row>
    <row r="6626" spans="1:5" x14ac:dyDescent="0.25">
      <c r="A6626" s="83"/>
      <c r="B6626" s="84"/>
      <c r="C6626" s="84"/>
      <c r="D6626" s="116"/>
      <c r="E6626" s="116"/>
    </row>
    <row r="6627" spans="1:5" x14ac:dyDescent="0.25">
      <c r="A6627" s="83"/>
      <c r="B6627" s="84"/>
      <c r="C6627" s="84"/>
      <c r="D6627" s="116"/>
      <c r="E6627" s="116"/>
    </row>
    <row r="6628" spans="1:5" x14ac:dyDescent="0.25">
      <c r="A6628" s="83"/>
      <c r="B6628" s="84"/>
      <c r="C6628" s="84"/>
      <c r="D6628" s="116"/>
      <c r="E6628" s="116"/>
    </row>
    <row r="6629" spans="1:5" x14ac:dyDescent="0.25">
      <c r="A6629" s="83"/>
      <c r="B6629" s="84"/>
      <c r="C6629" s="84"/>
      <c r="D6629" s="116"/>
      <c r="E6629" s="116"/>
    </row>
    <row r="6630" spans="1:5" x14ac:dyDescent="0.25">
      <c r="A6630" s="83"/>
      <c r="B6630" s="84"/>
      <c r="C6630" s="84"/>
      <c r="D6630" s="116"/>
      <c r="E6630" s="116"/>
    </row>
    <row r="6631" spans="1:5" x14ac:dyDescent="0.25">
      <c r="A6631" s="83"/>
      <c r="B6631" s="84"/>
      <c r="C6631" s="84"/>
      <c r="D6631" s="116"/>
      <c r="E6631" s="116"/>
    </row>
    <row r="6632" spans="1:5" x14ac:dyDescent="0.25">
      <c r="A6632" s="83"/>
      <c r="B6632" s="84"/>
      <c r="C6632" s="84"/>
      <c r="D6632" s="116"/>
      <c r="E6632" s="116"/>
    </row>
    <row r="6633" spans="1:5" x14ac:dyDescent="0.25">
      <c r="A6633" s="83"/>
      <c r="B6633" s="84"/>
      <c r="C6633" s="84"/>
      <c r="D6633" s="116"/>
      <c r="E6633" s="116"/>
    </row>
    <row r="6634" spans="1:5" x14ac:dyDescent="0.25">
      <c r="A6634" s="83"/>
      <c r="B6634" s="84"/>
      <c r="C6634" s="84"/>
      <c r="D6634" s="116"/>
      <c r="E6634" s="116"/>
    </row>
    <row r="6635" spans="1:5" x14ac:dyDescent="0.25">
      <c r="A6635" s="83"/>
      <c r="B6635" s="84"/>
      <c r="C6635" s="84"/>
      <c r="D6635" s="116"/>
      <c r="E6635" s="116"/>
    </row>
    <row r="6636" spans="1:5" x14ac:dyDescent="0.25">
      <c r="A6636" s="83"/>
      <c r="B6636" s="84"/>
      <c r="C6636" s="84"/>
      <c r="D6636" s="116"/>
      <c r="E6636" s="116"/>
    </row>
    <row r="6637" spans="1:5" x14ac:dyDescent="0.25">
      <c r="A6637" s="83"/>
      <c r="B6637" s="84"/>
      <c r="C6637" s="84"/>
      <c r="D6637" s="116"/>
      <c r="E6637" s="116"/>
    </row>
    <row r="6638" spans="1:5" x14ac:dyDescent="0.25">
      <c r="A6638" s="83"/>
      <c r="B6638" s="84"/>
      <c r="C6638" s="84"/>
      <c r="D6638" s="116"/>
      <c r="E6638" s="116"/>
    </row>
    <row r="6639" spans="1:5" x14ac:dyDescent="0.25">
      <c r="A6639" s="83"/>
      <c r="B6639" s="84"/>
      <c r="C6639" s="84"/>
      <c r="D6639" s="116"/>
      <c r="E6639" s="116"/>
    </row>
    <row r="6640" spans="1:5" x14ac:dyDescent="0.25">
      <c r="A6640" s="83"/>
      <c r="B6640" s="84"/>
      <c r="C6640" s="84"/>
      <c r="D6640" s="116"/>
      <c r="E6640" s="116"/>
    </row>
    <row r="6641" spans="1:5" x14ac:dyDescent="0.25">
      <c r="A6641" s="83"/>
      <c r="B6641" s="84"/>
      <c r="C6641" s="84"/>
      <c r="D6641" s="116"/>
      <c r="E6641" s="116"/>
    </row>
    <row r="6642" spans="1:5" x14ac:dyDescent="0.25">
      <c r="A6642" s="83"/>
      <c r="B6642" s="84"/>
      <c r="C6642" s="84"/>
      <c r="D6642" s="116"/>
      <c r="E6642" s="116"/>
    </row>
    <row r="6643" spans="1:5" x14ac:dyDescent="0.25">
      <c r="A6643" s="83"/>
      <c r="B6643" s="84"/>
      <c r="C6643" s="84"/>
      <c r="D6643" s="116"/>
      <c r="E6643" s="116"/>
    </row>
    <row r="6644" spans="1:5" x14ac:dyDescent="0.25">
      <c r="A6644" s="83"/>
      <c r="B6644" s="84"/>
      <c r="C6644" s="84"/>
      <c r="D6644" s="116"/>
      <c r="E6644" s="116"/>
    </row>
    <row r="6645" spans="1:5" x14ac:dyDescent="0.25">
      <c r="A6645" s="83"/>
      <c r="B6645" s="84"/>
      <c r="C6645" s="84"/>
      <c r="D6645" s="116"/>
      <c r="E6645" s="116"/>
    </row>
    <row r="6646" spans="1:5" x14ac:dyDescent="0.25">
      <c r="A6646" s="83"/>
      <c r="B6646" s="84"/>
      <c r="C6646" s="84"/>
      <c r="D6646" s="116"/>
      <c r="E6646" s="116"/>
    </row>
    <row r="6647" spans="1:5" x14ac:dyDescent="0.25">
      <c r="A6647" s="83"/>
      <c r="B6647" s="84"/>
      <c r="C6647" s="84"/>
      <c r="D6647" s="116"/>
      <c r="E6647" s="116"/>
    </row>
    <row r="6648" spans="1:5" x14ac:dyDescent="0.25">
      <c r="A6648" s="83"/>
      <c r="B6648" s="84"/>
      <c r="C6648" s="84"/>
      <c r="D6648" s="116"/>
      <c r="E6648" s="116"/>
    </row>
    <row r="6649" spans="1:5" x14ac:dyDescent="0.25">
      <c r="A6649" s="83"/>
      <c r="B6649" s="84"/>
      <c r="C6649" s="84"/>
      <c r="D6649" s="116"/>
      <c r="E6649" s="116"/>
    </row>
    <row r="6650" spans="1:5" x14ac:dyDescent="0.25">
      <c r="A6650" s="83"/>
      <c r="B6650" s="84"/>
      <c r="C6650" s="84"/>
      <c r="D6650" s="116"/>
      <c r="E6650" s="116"/>
    </row>
    <row r="6651" spans="1:5" x14ac:dyDescent="0.25">
      <c r="A6651" s="83"/>
      <c r="B6651" s="84"/>
      <c r="C6651" s="84"/>
      <c r="D6651" s="116"/>
      <c r="E6651" s="116"/>
    </row>
    <row r="6652" spans="1:5" x14ac:dyDescent="0.25">
      <c r="A6652" s="83"/>
      <c r="B6652" s="84"/>
      <c r="C6652" s="84"/>
      <c r="D6652" s="116"/>
      <c r="E6652" s="116"/>
    </row>
    <row r="6653" spans="1:5" x14ac:dyDescent="0.25">
      <c r="A6653" s="83"/>
      <c r="B6653" s="84"/>
      <c r="C6653" s="84"/>
      <c r="D6653" s="116"/>
      <c r="E6653" s="116"/>
    </row>
    <row r="6654" spans="1:5" x14ac:dyDescent="0.25">
      <c r="A6654" s="83"/>
      <c r="B6654" s="84"/>
      <c r="C6654" s="84"/>
      <c r="D6654" s="116"/>
      <c r="E6654" s="116"/>
    </row>
    <row r="6655" spans="1:5" x14ac:dyDescent="0.25">
      <c r="A6655" s="83"/>
      <c r="B6655" s="84"/>
      <c r="C6655" s="84"/>
      <c r="D6655" s="116"/>
      <c r="E6655" s="116"/>
    </row>
    <row r="6656" spans="1:5" x14ac:dyDescent="0.25">
      <c r="A6656" s="83"/>
      <c r="B6656" s="84"/>
      <c r="C6656" s="84"/>
      <c r="D6656" s="116"/>
      <c r="E6656" s="116"/>
    </row>
    <row r="6657" spans="1:5" x14ac:dyDescent="0.25">
      <c r="A6657" s="83"/>
      <c r="B6657" s="84"/>
      <c r="C6657" s="84"/>
      <c r="D6657" s="116"/>
      <c r="E6657" s="116"/>
    </row>
    <row r="6658" spans="1:5" x14ac:dyDescent="0.25">
      <c r="A6658" s="83"/>
      <c r="B6658" s="84"/>
      <c r="C6658" s="84"/>
      <c r="D6658" s="116"/>
      <c r="E6658" s="116"/>
    </row>
    <row r="6659" spans="1:5" x14ac:dyDescent="0.25">
      <c r="A6659" s="83"/>
      <c r="B6659" s="84"/>
      <c r="C6659" s="84"/>
      <c r="D6659" s="116"/>
      <c r="E6659" s="116"/>
    </row>
    <row r="6660" spans="1:5" x14ac:dyDescent="0.25">
      <c r="A6660" s="83"/>
      <c r="B6660" s="84"/>
      <c r="C6660" s="84"/>
      <c r="D6660" s="116"/>
      <c r="E6660" s="116"/>
    </row>
    <row r="6661" spans="1:5" x14ac:dyDescent="0.25">
      <c r="A6661" s="83"/>
      <c r="B6661" s="84"/>
      <c r="C6661" s="84"/>
      <c r="D6661" s="116"/>
      <c r="E6661" s="116"/>
    </row>
    <row r="6662" spans="1:5" x14ac:dyDescent="0.25">
      <c r="A6662" s="83"/>
      <c r="B6662" s="84"/>
      <c r="C6662" s="84"/>
      <c r="D6662" s="116"/>
      <c r="E6662" s="116"/>
    </row>
    <row r="6663" spans="1:5" x14ac:dyDescent="0.25">
      <c r="A6663" s="83"/>
      <c r="B6663" s="84"/>
      <c r="C6663" s="84"/>
      <c r="D6663" s="116"/>
      <c r="E6663" s="116"/>
    </row>
    <row r="6664" spans="1:5" x14ac:dyDescent="0.25">
      <c r="A6664" s="83"/>
      <c r="B6664" s="84"/>
      <c r="C6664" s="84"/>
      <c r="D6664" s="116"/>
      <c r="E6664" s="116"/>
    </row>
    <row r="6665" spans="1:5" x14ac:dyDescent="0.25">
      <c r="A6665" s="83"/>
      <c r="B6665" s="84"/>
      <c r="C6665" s="84"/>
      <c r="D6665" s="116"/>
      <c r="E6665" s="116"/>
    </row>
    <row r="6666" spans="1:5" x14ac:dyDescent="0.25">
      <c r="A6666" s="83"/>
      <c r="B6666" s="84"/>
      <c r="C6666" s="84"/>
      <c r="D6666" s="116"/>
      <c r="E6666" s="116"/>
    </row>
    <row r="6667" spans="1:5" x14ac:dyDescent="0.25">
      <c r="A6667" s="83"/>
      <c r="B6667" s="84"/>
      <c r="C6667" s="84"/>
      <c r="D6667" s="116"/>
      <c r="E6667" s="116"/>
    </row>
    <row r="6668" spans="1:5" x14ac:dyDescent="0.25">
      <c r="A6668" s="83"/>
      <c r="B6668" s="84"/>
      <c r="C6668" s="84"/>
      <c r="D6668" s="116"/>
      <c r="E6668" s="116"/>
    </row>
    <row r="6669" spans="1:5" x14ac:dyDescent="0.25">
      <c r="A6669" s="83"/>
      <c r="B6669" s="84"/>
      <c r="C6669" s="84"/>
      <c r="D6669" s="116"/>
      <c r="E6669" s="116"/>
    </row>
    <row r="6670" spans="1:5" x14ac:dyDescent="0.25">
      <c r="A6670" s="83"/>
      <c r="B6670" s="84"/>
      <c r="C6670" s="84"/>
      <c r="D6670" s="116"/>
      <c r="E6670" s="116"/>
    </row>
    <row r="6671" spans="1:5" x14ac:dyDescent="0.25">
      <c r="A6671" s="83"/>
      <c r="B6671" s="84"/>
      <c r="C6671" s="84"/>
      <c r="D6671" s="116"/>
      <c r="E6671" s="116"/>
    </row>
    <row r="6672" spans="1:5" x14ac:dyDescent="0.25">
      <c r="A6672" s="83"/>
      <c r="B6672" s="84"/>
      <c r="C6672" s="84"/>
      <c r="D6672" s="116"/>
      <c r="E6672" s="116"/>
    </row>
    <row r="6673" spans="1:5" x14ac:dyDescent="0.25">
      <c r="A6673" s="83"/>
      <c r="B6673" s="84"/>
      <c r="C6673" s="84"/>
      <c r="D6673" s="116"/>
      <c r="E6673" s="116"/>
    </row>
    <row r="6674" spans="1:5" x14ac:dyDescent="0.25">
      <c r="A6674" s="83"/>
      <c r="B6674" s="84"/>
      <c r="C6674" s="84"/>
      <c r="D6674" s="116"/>
      <c r="E6674" s="116"/>
    </row>
    <row r="6675" spans="1:5" x14ac:dyDescent="0.25">
      <c r="A6675" s="83"/>
      <c r="B6675" s="84"/>
      <c r="C6675" s="84"/>
      <c r="D6675" s="116"/>
      <c r="E6675" s="116"/>
    </row>
    <row r="6676" spans="1:5" x14ac:dyDescent="0.25">
      <c r="A6676" s="83"/>
      <c r="B6676" s="84"/>
      <c r="C6676" s="84"/>
      <c r="D6676" s="116"/>
      <c r="E6676" s="116"/>
    </row>
    <row r="6677" spans="1:5" x14ac:dyDescent="0.25">
      <c r="A6677" s="83"/>
      <c r="B6677" s="84"/>
      <c r="C6677" s="84"/>
      <c r="D6677" s="116"/>
      <c r="E6677" s="116"/>
    </row>
    <row r="6678" spans="1:5" x14ac:dyDescent="0.25">
      <c r="A6678" s="83"/>
      <c r="B6678" s="84"/>
      <c r="C6678" s="84"/>
      <c r="D6678" s="116"/>
      <c r="E6678" s="116"/>
    </row>
    <row r="6679" spans="1:5" x14ac:dyDescent="0.25">
      <c r="A6679" s="83"/>
      <c r="B6679" s="84"/>
      <c r="C6679" s="84"/>
      <c r="D6679" s="116"/>
      <c r="E6679" s="116"/>
    </row>
    <row r="6680" spans="1:5" x14ac:dyDescent="0.25">
      <c r="A6680" s="83"/>
      <c r="B6680" s="84"/>
      <c r="C6680" s="84"/>
      <c r="D6680" s="116"/>
      <c r="E6680" s="116"/>
    </row>
    <row r="6681" spans="1:5" x14ac:dyDescent="0.25">
      <c r="A6681" s="83"/>
      <c r="B6681" s="84"/>
      <c r="C6681" s="84"/>
      <c r="D6681" s="116"/>
      <c r="E6681" s="116"/>
    </row>
    <row r="6682" spans="1:5" x14ac:dyDescent="0.25">
      <c r="A6682" s="83"/>
      <c r="B6682" s="84"/>
      <c r="C6682" s="84"/>
      <c r="D6682" s="116"/>
      <c r="E6682" s="116"/>
    </row>
    <row r="6683" spans="1:5" x14ac:dyDescent="0.25">
      <c r="A6683" s="83"/>
      <c r="B6683" s="84"/>
      <c r="C6683" s="84"/>
      <c r="D6683" s="116"/>
      <c r="E6683" s="116"/>
    </row>
    <row r="6684" spans="1:5" x14ac:dyDescent="0.25">
      <c r="A6684" s="83"/>
      <c r="B6684" s="84"/>
      <c r="C6684" s="84"/>
      <c r="D6684" s="116"/>
      <c r="E6684" s="116"/>
    </row>
    <row r="6685" spans="1:5" x14ac:dyDescent="0.25">
      <c r="A6685" s="83"/>
      <c r="B6685" s="84"/>
      <c r="C6685" s="84"/>
      <c r="D6685" s="116"/>
      <c r="E6685" s="116"/>
    </row>
    <row r="6686" spans="1:5" x14ac:dyDescent="0.25">
      <c r="A6686" s="83"/>
      <c r="B6686" s="84"/>
      <c r="C6686" s="84"/>
      <c r="D6686" s="116"/>
      <c r="E6686" s="116"/>
    </row>
    <row r="6687" spans="1:5" x14ac:dyDescent="0.25">
      <c r="A6687" s="83"/>
      <c r="B6687" s="84"/>
      <c r="C6687" s="84"/>
      <c r="D6687" s="116"/>
      <c r="E6687" s="116"/>
    </row>
    <row r="6688" spans="1:5" x14ac:dyDescent="0.25">
      <c r="A6688" s="83"/>
      <c r="B6688" s="84"/>
      <c r="C6688" s="84"/>
      <c r="D6688" s="116"/>
      <c r="E6688" s="116"/>
    </row>
    <row r="6689" spans="1:5" x14ac:dyDescent="0.25">
      <c r="A6689" s="83"/>
      <c r="B6689" s="84"/>
      <c r="C6689" s="84"/>
      <c r="D6689" s="116"/>
      <c r="E6689" s="116"/>
    </row>
    <row r="6690" spans="1:5" x14ac:dyDescent="0.25">
      <c r="A6690" s="83"/>
      <c r="B6690" s="84"/>
      <c r="C6690" s="84"/>
      <c r="D6690" s="116"/>
      <c r="E6690" s="116"/>
    </row>
    <row r="6691" spans="1:5" x14ac:dyDescent="0.25">
      <c r="A6691" s="83"/>
      <c r="B6691" s="84"/>
      <c r="C6691" s="84"/>
      <c r="D6691" s="116"/>
      <c r="E6691" s="116"/>
    </row>
    <row r="6692" spans="1:5" x14ac:dyDescent="0.25">
      <c r="A6692" s="83"/>
      <c r="B6692" s="84"/>
      <c r="C6692" s="84"/>
      <c r="D6692" s="116"/>
      <c r="E6692" s="116"/>
    </row>
    <row r="6693" spans="1:5" x14ac:dyDescent="0.25">
      <c r="A6693" s="83"/>
      <c r="B6693" s="84"/>
      <c r="C6693" s="84"/>
      <c r="D6693" s="116"/>
      <c r="E6693" s="116"/>
    </row>
    <row r="6694" spans="1:5" x14ac:dyDescent="0.25">
      <c r="A6694" s="83"/>
      <c r="B6694" s="84"/>
      <c r="C6694" s="84"/>
      <c r="D6694" s="116"/>
      <c r="E6694" s="116"/>
    </row>
    <row r="6695" spans="1:5" x14ac:dyDescent="0.25">
      <c r="A6695" s="83"/>
      <c r="B6695" s="84"/>
      <c r="C6695" s="84"/>
      <c r="D6695" s="116"/>
      <c r="E6695" s="116"/>
    </row>
    <row r="6696" spans="1:5" x14ac:dyDescent="0.25">
      <c r="A6696" s="83"/>
      <c r="B6696" s="84"/>
      <c r="C6696" s="84"/>
      <c r="D6696" s="116"/>
      <c r="E6696" s="116"/>
    </row>
    <row r="6697" spans="1:5" x14ac:dyDescent="0.25">
      <c r="A6697" s="83"/>
      <c r="B6697" s="84"/>
      <c r="C6697" s="84"/>
      <c r="D6697" s="116"/>
      <c r="E6697" s="116"/>
    </row>
    <row r="6698" spans="1:5" x14ac:dyDescent="0.25">
      <c r="A6698" s="83"/>
      <c r="B6698" s="84"/>
      <c r="C6698" s="84"/>
      <c r="D6698" s="116"/>
      <c r="E6698" s="116"/>
    </row>
    <row r="6699" spans="1:5" x14ac:dyDescent="0.25">
      <c r="A6699" s="83"/>
      <c r="B6699" s="84"/>
      <c r="C6699" s="84"/>
      <c r="D6699" s="116"/>
      <c r="E6699" s="116"/>
    </row>
    <row r="6700" spans="1:5" x14ac:dyDescent="0.25">
      <c r="A6700" s="83"/>
      <c r="B6700" s="84"/>
      <c r="C6700" s="84"/>
      <c r="D6700" s="116"/>
      <c r="E6700" s="116"/>
    </row>
    <row r="6701" spans="1:5" x14ac:dyDescent="0.25">
      <c r="A6701" s="83"/>
      <c r="B6701" s="84"/>
      <c r="C6701" s="84"/>
      <c r="D6701" s="116"/>
      <c r="E6701" s="116"/>
    </row>
    <row r="6702" spans="1:5" x14ac:dyDescent="0.25">
      <c r="A6702" s="83"/>
      <c r="B6702" s="84"/>
      <c r="C6702" s="84"/>
      <c r="D6702" s="116"/>
      <c r="E6702" s="116"/>
    </row>
    <row r="6703" spans="1:5" x14ac:dyDescent="0.25">
      <c r="A6703" s="83"/>
      <c r="B6703" s="84"/>
      <c r="C6703" s="84"/>
      <c r="D6703" s="116"/>
      <c r="E6703" s="116"/>
    </row>
    <row r="6704" spans="1:5" x14ac:dyDescent="0.25">
      <c r="A6704" s="83"/>
      <c r="B6704" s="84"/>
      <c r="C6704" s="84"/>
      <c r="D6704" s="116"/>
      <c r="E6704" s="116"/>
    </row>
    <row r="6705" spans="1:5" x14ac:dyDescent="0.25">
      <c r="A6705" s="83"/>
      <c r="B6705" s="84"/>
      <c r="C6705" s="84"/>
      <c r="D6705" s="116"/>
      <c r="E6705" s="116"/>
    </row>
    <row r="6706" spans="1:5" x14ac:dyDescent="0.25">
      <c r="A6706" s="83"/>
      <c r="B6706" s="84"/>
      <c r="C6706" s="84"/>
      <c r="D6706" s="116"/>
      <c r="E6706" s="116"/>
    </row>
    <row r="6707" spans="1:5" x14ac:dyDescent="0.25">
      <c r="A6707" s="83"/>
      <c r="B6707" s="84"/>
      <c r="C6707" s="84"/>
      <c r="D6707" s="116"/>
      <c r="E6707" s="116"/>
    </row>
    <row r="6708" spans="1:5" x14ac:dyDescent="0.25">
      <c r="A6708" s="83"/>
      <c r="B6708" s="84"/>
      <c r="C6708" s="84"/>
      <c r="D6708" s="116"/>
      <c r="E6708" s="116"/>
    </row>
    <row r="6709" spans="1:5" x14ac:dyDescent="0.25">
      <c r="A6709" s="83"/>
      <c r="B6709" s="84"/>
      <c r="C6709" s="84"/>
      <c r="D6709" s="116"/>
      <c r="E6709" s="116"/>
    </row>
    <row r="6710" spans="1:5" x14ac:dyDescent="0.25">
      <c r="A6710" s="83"/>
      <c r="B6710" s="84"/>
      <c r="C6710" s="84"/>
      <c r="D6710" s="116"/>
      <c r="E6710" s="116"/>
    </row>
    <row r="6711" spans="1:5" x14ac:dyDescent="0.25">
      <c r="A6711" s="83"/>
      <c r="B6711" s="84"/>
      <c r="C6711" s="84"/>
      <c r="D6711" s="116"/>
      <c r="E6711" s="116"/>
    </row>
    <row r="6712" spans="1:5" x14ac:dyDescent="0.25">
      <c r="A6712" s="83"/>
      <c r="B6712" s="84"/>
      <c r="C6712" s="84"/>
      <c r="D6712" s="116"/>
      <c r="E6712" s="116"/>
    </row>
    <row r="6713" spans="1:5" x14ac:dyDescent="0.25">
      <c r="A6713" s="83"/>
      <c r="B6713" s="84"/>
      <c r="C6713" s="84"/>
      <c r="D6713" s="116"/>
      <c r="E6713" s="116"/>
    </row>
    <row r="6714" spans="1:5" x14ac:dyDescent="0.25">
      <c r="A6714" s="83"/>
      <c r="B6714" s="84"/>
      <c r="C6714" s="84"/>
      <c r="D6714" s="116"/>
      <c r="E6714" s="116"/>
    </row>
    <row r="6715" spans="1:5" x14ac:dyDescent="0.25">
      <c r="A6715" s="83"/>
      <c r="B6715" s="84"/>
      <c r="C6715" s="84"/>
      <c r="D6715" s="116"/>
      <c r="E6715" s="116"/>
    </row>
    <row r="6716" spans="1:5" x14ac:dyDescent="0.25">
      <c r="A6716" s="83"/>
      <c r="B6716" s="84"/>
      <c r="C6716" s="84"/>
      <c r="D6716" s="116"/>
      <c r="E6716" s="116"/>
    </row>
    <row r="6717" spans="1:5" x14ac:dyDescent="0.25">
      <c r="A6717" s="83"/>
      <c r="B6717" s="84"/>
      <c r="C6717" s="84"/>
      <c r="D6717" s="116"/>
      <c r="E6717" s="116"/>
    </row>
    <row r="6718" spans="1:5" x14ac:dyDescent="0.25">
      <c r="A6718" s="83"/>
      <c r="B6718" s="84"/>
      <c r="C6718" s="84"/>
      <c r="D6718" s="116"/>
      <c r="E6718" s="116"/>
    </row>
    <row r="6719" spans="1:5" x14ac:dyDescent="0.25">
      <c r="A6719" s="83"/>
      <c r="B6719" s="84"/>
      <c r="C6719" s="84"/>
      <c r="D6719" s="116"/>
      <c r="E6719" s="116"/>
    </row>
    <row r="6720" spans="1:5" x14ac:dyDescent="0.25">
      <c r="A6720" s="83"/>
      <c r="B6720" s="84"/>
      <c r="C6720" s="84"/>
      <c r="D6720" s="116"/>
      <c r="E6720" s="116"/>
    </row>
    <row r="6721" spans="1:5" x14ac:dyDescent="0.25">
      <c r="A6721" s="83"/>
      <c r="B6721" s="84"/>
      <c r="C6721" s="84"/>
      <c r="D6721" s="116"/>
      <c r="E6721" s="116"/>
    </row>
    <row r="6722" spans="1:5" x14ac:dyDescent="0.25">
      <c r="A6722" s="83"/>
      <c r="B6722" s="84"/>
      <c r="C6722" s="84"/>
      <c r="D6722" s="116"/>
      <c r="E6722" s="116"/>
    </row>
    <row r="6723" spans="1:5" x14ac:dyDescent="0.25">
      <c r="A6723" s="83"/>
      <c r="B6723" s="84"/>
      <c r="C6723" s="84"/>
      <c r="D6723" s="116"/>
      <c r="E6723" s="116"/>
    </row>
    <row r="6724" spans="1:5" x14ac:dyDescent="0.25">
      <c r="A6724" s="83"/>
      <c r="B6724" s="84"/>
      <c r="C6724" s="84"/>
      <c r="D6724" s="116"/>
      <c r="E6724" s="116"/>
    </row>
    <row r="6725" spans="1:5" x14ac:dyDescent="0.25">
      <c r="A6725" s="83"/>
      <c r="B6725" s="84"/>
      <c r="C6725" s="84"/>
      <c r="D6725" s="116"/>
      <c r="E6725" s="116"/>
    </row>
    <row r="6726" spans="1:5" x14ac:dyDescent="0.25">
      <c r="A6726" s="83"/>
      <c r="B6726" s="84"/>
      <c r="C6726" s="84"/>
      <c r="D6726" s="116"/>
      <c r="E6726" s="116"/>
    </row>
    <row r="6727" spans="1:5" x14ac:dyDescent="0.25">
      <c r="A6727" s="83"/>
      <c r="B6727" s="84"/>
      <c r="C6727" s="84"/>
      <c r="D6727" s="116"/>
      <c r="E6727" s="116"/>
    </row>
    <row r="6728" spans="1:5" x14ac:dyDescent="0.25">
      <c r="A6728" s="83"/>
      <c r="B6728" s="84"/>
      <c r="C6728" s="84"/>
      <c r="D6728" s="116"/>
      <c r="E6728" s="116"/>
    </row>
    <row r="6729" spans="1:5" x14ac:dyDescent="0.25">
      <c r="A6729" s="83"/>
      <c r="B6729" s="84"/>
      <c r="C6729" s="84"/>
      <c r="D6729" s="116"/>
      <c r="E6729" s="116"/>
    </row>
    <row r="6730" spans="1:5" x14ac:dyDescent="0.25">
      <c r="A6730" s="83"/>
      <c r="B6730" s="84"/>
      <c r="C6730" s="84"/>
      <c r="D6730" s="116"/>
      <c r="E6730" s="116"/>
    </row>
    <row r="6731" spans="1:5" x14ac:dyDescent="0.25">
      <c r="A6731" s="83"/>
      <c r="B6731" s="84"/>
      <c r="C6731" s="84"/>
      <c r="D6731" s="116"/>
      <c r="E6731" s="116"/>
    </row>
    <row r="6732" spans="1:5" x14ac:dyDescent="0.25">
      <c r="A6732" s="83"/>
      <c r="B6732" s="84"/>
      <c r="C6732" s="84"/>
      <c r="D6732" s="116"/>
      <c r="E6732" s="116"/>
    </row>
    <row r="6733" spans="1:5" x14ac:dyDescent="0.25">
      <c r="A6733" s="83"/>
      <c r="B6733" s="84"/>
      <c r="C6733" s="84"/>
      <c r="D6733" s="116"/>
      <c r="E6733" s="116"/>
    </row>
    <row r="6734" spans="1:5" x14ac:dyDescent="0.25">
      <c r="A6734" s="83"/>
      <c r="B6734" s="84"/>
      <c r="C6734" s="84"/>
      <c r="D6734" s="116"/>
      <c r="E6734" s="116"/>
    </row>
    <row r="6735" spans="1:5" x14ac:dyDescent="0.25">
      <c r="A6735" s="83"/>
      <c r="B6735" s="84"/>
      <c r="C6735" s="84"/>
      <c r="D6735" s="116"/>
      <c r="E6735" s="116"/>
    </row>
    <row r="6736" spans="1:5" x14ac:dyDescent="0.25">
      <c r="A6736" s="83"/>
      <c r="B6736" s="84"/>
      <c r="C6736" s="84"/>
      <c r="D6736" s="116"/>
      <c r="E6736" s="116"/>
    </row>
    <row r="6737" spans="1:5" x14ac:dyDescent="0.25">
      <c r="A6737" s="83"/>
      <c r="B6737" s="84"/>
      <c r="C6737" s="84"/>
      <c r="D6737" s="116"/>
      <c r="E6737" s="116"/>
    </row>
    <row r="6738" spans="1:5" x14ac:dyDescent="0.25">
      <c r="A6738" s="83"/>
      <c r="B6738" s="84"/>
      <c r="C6738" s="84"/>
      <c r="D6738" s="116"/>
      <c r="E6738" s="116"/>
    </row>
    <row r="6739" spans="1:5" x14ac:dyDescent="0.25">
      <c r="A6739" s="83"/>
      <c r="B6739" s="84"/>
      <c r="C6739" s="84"/>
      <c r="D6739" s="116"/>
      <c r="E6739" s="116"/>
    </row>
    <row r="6740" spans="1:5" x14ac:dyDescent="0.25">
      <c r="A6740" s="83"/>
      <c r="B6740" s="84"/>
      <c r="C6740" s="84"/>
      <c r="D6740" s="116"/>
      <c r="E6740" s="116"/>
    </row>
    <row r="6741" spans="1:5" x14ac:dyDescent="0.25">
      <c r="A6741" s="83"/>
      <c r="B6741" s="84"/>
      <c r="C6741" s="84"/>
      <c r="D6741" s="116"/>
      <c r="E6741" s="116"/>
    </row>
    <row r="6742" spans="1:5" x14ac:dyDescent="0.25">
      <c r="A6742" s="83"/>
      <c r="B6742" s="84"/>
      <c r="C6742" s="84"/>
      <c r="D6742" s="116"/>
      <c r="E6742" s="116"/>
    </row>
    <row r="6743" spans="1:5" x14ac:dyDescent="0.25">
      <c r="A6743" s="83"/>
      <c r="B6743" s="84"/>
      <c r="C6743" s="84"/>
      <c r="D6743" s="116"/>
      <c r="E6743" s="116"/>
    </row>
    <row r="6744" spans="1:5" x14ac:dyDescent="0.25">
      <c r="A6744" s="83"/>
      <c r="B6744" s="84"/>
      <c r="C6744" s="84"/>
      <c r="D6744" s="116"/>
      <c r="E6744" s="116"/>
    </row>
    <row r="6745" spans="1:5" x14ac:dyDescent="0.25">
      <c r="A6745" s="83"/>
      <c r="B6745" s="84"/>
      <c r="C6745" s="84"/>
      <c r="D6745" s="116"/>
      <c r="E6745" s="116"/>
    </row>
    <row r="6746" spans="1:5" x14ac:dyDescent="0.25">
      <c r="A6746" s="83"/>
      <c r="B6746" s="84"/>
      <c r="C6746" s="84"/>
      <c r="D6746" s="116"/>
      <c r="E6746" s="116"/>
    </row>
    <row r="6747" spans="1:5" x14ac:dyDescent="0.25">
      <c r="A6747" s="83"/>
      <c r="B6747" s="84"/>
      <c r="C6747" s="84"/>
      <c r="D6747" s="116"/>
      <c r="E6747" s="116"/>
    </row>
    <row r="6748" spans="1:5" x14ac:dyDescent="0.25">
      <c r="A6748" s="83"/>
      <c r="B6748" s="84"/>
      <c r="C6748" s="84"/>
      <c r="D6748" s="116"/>
      <c r="E6748" s="116"/>
    </row>
    <row r="6749" spans="1:5" x14ac:dyDescent="0.25">
      <c r="A6749" s="83"/>
      <c r="B6749" s="84"/>
      <c r="C6749" s="84"/>
      <c r="D6749" s="116"/>
      <c r="E6749" s="116"/>
    </row>
    <row r="6750" spans="1:5" x14ac:dyDescent="0.25">
      <c r="A6750" s="83"/>
      <c r="B6750" s="84"/>
      <c r="C6750" s="84"/>
      <c r="D6750" s="116"/>
      <c r="E6750" s="116"/>
    </row>
    <row r="6751" spans="1:5" x14ac:dyDescent="0.25">
      <c r="A6751" s="83"/>
      <c r="B6751" s="84"/>
      <c r="C6751" s="84"/>
      <c r="D6751" s="116"/>
      <c r="E6751" s="116"/>
    </row>
    <row r="6752" spans="1:5" x14ac:dyDescent="0.25">
      <c r="A6752" s="83"/>
      <c r="B6752" s="84"/>
      <c r="C6752" s="84"/>
      <c r="D6752" s="116"/>
      <c r="E6752" s="116"/>
    </row>
    <row r="6753" spans="1:5" x14ac:dyDescent="0.25">
      <c r="A6753" s="83"/>
      <c r="B6753" s="84"/>
      <c r="C6753" s="84"/>
      <c r="D6753" s="116"/>
      <c r="E6753" s="116"/>
    </row>
    <row r="6754" spans="1:5" x14ac:dyDescent="0.25">
      <c r="A6754" s="83"/>
      <c r="B6754" s="84"/>
      <c r="C6754" s="84"/>
      <c r="D6754" s="116"/>
      <c r="E6754" s="116"/>
    </row>
    <row r="6755" spans="1:5" x14ac:dyDescent="0.25">
      <c r="A6755" s="83"/>
      <c r="B6755" s="84"/>
      <c r="C6755" s="84"/>
      <c r="D6755" s="116"/>
      <c r="E6755" s="116"/>
    </row>
    <row r="6756" spans="1:5" x14ac:dyDescent="0.25">
      <c r="A6756" s="83"/>
      <c r="B6756" s="84"/>
      <c r="C6756" s="84"/>
      <c r="D6756" s="116"/>
      <c r="E6756" s="116"/>
    </row>
    <row r="6757" spans="1:5" x14ac:dyDescent="0.25">
      <c r="A6757" s="83"/>
      <c r="B6757" s="84"/>
      <c r="C6757" s="84"/>
      <c r="D6757" s="116"/>
      <c r="E6757" s="116"/>
    </row>
    <row r="6758" spans="1:5" x14ac:dyDescent="0.25">
      <c r="A6758" s="83"/>
      <c r="B6758" s="84"/>
      <c r="C6758" s="84"/>
      <c r="D6758" s="116"/>
      <c r="E6758" s="116"/>
    </row>
    <row r="6759" spans="1:5" x14ac:dyDescent="0.25">
      <c r="A6759" s="83"/>
      <c r="B6759" s="84"/>
      <c r="C6759" s="84"/>
      <c r="D6759" s="116"/>
      <c r="E6759" s="116"/>
    </row>
    <row r="6760" spans="1:5" x14ac:dyDescent="0.25">
      <c r="A6760" s="83"/>
      <c r="B6760" s="84"/>
      <c r="C6760" s="84"/>
      <c r="D6760" s="116"/>
      <c r="E6760" s="116"/>
    </row>
    <row r="6761" spans="1:5" x14ac:dyDescent="0.25">
      <c r="A6761" s="83"/>
      <c r="B6761" s="84"/>
      <c r="C6761" s="84"/>
      <c r="D6761" s="116"/>
      <c r="E6761" s="116"/>
    </row>
    <row r="6762" spans="1:5" x14ac:dyDescent="0.25">
      <c r="A6762" s="83"/>
      <c r="B6762" s="84"/>
      <c r="C6762" s="84"/>
      <c r="D6762" s="116"/>
      <c r="E6762" s="116"/>
    </row>
    <row r="6763" spans="1:5" x14ac:dyDescent="0.25">
      <c r="A6763" s="83"/>
      <c r="B6763" s="84"/>
      <c r="C6763" s="84"/>
      <c r="D6763" s="116"/>
      <c r="E6763" s="116"/>
    </row>
    <row r="6764" spans="1:5" x14ac:dyDescent="0.25">
      <c r="A6764" s="83"/>
      <c r="B6764" s="84"/>
      <c r="C6764" s="84"/>
      <c r="D6764" s="116"/>
      <c r="E6764" s="116"/>
    </row>
    <row r="6765" spans="1:5" x14ac:dyDescent="0.25">
      <c r="A6765" s="83"/>
      <c r="B6765" s="84"/>
      <c r="C6765" s="84"/>
      <c r="D6765" s="116"/>
      <c r="E6765" s="116"/>
    </row>
    <row r="6766" spans="1:5" x14ac:dyDescent="0.25">
      <c r="A6766" s="83"/>
      <c r="B6766" s="84"/>
      <c r="C6766" s="84"/>
      <c r="D6766" s="116"/>
      <c r="E6766" s="116"/>
    </row>
    <row r="6767" spans="1:5" x14ac:dyDescent="0.25">
      <c r="A6767" s="83"/>
      <c r="B6767" s="84"/>
      <c r="C6767" s="84"/>
      <c r="D6767" s="116"/>
      <c r="E6767" s="116"/>
    </row>
    <row r="6768" spans="1:5" x14ac:dyDescent="0.25">
      <c r="A6768" s="83"/>
      <c r="B6768" s="84"/>
      <c r="C6768" s="84"/>
      <c r="D6768" s="116"/>
      <c r="E6768" s="116"/>
    </row>
    <row r="6769" spans="1:5" x14ac:dyDescent="0.25">
      <c r="A6769" s="83"/>
      <c r="B6769" s="84"/>
      <c r="C6769" s="84"/>
      <c r="D6769" s="116"/>
      <c r="E6769" s="116"/>
    </row>
    <row r="6770" spans="1:5" x14ac:dyDescent="0.25">
      <c r="A6770" s="83"/>
      <c r="B6770" s="84"/>
      <c r="C6770" s="84"/>
      <c r="D6770" s="116"/>
      <c r="E6770" s="116"/>
    </row>
    <row r="6771" spans="1:5" x14ac:dyDescent="0.25">
      <c r="A6771" s="83"/>
      <c r="B6771" s="84"/>
      <c r="C6771" s="84"/>
      <c r="D6771" s="116"/>
      <c r="E6771" s="116"/>
    </row>
    <row r="6772" spans="1:5" x14ac:dyDescent="0.25">
      <c r="A6772" s="83"/>
      <c r="B6772" s="84"/>
      <c r="C6772" s="84"/>
      <c r="D6772" s="116"/>
      <c r="E6772" s="116"/>
    </row>
    <row r="6773" spans="1:5" x14ac:dyDescent="0.25">
      <c r="A6773" s="83"/>
      <c r="B6773" s="84"/>
      <c r="C6773" s="84"/>
      <c r="D6773" s="116"/>
      <c r="E6773" s="116"/>
    </row>
    <row r="6774" spans="1:5" x14ac:dyDescent="0.25">
      <c r="A6774" s="83"/>
      <c r="B6774" s="84"/>
      <c r="C6774" s="84"/>
      <c r="D6774" s="116"/>
      <c r="E6774" s="116"/>
    </row>
    <row r="6775" spans="1:5" x14ac:dyDescent="0.25">
      <c r="A6775" s="83"/>
      <c r="B6775" s="84"/>
      <c r="C6775" s="84"/>
      <c r="D6775" s="116"/>
      <c r="E6775" s="116"/>
    </row>
    <row r="6776" spans="1:5" x14ac:dyDescent="0.25">
      <c r="A6776" s="83"/>
      <c r="B6776" s="84"/>
      <c r="C6776" s="84"/>
      <c r="D6776" s="116"/>
      <c r="E6776" s="116"/>
    </row>
    <row r="6777" spans="1:5" x14ac:dyDescent="0.25">
      <c r="A6777" s="83"/>
      <c r="B6777" s="84"/>
      <c r="C6777" s="84"/>
      <c r="D6777" s="116"/>
      <c r="E6777" s="116"/>
    </row>
    <row r="6778" spans="1:5" x14ac:dyDescent="0.25">
      <c r="A6778" s="83"/>
      <c r="B6778" s="84"/>
      <c r="C6778" s="84"/>
      <c r="D6778" s="116"/>
      <c r="E6778" s="116"/>
    </row>
    <row r="6779" spans="1:5" x14ac:dyDescent="0.25">
      <c r="A6779" s="83"/>
      <c r="B6779" s="84"/>
      <c r="C6779" s="84"/>
      <c r="D6779" s="116"/>
      <c r="E6779" s="116"/>
    </row>
    <row r="6780" spans="1:5" x14ac:dyDescent="0.25">
      <c r="A6780" s="83"/>
      <c r="B6780" s="84"/>
      <c r="C6780" s="84"/>
      <c r="D6780" s="116"/>
      <c r="E6780" s="116"/>
    </row>
    <row r="6781" spans="1:5" x14ac:dyDescent="0.25">
      <c r="A6781" s="83"/>
      <c r="B6781" s="84"/>
      <c r="C6781" s="84"/>
      <c r="D6781" s="116"/>
      <c r="E6781" s="116"/>
    </row>
    <row r="6782" spans="1:5" x14ac:dyDescent="0.25">
      <c r="A6782" s="83"/>
      <c r="B6782" s="84"/>
      <c r="C6782" s="84"/>
      <c r="D6782" s="116"/>
      <c r="E6782" s="116"/>
    </row>
    <row r="6783" spans="1:5" x14ac:dyDescent="0.25">
      <c r="A6783" s="83"/>
      <c r="B6783" s="84"/>
      <c r="C6783" s="84"/>
      <c r="D6783" s="116"/>
      <c r="E6783" s="116"/>
    </row>
    <row r="6784" spans="1:5" x14ac:dyDescent="0.25">
      <c r="A6784" s="83"/>
      <c r="B6784" s="84"/>
      <c r="C6784" s="84"/>
      <c r="D6784" s="116"/>
      <c r="E6784" s="116"/>
    </row>
    <row r="6785" spans="1:5" x14ac:dyDescent="0.25">
      <c r="A6785" s="83"/>
      <c r="B6785" s="84"/>
      <c r="C6785" s="84"/>
      <c r="D6785" s="116"/>
      <c r="E6785" s="116"/>
    </row>
    <row r="6786" spans="1:5" x14ac:dyDescent="0.25">
      <c r="A6786" s="83"/>
      <c r="B6786" s="84"/>
      <c r="C6786" s="84"/>
      <c r="D6786" s="116"/>
      <c r="E6786" s="116"/>
    </row>
    <row r="6787" spans="1:5" x14ac:dyDescent="0.25">
      <c r="A6787" s="83"/>
      <c r="B6787" s="84"/>
      <c r="C6787" s="84"/>
      <c r="D6787" s="116"/>
      <c r="E6787" s="116"/>
    </row>
    <row r="6788" spans="1:5" x14ac:dyDescent="0.25">
      <c r="A6788" s="83"/>
      <c r="B6788" s="84"/>
      <c r="C6788" s="84"/>
      <c r="D6788" s="116"/>
      <c r="E6788" s="116"/>
    </row>
    <row r="6789" spans="1:5" x14ac:dyDescent="0.25">
      <c r="A6789" s="83"/>
      <c r="B6789" s="84"/>
      <c r="C6789" s="84"/>
      <c r="D6789" s="116"/>
      <c r="E6789" s="116"/>
    </row>
    <row r="6790" spans="1:5" x14ac:dyDescent="0.25">
      <c r="A6790" s="83"/>
      <c r="B6790" s="84"/>
      <c r="C6790" s="84"/>
      <c r="D6790" s="116"/>
      <c r="E6790" s="116"/>
    </row>
    <row r="6791" spans="1:5" x14ac:dyDescent="0.25">
      <c r="A6791" s="83"/>
      <c r="B6791" s="84"/>
      <c r="C6791" s="84"/>
      <c r="D6791" s="116"/>
      <c r="E6791" s="116"/>
    </row>
    <row r="6792" spans="1:5" x14ac:dyDescent="0.25">
      <c r="A6792" s="83"/>
      <c r="B6792" s="84"/>
      <c r="C6792" s="84"/>
      <c r="D6792" s="116"/>
      <c r="E6792" s="116"/>
    </row>
    <row r="6793" spans="1:5" x14ac:dyDescent="0.25">
      <c r="A6793" s="83"/>
      <c r="B6793" s="84"/>
      <c r="C6793" s="84"/>
      <c r="D6793" s="116"/>
      <c r="E6793" s="116"/>
    </row>
    <row r="6794" spans="1:5" x14ac:dyDescent="0.25">
      <c r="A6794" s="83"/>
      <c r="B6794" s="84"/>
      <c r="C6794" s="84"/>
      <c r="D6794" s="116"/>
      <c r="E6794" s="116"/>
    </row>
    <row r="6795" spans="1:5" x14ac:dyDescent="0.25">
      <c r="A6795" s="83"/>
      <c r="B6795" s="84"/>
      <c r="C6795" s="84"/>
      <c r="D6795" s="116"/>
      <c r="E6795" s="116"/>
    </row>
    <row r="6796" spans="1:5" x14ac:dyDescent="0.25">
      <c r="A6796" s="83"/>
      <c r="B6796" s="84"/>
      <c r="C6796" s="84"/>
      <c r="D6796" s="116"/>
      <c r="E6796" s="116"/>
    </row>
    <row r="6797" spans="1:5" x14ac:dyDescent="0.25">
      <c r="A6797" s="83"/>
      <c r="B6797" s="84"/>
      <c r="C6797" s="84"/>
      <c r="D6797" s="116"/>
      <c r="E6797" s="116"/>
    </row>
    <row r="6798" spans="1:5" x14ac:dyDescent="0.25">
      <c r="A6798" s="83"/>
      <c r="B6798" s="84"/>
      <c r="C6798" s="84"/>
      <c r="D6798" s="116"/>
      <c r="E6798" s="116"/>
    </row>
    <row r="6799" spans="1:5" x14ac:dyDescent="0.25">
      <c r="A6799" s="83"/>
      <c r="B6799" s="84"/>
      <c r="C6799" s="84"/>
      <c r="D6799" s="116"/>
      <c r="E6799" s="116"/>
    </row>
    <row r="6800" spans="1:5" x14ac:dyDescent="0.25">
      <c r="A6800" s="83"/>
      <c r="B6800" s="84"/>
      <c r="C6800" s="84"/>
      <c r="D6800" s="116"/>
      <c r="E6800" s="116"/>
    </row>
    <row r="6801" spans="1:5" x14ac:dyDescent="0.25">
      <c r="A6801" s="83"/>
      <c r="B6801" s="84"/>
      <c r="C6801" s="84"/>
      <c r="D6801" s="116"/>
      <c r="E6801" s="116"/>
    </row>
    <row r="6802" spans="1:5" x14ac:dyDescent="0.25">
      <c r="A6802" s="83"/>
      <c r="B6802" s="84"/>
      <c r="C6802" s="84"/>
      <c r="D6802" s="116"/>
      <c r="E6802" s="116"/>
    </row>
    <row r="6803" spans="1:5" x14ac:dyDescent="0.25">
      <c r="A6803" s="83"/>
      <c r="B6803" s="84"/>
      <c r="C6803" s="84"/>
      <c r="D6803" s="116"/>
      <c r="E6803" s="116"/>
    </row>
    <row r="6804" spans="1:5" x14ac:dyDescent="0.25">
      <c r="A6804" s="83"/>
      <c r="B6804" s="84"/>
      <c r="C6804" s="84"/>
      <c r="D6804" s="116"/>
      <c r="E6804" s="116"/>
    </row>
    <row r="6805" spans="1:5" x14ac:dyDescent="0.25">
      <c r="A6805" s="83"/>
      <c r="B6805" s="84"/>
      <c r="C6805" s="84"/>
      <c r="D6805" s="116"/>
      <c r="E6805" s="116"/>
    </row>
    <row r="6806" spans="1:5" x14ac:dyDescent="0.25">
      <c r="A6806" s="83"/>
      <c r="B6806" s="84"/>
      <c r="C6806" s="84"/>
      <c r="D6806" s="116"/>
      <c r="E6806" s="116"/>
    </row>
    <row r="6807" spans="1:5" x14ac:dyDescent="0.25">
      <c r="A6807" s="83"/>
      <c r="B6807" s="84"/>
      <c r="C6807" s="84"/>
      <c r="D6807" s="116"/>
      <c r="E6807" s="116"/>
    </row>
    <row r="6808" spans="1:5" x14ac:dyDescent="0.25">
      <c r="A6808" s="83"/>
      <c r="B6808" s="84"/>
      <c r="C6808" s="84"/>
      <c r="D6808" s="116"/>
      <c r="E6808" s="116"/>
    </row>
    <row r="6809" spans="1:5" x14ac:dyDescent="0.25">
      <c r="A6809" s="83"/>
      <c r="B6809" s="84"/>
      <c r="C6809" s="84"/>
      <c r="D6809" s="116"/>
      <c r="E6809" s="116"/>
    </row>
    <row r="6810" spans="1:5" x14ac:dyDescent="0.25">
      <c r="A6810" s="83"/>
      <c r="B6810" s="84"/>
      <c r="C6810" s="84"/>
      <c r="D6810" s="116"/>
      <c r="E6810" s="116"/>
    </row>
    <row r="6811" spans="1:5" x14ac:dyDescent="0.25">
      <c r="A6811" s="83"/>
      <c r="B6811" s="84"/>
      <c r="C6811" s="84"/>
      <c r="D6811" s="116"/>
      <c r="E6811" s="116"/>
    </row>
    <row r="6812" spans="1:5" x14ac:dyDescent="0.25">
      <c r="A6812" s="83"/>
      <c r="B6812" s="84"/>
      <c r="C6812" s="84"/>
      <c r="D6812" s="116"/>
      <c r="E6812" s="116"/>
    </row>
    <row r="6813" spans="1:5" x14ac:dyDescent="0.25">
      <c r="A6813" s="83"/>
      <c r="B6813" s="84"/>
      <c r="C6813" s="84"/>
      <c r="D6813" s="116"/>
      <c r="E6813" s="116"/>
    </row>
    <row r="6814" spans="1:5" x14ac:dyDescent="0.25">
      <c r="A6814" s="83"/>
      <c r="B6814" s="84"/>
      <c r="C6814" s="84"/>
      <c r="D6814" s="116"/>
      <c r="E6814" s="116"/>
    </row>
    <row r="6815" spans="1:5" x14ac:dyDescent="0.25">
      <c r="A6815" s="83"/>
      <c r="B6815" s="84"/>
      <c r="C6815" s="84"/>
      <c r="D6815" s="116"/>
      <c r="E6815" s="116"/>
    </row>
    <row r="6816" spans="1:5" x14ac:dyDescent="0.25">
      <c r="A6816" s="83"/>
      <c r="B6816" s="84"/>
      <c r="C6816" s="84"/>
      <c r="D6816" s="116"/>
      <c r="E6816" s="116"/>
    </row>
    <row r="6817" spans="1:5" x14ac:dyDescent="0.25">
      <c r="A6817" s="83"/>
      <c r="B6817" s="84"/>
      <c r="C6817" s="84"/>
      <c r="D6817" s="116"/>
      <c r="E6817" s="116"/>
    </row>
    <row r="6818" spans="1:5" x14ac:dyDescent="0.25">
      <c r="A6818" s="83"/>
      <c r="B6818" s="84"/>
      <c r="C6818" s="84"/>
      <c r="D6818" s="116"/>
      <c r="E6818" s="116"/>
    </row>
    <row r="6819" spans="1:5" x14ac:dyDescent="0.25">
      <c r="A6819" s="83"/>
      <c r="B6819" s="84"/>
      <c r="C6819" s="84"/>
      <c r="D6819" s="116"/>
      <c r="E6819" s="116"/>
    </row>
    <row r="6820" spans="1:5" x14ac:dyDescent="0.25">
      <c r="A6820" s="83"/>
      <c r="B6820" s="84"/>
      <c r="C6820" s="84"/>
      <c r="D6820" s="116"/>
      <c r="E6820" s="116"/>
    </row>
    <row r="6821" spans="1:5" x14ac:dyDescent="0.25">
      <c r="A6821" s="83"/>
      <c r="B6821" s="84"/>
      <c r="C6821" s="84"/>
      <c r="D6821" s="116"/>
      <c r="E6821" s="116"/>
    </row>
    <row r="6822" spans="1:5" x14ac:dyDescent="0.25">
      <c r="A6822" s="83"/>
      <c r="B6822" s="84"/>
      <c r="C6822" s="84"/>
      <c r="D6822" s="116"/>
      <c r="E6822" s="116"/>
    </row>
    <row r="6823" spans="1:5" x14ac:dyDescent="0.25">
      <c r="A6823" s="83"/>
      <c r="B6823" s="84"/>
      <c r="C6823" s="84"/>
      <c r="D6823" s="116"/>
      <c r="E6823" s="116"/>
    </row>
    <row r="6824" spans="1:5" x14ac:dyDescent="0.25">
      <c r="A6824" s="83"/>
      <c r="B6824" s="84"/>
      <c r="C6824" s="84"/>
      <c r="D6824" s="116"/>
      <c r="E6824" s="116"/>
    </row>
    <row r="6825" spans="1:5" x14ac:dyDescent="0.25">
      <c r="A6825" s="83"/>
      <c r="B6825" s="84"/>
      <c r="C6825" s="84"/>
      <c r="D6825" s="116"/>
      <c r="E6825" s="116"/>
    </row>
    <row r="6826" spans="1:5" x14ac:dyDescent="0.25">
      <c r="A6826" s="83"/>
      <c r="B6826" s="84"/>
      <c r="C6826" s="84"/>
      <c r="D6826" s="116"/>
      <c r="E6826" s="116"/>
    </row>
    <row r="6827" spans="1:5" x14ac:dyDescent="0.25">
      <c r="A6827" s="83"/>
      <c r="B6827" s="84"/>
      <c r="C6827" s="84"/>
      <c r="D6827" s="116"/>
      <c r="E6827" s="116"/>
    </row>
    <row r="6828" spans="1:5" x14ac:dyDescent="0.25">
      <c r="A6828" s="83"/>
      <c r="B6828" s="84"/>
      <c r="C6828" s="84"/>
      <c r="D6828" s="116"/>
      <c r="E6828" s="116"/>
    </row>
    <row r="6829" spans="1:5" x14ac:dyDescent="0.25">
      <c r="A6829" s="83"/>
      <c r="B6829" s="84"/>
      <c r="C6829" s="84"/>
      <c r="D6829" s="116"/>
      <c r="E6829" s="116"/>
    </row>
    <row r="6830" spans="1:5" x14ac:dyDescent="0.25">
      <c r="A6830" s="83"/>
      <c r="B6830" s="84"/>
      <c r="C6830" s="84"/>
      <c r="D6830" s="116"/>
      <c r="E6830" s="116"/>
    </row>
    <row r="6831" spans="1:5" x14ac:dyDescent="0.25">
      <c r="A6831" s="83"/>
      <c r="B6831" s="84"/>
      <c r="C6831" s="84"/>
      <c r="D6831" s="116"/>
      <c r="E6831" s="116"/>
    </row>
    <row r="6832" spans="1:5" x14ac:dyDescent="0.25">
      <c r="A6832" s="83"/>
      <c r="B6832" s="84"/>
      <c r="C6832" s="84"/>
      <c r="D6832" s="116"/>
      <c r="E6832" s="116"/>
    </row>
    <row r="6833" spans="1:5" x14ac:dyDescent="0.25">
      <c r="A6833" s="83"/>
      <c r="B6833" s="84"/>
      <c r="C6833" s="84"/>
      <c r="D6833" s="116"/>
      <c r="E6833" s="116"/>
    </row>
    <row r="6834" spans="1:5" x14ac:dyDescent="0.25">
      <c r="A6834" s="83"/>
      <c r="B6834" s="84"/>
      <c r="C6834" s="84"/>
      <c r="D6834" s="116"/>
      <c r="E6834" s="116"/>
    </row>
    <row r="6835" spans="1:5" x14ac:dyDescent="0.25">
      <c r="A6835" s="83"/>
      <c r="B6835" s="84"/>
      <c r="C6835" s="84"/>
      <c r="D6835" s="116"/>
      <c r="E6835" s="116"/>
    </row>
    <row r="6836" spans="1:5" x14ac:dyDescent="0.25">
      <c r="A6836" s="83"/>
      <c r="B6836" s="84"/>
      <c r="C6836" s="84"/>
      <c r="D6836" s="116"/>
      <c r="E6836" s="116"/>
    </row>
    <row r="6837" spans="1:5" x14ac:dyDescent="0.25">
      <c r="A6837" s="83"/>
      <c r="B6837" s="84"/>
      <c r="C6837" s="84"/>
      <c r="D6837" s="116"/>
      <c r="E6837" s="116"/>
    </row>
    <row r="6838" spans="1:5" x14ac:dyDescent="0.25">
      <c r="A6838" s="83"/>
      <c r="B6838" s="84"/>
      <c r="C6838" s="84"/>
      <c r="D6838" s="116"/>
      <c r="E6838" s="116"/>
    </row>
    <row r="6839" spans="1:5" x14ac:dyDescent="0.25">
      <c r="A6839" s="83"/>
      <c r="B6839" s="84"/>
      <c r="C6839" s="84"/>
      <c r="D6839" s="116"/>
      <c r="E6839" s="116"/>
    </row>
    <row r="6840" spans="1:5" x14ac:dyDescent="0.25">
      <c r="A6840" s="83"/>
      <c r="B6840" s="84"/>
      <c r="C6840" s="84"/>
      <c r="D6840" s="116"/>
      <c r="E6840" s="116"/>
    </row>
    <row r="6841" spans="1:5" x14ac:dyDescent="0.25">
      <c r="A6841" s="83"/>
      <c r="B6841" s="84"/>
      <c r="C6841" s="84"/>
      <c r="D6841" s="116"/>
      <c r="E6841" s="116"/>
    </row>
    <row r="6842" spans="1:5" x14ac:dyDescent="0.25">
      <c r="A6842" s="83"/>
      <c r="B6842" s="84"/>
      <c r="C6842" s="84"/>
      <c r="D6842" s="116"/>
      <c r="E6842" s="116"/>
    </row>
    <row r="6843" spans="1:5" x14ac:dyDescent="0.25">
      <c r="A6843" s="83"/>
      <c r="B6843" s="84"/>
      <c r="C6843" s="84"/>
      <c r="D6843" s="116"/>
      <c r="E6843" s="116"/>
    </row>
    <row r="6844" spans="1:5" x14ac:dyDescent="0.25">
      <c r="A6844" s="83"/>
      <c r="B6844" s="84"/>
      <c r="C6844" s="84"/>
      <c r="D6844" s="116"/>
      <c r="E6844" s="116"/>
    </row>
    <row r="6845" spans="1:5" x14ac:dyDescent="0.25">
      <c r="A6845" s="83"/>
      <c r="B6845" s="84"/>
      <c r="C6845" s="84"/>
      <c r="D6845" s="116"/>
      <c r="E6845" s="116"/>
    </row>
    <row r="6846" spans="1:5" x14ac:dyDescent="0.25">
      <c r="A6846" s="83"/>
      <c r="B6846" s="84"/>
      <c r="C6846" s="84"/>
      <c r="D6846" s="116"/>
      <c r="E6846" s="116"/>
    </row>
    <row r="6847" spans="1:5" x14ac:dyDescent="0.25">
      <c r="A6847" s="83"/>
      <c r="B6847" s="84"/>
      <c r="C6847" s="84"/>
      <c r="D6847" s="116"/>
      <c r="E6847" s="116"/>
    </row>
    <row r="6848" spans="1:5" x14ac:dyDescent="0.25">
      <c r="A6848" s="83"/>
      <c r="B6848" s="84"/>
      <c r="C6848" s="84"/>
      <c r="D6848" s="116"/>
      <c r="E6848" s="116"/>
    </row>
    <row r="6849" spans="1:5" x14ac:dyDescent="0.25">
      <c r="A6849" s="83"/>
      <c r="B6849" s="84"/>
      <c r="C6849" s="84"/>
      <c r="D6849" s="116"/>
      <c r="E6849" s="116"/>
    </row>
    <row r="6850" spans="1:5" x14ac:dyDescent="0.25">
      <c r="A6850" s="83"/>
      <c r="B6850" s="84"/>
      <c r="C6850" s="84"/>
      <c r="D6850" s="116"/>
      <c r="E6850" s="116"/>
    </row>
    <row r="6851" spans="1:5" x14ac:dyDescent="0.25">
      <c r="A6851" s="83"/>
      <c r="B6851" s="84"/>
      <c r="C6851" s="84"/>
      <c r="D6851" s="116"/>
      <c r="E6851" s="116"/>
    </row>
    <row r="6852" spans="1:5" x14ac:dyDescent="0.25">
      <c r="A6852" s="83"/>
      <c r="B6852" s="84"/>
      <c r="C6852" s="84"/>
      <c r="D6852" s="116"/>
      <c r="E6852" s="116"/>
    </row>
    <row r="6853" spans="1:5" x14ac:dyDescent="0.25">
      <c r="A6853" s="83"/>
      <c r="B6853" s="84"/>
      <c r="C6853" s="84"/>
      <c r="D6853" s="116"/>
      <c r="E6853" s="116"/>
    </row>
    <row r="6854" spans="1:5" x14ac:dyDescent="0.25">
      <c r="A6854" s="83"/>
      <c r="B6854" s="84"/>
      <c r="C6854" s="84"/>
      <c r="D6854" s="116"/>
      <c r="E6854" s="116"/>
    </row>
    <row r="6855" spans="1:5" x14ac:dyDescent="0.25">
      <c r="A6855" s="83"/>
      <c r="B6855" s="84"/>
      <c r="C6855" s="84"/>
      <c r="D6855" s="116"/>
      <c r="E6855" s="116"/>
    </row>
    <row r="6856" spans="1:5" x14ac:dyDescent="0.25">
      <c r="A6856" s="83"/>
      <c r="B6856" s="84"/>
      <c r="C6856" s="84"/>
      <c r="D6856" s="116"/>
      <c r="E6856" s="116"/>
    </row>
    <row r="6857" spans="1:5" x14ac:dyDescent="0.25">
      <c r="A6857" s="83"/>
      <c r="B6857" s="84"/>
      <c r="C6857" s="84"/>
      <c r="D6857" s="116"/>
      <c r="E6857" s="116"/>
    </row>
    <row r="6858" spans="1:5" x14ac:dyDescent="0.25">
      <c r="A6858" s="83"/>
      <c r="B6858" s="84"/>
      <c r="C6858" s="84"/>
      <c r="D6858" s="116"/>
      <c r="E6858" s="116"/>
    </row>
    <row r="6859" spans="1:5" x14ac:dyDescent="0.25">
      <c r="A6859" s="83"/>
      <c r="B6859" s="84"/>
      <c r="C6859" s="84"/>
      <c r="D6859" s="116"/>
      <c r="E6859" s="116"/>
    </row>
    <row r="6860" spans="1:5" x14ac:dyDescent="0.25">
      <c r="A6860" s="83"/>
      <c r="B6860" s="84"/>
      <c r="C6860" s="84"/>
      <c r="D6860" s="116"/>
      <c r="E6860" s="116"/>
    </row>
    <row r="6861" spans="1:5" x14ac:dyDescent="0.25">
      <c r="A6861" s="83"/>
      <c r="B6861" s="84"/>
      <c r="C6861" s="84"/>
      <c r="D6861" s="116"/>
      <c r="E6861" s="116"/>
    </row>
    <row r="6862" spans="1:5" x14ac:dyDescent="0.25">
      <c r="A6862" s="83"/>
      <c r="B6862" s="84"/>
      <c r="C6862" s="84"/>
      <c r="D6862" s="116"/>
      <c r="E6862" s="116"/>
    </row>
    <row r="6863" spans="1:5" x14ac:dyDescent="0.25">
      <c r="A6863" s="83"/>
      <c r="B6863" s="84"/>
      <c r="C6863" s="84"/>
      <c r="D6863" s="116"/>
      <c r="E6863" s="116"/>
    </row>
    <row r="6864" spans="1:5" x14ac:dyDescent="0.25">
      <c r="A6864" s="83"/>
      <c r="B6864" s="84"/>
      <c r="C6864" s="84"/>
      <c r="D6864" s="116"/>
      <c r="E6864" s="116"/>
    </row>
    <row r="6865" spans="1:5" x14ac:dyDescent="0.25">
      <c r="A6865" s="83"/>
      <c r="B6865" s="84"/>
      <c r="C6865" s="84"/>
      <c r="D6865" s="116"/>
      <c r="E6865" s="116"/>
    </row>
    <row r="6866" spans="1:5" x14ac:dyDescent="0.25">
      <c r="A6866" s="83"/>
      <c r="B6866" s="84"/>
      <c r="C6866" s="84"/>
      <c r="D6866" s="116"/>
      <c r="E6866" s="116"/>
    </row>
    <row r="6867" spans="1:5" x14ac:dyDescent="0.25">
      <c r="A6867" s="83"/>
      <c r="B6867" s="84"/>
      <c r="C6867" s="84"/>
      <c r="D6867" s="116"/>
      <c r="E6867" s="116"/>
    </row>
    <row r="6868" spans="1:5" x14ac:dyDescent="0.25">
      <c r="A6868" s="83"/>
      <c r="B6868" s="84"/>
      <c r="C6868" s="84"/>
      <c r="D6868" s="116"/>
      <c r="E6868" s="116"/>
    </row>
    <row r="6869" spans="1:5" x14ac:dyDescent="0.25">
      <c r="A6869" s="83"/>
      <c r="B6869" s="84"/>
      <c r="C6869" s="84"/>
      <c r="D6869" s="116"/>
      <c r="E6869" s="116"/>
    </row>
    <row r="6870" spans="1:5" x14ac:dyDescent="0.25">
      <c r="A6870" s="83"/>
      <c r="B6870" s="84"/>
      <c r="C6870" s="84"/>
      <c r="D6870" s="116"/>
      <c r="E6870" s="116"/>
    </row>
    <row r="6871" spans="1:5" x14ac:dyDescent="0.25">
      <c r="A6871" s="83"/>
      <c r="B6871" s="84"/>
      <c r="C6871" s="84"/>
      <c r="D6871" s="116"/>
      <c r="E6871" s="116"/>
    </row>
    <row r="6872" spans="1:5" x14ac:dyDescent="0.25">
      <c r="A6872" s="83"/>
      <c r="B6872" s="84"/>
      <c r="C6872" s="84"/>
      <c r="D6872" s="116"/>
      <c r="E6872" s="116"/>
    </row>
    <row r="6873" spans="1:5" x14ac:dyDescent="0.25">
      <c r="A6873" s="83"/>
      <c r="B6873" s="84"/>
      <c r="C6873" s="84"/>
      <c r="D6873" s="116"/>
      <c r="E6873" s="116"/>
    </row>
    <row r="6874" spans="1:5" x14ac:dyDescent="0.25">
      <c r="A6874" s="83"/>
      <c r="B6874" s="84"/>
      <c r="C6874" s="84"/>
      <c r="D6874" s="116"/>
      <c r="E6874" s="116"/>
    </row>
    <row r="6875" spans="1:5" x14ac:dyDescent="0.25">
      <c r="A6875" s="83"/>
      <c r="B6875" s="84"/>
      <c r="C6875" s="84"/>
      <c r="D6875" s="116"/>
      <c r="E6875" s="116"/>
    </row>
    <row r="6876" spans="1:5" x14ac:dyDescent="0.25">
      <c r="A6876" s="83"/>
      <c r="B6876" s="84"/>
      <c r="C6876" s="84"/>
      <c r="D6876" s="116"/>
      <c r="E6876" s="116"/>
    </row>
    <row r="6877" spans="1:5" x14ac:dyDescent="0.25">
      <c r="A6877" s="83"/>
      <c r="B6877" s="84"/>
      <c r="C6877" s="84"/>
      <c r="D6877" s="116"/>
      <c r="E6877" s="116"/>
    </row>
    <row r="6878" spans="1:5" x14ac:dyDescent="0.25">
      <c r="A6878" s="83"/>
      <c r="B6878" s="84"/>
      <c r="C6878" s="84"/>
      <c r="D6878" s="116"/>
      <c r="E6878" s="116"/>
    </row>
    <row r="6879" spans="1:5" x14ac:dyDescent="0.25">
      <c r="A6879" s="83"/>
      <c r="B6879" s="84"/>
      <c r="C6879" s="84"/>
      <c r="D6879" s="116"/>
      <c r="E6879" s="116"/>
    </row>
    <row r="6880" spans="1:5" x14ac:dyDescent="0.25">
      <c r="A6880" s="83"/>
      <c r="B6880" s="84"/>
      <c r="C6880" s="84"/>
      <c r="D6880" s="116"/>
      <c r="E6880" s="116"/>
    </row>
    <row r="6881" spans="1:5" x14ac:dyDescent="0.25">
      <c r="A6881" s="83"/>
      <c r="B6881" s="84"/>
      <c r="C6881" s="84"/>
      <c r="D6881" s="116"/>
      <c r="E6881" s="116"/>
    </row>
    <row r="6882" spans="1:5" x14ac:dyDescent="0.25">
      <c r="A6882" s="83"/>
      <c r="B6882" s="84"/>
      <c r="C6882" s="84"/>
      <c r="D6882" s="116"/>
      <c r="E6882" s="116"/>
    </row>
    <row r="6883" spans="1:5" x14ac:dyDescent="0.25">
      <c r="A6883" s="83"/>
      <c r="B6883" s="84"/>
      <c r="C6883" s="84"/>
      <c r="D6883" s="116"/>
      <c r="E6883" s="116"/>
    </row>
    <row r="6884" spans="1:5" x14ac:dyDescent="0.25">
      <c r="A6884" s="83"/>
      <c r="B6884" s="84"/>
      <c r="C6884" s="84"/>
      <c r="D6884" s="116"/>
      <c r="E6884" s="116"/>
    </row>
    <row r="6885" spans="1:5" x14ac:dyDescent="0.25">
      <c r="A6885" s="83"/>
      <c r="B6885" s="84"/>
      <c r="C6885" s="84"/>
      <c r="D6885" s="116"/>
      <c r="E6885" s="116"/>
    </row>
    <row r="6886" spans="1:5" x14ac:dyDescent="0.25">
      <c r="A6886" s="83"/>
      <c r="B6886" s="84"/>
      <c r="C6886" s="84"/>
      <c r="D6886" s="116"/>
      <c r="E6886" s="116"/>
    </row>
    <row r="6887" spans="1:5" x14ac:dyDescent="0.25">
      <c r="A6887" s="83"/>
      <c r="B6887" s="84"/>
      <c r="C6887" s="84"/>
      <c r="D6887" s="116"/>
      <c r="E6887" s="116"/>
    </row>
    <row r="6888" spans="1:5" x14ac:dyDescent="0.25">
      <c r="A6888" s="83"/>
      <c r="B6888" s="84"/>
      <c r="C6888" s="84"/>
      <c r="D6888" s="116"/>
      <c r="E6888" s="116"/>
    </row>
    <row r="6889" spans="1:5" x14ac:dyDescent="0.25">
      <c r="A6889" s="83"/>
      <c r="B6889" s="84"/>
      <c r="C6889" s="84"/>
      <c r="D6889" s="116"/>
      <c r="E6889" s="116"/>
    </row>
    <row r="6890" spans="1:5" x14ac:dyDescent="0.25">
      <c r="A6890" s="83"/>
      <c r="B6890" s="84"/>
      <c r="C6890" s="84"/>
      <c r="D6890" s="116"/>
      <c r="E6890" s="116"/>
    </row>
    <row r="6891" spans="1:5" x14ac:dyDescent="0.25">
      <c r="A6891" s="83"/>
      <c r="B6891" s="84"/>
      <c r="C6891" s="84"/>
      <c r="D6891" s="116"/>
      <c r="E6891" s="116"/>
    </row>
    <row r="6892" spans="1:5" x14ac:dyDescent="0.25">
      <c r="A6892" s="83"/>
      <c r="B6892" s="84"/>
      <c r="C6892" s="84"/>
      <c r="D6892" s="116"/>
      <c r="E6892" s="116"/>
    </row>
    <row r="6893" spans="1:5" x14ac:dyDescent="0.25">
      <c r="A6893" s="83"/>
      <c r="B6893" s="84"/>
      <c r="C6893" s="84"/>
      <c r="D6893" s="116"/>
      <c r="E6893" s="116"/>
    </row>
    <row r="6894" spans="1:5" x14ac:dyDescent="0.25">
      <c r="A6894" s="83"/>
      <c r="B6894" s="84"/>
      <c r="C6894" s="84"/>
      <c r="D6894" s="116"/>
      <c r="E6894" s="116"/>
    </row>
    <row r="6895" spans="1:5" x14ac:dyDescent="0.25">
      <c r="A6895" s="83"/>
      <c r="B6895" s="84"/>
      <c r="C6895" s="84"/>
      <c r="D6895" s="116"/>
      <c r="E6895" s="116"/>
    </row>
    <row r="6896" spans="1:5" x14ac:dyDescent="0.25">
      <c r="A6896" s="83"/>
      <c r="B6896" s="84"/>
      <c r="C6896" s="84"/>
      <c r="D6896" s="116"/>
      <c r="E6896" s="116"/>
    </row>
    <row r="6897" spans="1:5" x14ac:dyDescent="0.25">
      <c r="A6897" s="83"/>
      <c r="B6897" s="84"/>
      <c r="C6897" s="84"/>
      <c r="D6897" s="116"/>
      <c r="E6897" s="116"/>
    </row>
    <row r="6898" spans="1:5" x14ac:dyDescent="0.25">
      <c r="A6898" s="83"/>
      <c r="B6898" s="84"/>
      <c r="C6898" s="84"/>
      <c r="D6898" s="116"/>
      <c r="E6898" s="116"/>
    </row>
    <row r="6899" spans="1:5" x14ac:dyDescent="0.25">
      <c r="A6899" s="83"/>
      <c r="B6899" s="84"/>
      <c r="C6899" s="84"/>
      <c r="D6899" s="116"/>
      <c r="E6899" s="116"/>
    </row>
    <row r="6900" spans="1:5" x14ac:dyDescent="0.25">
      <c r="A6900" s="83"/>
      <c r="B6900" s="84"/>
      <c r="C6900" s="84"/>
      <c r="D6900" s="116"/>
      <c r="E6900" s="116"/>
    </row>
    <row r="6901" spans="1:5" x14ac:dyDescent="0.25">
      <c r="A6901" s="83"/>
      <c r="B6901" s="84"/>
      <c r="C6901" s="84"/>
      <c r="D6901" s="116"/>
      <c r="E6901" s="116"/>
    </row>
    <row r="6902" spans="1:5" x14ac:dyDescent="0.25">
      <c r="A6902" s="83"/>
      <c r="B6902" s="84"/>
      <c r="C6902" s="84"/>
      <c r="D6902" s="116"/>
      <c r="E6902" s="116"/>
    </row>
    <row r="6903" spans="1:5" x14ac:dyDescent="0.25">
      <c r="A6903" s="83"/>
      <c r="B6903" s="84"/>
      <c r="C6903" s="84"/>
      <c r="D6903" s="116"/>
      <c r="E6903" s="116"/>
    </row>
    <row r="6904" spans="1:5" x14ac:dyDescent="0.25">
      <c r="A6904" s="83"/>
      <c r="B6904" s="84"/>
      <c r="C6904" s="84"/>
      <c r="D6904" s="116"/>
      <c r="E6904" s="116"/>
    </row>
    <row r="6905" spans="1:5" x14ac:dyDescent="0.25">
      <c r="A6905" s="83"/>
      <c r="B6905" s="84"/>
      <c r="C6905" s="84"/>
      <c r="D6905" s="116"/>
      <c r="E6905" s="116"/>
    </row>
    <row r="6906" spans="1:5" x14ac:dyDescent="0.25">
      <c r="A6906" s="83"/>
      <c r="B6906" s="84"/>
      <c r="C6906" s="84"/>
      <c r="D6906" s="116"/>
      <c r="E6906" s="116"/>
    </row>
    <row r="6907" spans="1:5" x14ac:dyDescent="0.25">
      <c r="A6907" s="83"/>
      <c r="B6907" s="84"/>
      <c r="C6907" s="84"/>
      <c r="D6907" s="116"/>
      <c r="E6907" s="116"/>
    </row>
    <row r="6908" spans="1:5" x14ac:dyDescent="0.25">
      <c r="A6908" s="83"/>
      <c r="B6908" s="84"/>
      <c r="C6908" s="84"/>
      <c r="D6908" s="116"/>
      <c r="E6908" s="116"/>
    </row>
    <row r="6909" spans="1:5" x14ac:dyDescent="0.25">
      <c r="A6909" s="83"/>
      <c r="B6909" s="84"/>
      <c r="C6909" s="84"/>
      <c r="D6909" s="116"/>
      <c r="E6909" s="116"/>
    </row>
    <row r="6910" spans="1:5" x14ac:dyDescent="0.25">
      <c r="A6910" s="83"/>
      <c r="B6910" s="84"/>
      <c r="C6910" s="84"/>
      <c r="D6910" s="116"/>
      <c r="E6910" s="116"/>
    </row>
    <row r="6911" spans="1:5" x14ac:dyDescent="0.25">
      <c r="A6911" s="83"/>
      <c r="B6911" s="84"/>
      <c r="C6911" s="84"/>
      <c r="D6911" s="116"/>
      <c r="E6911" s="116"/>
    </row>
    <row r="6912" spans="1:5" x14ac:dyDescent="0.25">
      <c r="A6912" s="83"/>
      <c r="B6912" s="84"/>
      <c r="C6912" s="84"/>
      <c r="D6912" s="116"/>
      <c r="E6912" s="116"/>
    </row>
    <row r="6913" spans="1:5" x14ac:dyDescent="0.25">
      <c r="A6913" s="83"/>
      <c r="B6913" s="84"/>
      <c r="C6913" s="84"/>
      <c r="D6913" s="116"/>
      <c r="E6913" s="116"/>
    </row>
    <row r="6914" spans="1:5" x14ac:dyDescent="0.25">
      <c r="A6914" s="83"/>
      <c r="B6914" s="84"/>
      <c r="C6914" s="84"/>
      <c r="D6914" s="116"/>
      <c r="E6914" s="116"/>
    </row>
    <row r="6915" spans="1:5" x14ac:dyDescent="0.25">
      <c r="A6915" s="83"/>
      <c r="B6915" s="84"/>
      <c r="C6915" s="84"/>
      <c r="D6915" s="116"/>
      <c r="E6915" s="116"/>
    </row>
    <row r="6916" spans="1:5" x14ac:dyDescent="0.25">
      <c r="A6916" s="83"/>
      <c r="B6916" s="84"/>
      <c r="C6916" s="84"/>
      <c r="D6916" s="116"/>
      <c r="E6916" s="116"/>
    </row>
    <row r="6917" spans="1:5" x14ac:dyDescent="0.25">
      <c r="A6917" s="83"/>
      <c r="B6917" s="84"/>
      <c r="C6917" s="84"/>
      <c r="D6917" s="116"/>
      <c r="E6917" s="116"/>
    </row>
    <row r="6918" spans="1:5" x14ac:dyDescent="0.25">
      <c r="A6918" s="83"/>
      <c r="B6918" s="84"/>
      <c r="C6918" s="84"/>
      <c r="D6918" s="116"/>
      <c r="E6918" s="116"/>
    </row>
    <row r="6919" spans="1:5" x14ac:dyDescent="0.25">
      <c r="A6919" s="83"/>
      <c r="B6919" s="84"/>
      <c r="C6919" s="84"/>
      <c r="D6919" s="116"/>
      <c r="E6919" s="116"/>
    </row>
    <row r="6920" spans="1:5" x14ac:dyDescent="0.25">
      <c r="A6920" s="83"/>
      <c r="B6920" s="84"/>
      <c r="C6920" s="84"/>
      <c r="D6920" s="116"/>
      <c r="E6920" s="116"/>
    </row>
    <row r="6921" spans="1:5" x14ac:dyDescent="0.25">
      <c r="A6921" s="83"/>
      <c r="B6921" s="84"/>
      <c r="C6921" s="84"/>
      <c r="D6921" s="116"/>
      <c r="E6921" s="116"/>
    </row>
    <row r="6922" spans="1:5" x14ac:dyDescent="0.25">
      <c r="A6922" s="83"/>
      <c r="B6922" s="84"/>
      <c r="C6922" s="84"/>
      <c r="D6922" s="116"/>
      <c r="E6922" s="116"/>
    </row>
    <row r="6923" spans="1:5" x14ac:dyDescent="0.25">
      <c r="A6923" s="83"/>
      <c r="B6923" s="84"/>
      <c r="C6923" s="84"/>
      <c r="D6923" s="116"/>
      <c r="E6923" s="116"/>
    </row>
    <row r="6924" spans="1:5" x14ac:dyDescent="0.25">
      <c r="A6924" s="83"/>
      <c r="B6924" s="84"/>
      <c r="C6924" s="84"/>
      <c r="D6924" s="116"/>
      <c r="E6924" s="116"/>
    </row>
    <row r="6925" spans="1:5" x14ac:dyDescent="0.25">
      <c r="A6925" s="83"/>
      <c r="B6925" s="84"/>
      <c r="C6925" s="84"/>
      <c r="D6925" s="116"/>
      <c r="E6925" s="116"/>
    </row>
    <row r="6926" spans="1:5" x14ac:dyDescent="0.25">
      <c r="A6926" s="83"/>
      <c r="B6926" s="84"/>
      <c r="C6926" s="84"/>
      <c r="D6926" s="116"/>
      <c r="E6926" s="116"/>
    </row>
    <row r="6927" spans="1:5" x14ac:dyDescent="0.25">
      <c r="A6927" s="83"/>
      <c r="B6927" s="84"/>
      <c r="C6927" s="84"/>
      <c r="D6927" s="116"/>
      <c r="E6927" s="116"/>
    </row>
    <row r="6928" spans="1:5" x14ac:dyDescent="0.25">
      <c r="A6928" s="83"/>
      <c r="B6928" s="84"/>
      <c r="C6928" s="84"/>
      <c r="D6928" s="116"/>
      <c r="E6928" s="116"/>
    </row>
    <row r="6929" spans="1:5" x14ac:dyDescent="0.25">
      <c r="A6929" s="83"/>
      <c r="B6929" s="84"/>
      <c r="C6929" s="84"/>
      <c r="D6929" s="116"/>
      <c r="E6929" s="116"/>
    </row>
    <row r="6930" spans="1:5" x14ac:dyDescent="0.25">
      <c r="A6930" s="83"/>
      <c r="B6930" s="84"/>
      <c r="C6930" s="84"/>
      <c r="D6930" s="116"/>
      <c r="E6930" s="116"/>
    </row>
    <row r="6931" spans="1:5" x14ac:dyDescent="0.25">
      <c r="A6931" s="83"/>
      <c r="B6931" s="84"/>
      <c r="C6931" s="84"/>
      <c r="D6931" s="116"/>
      <c r="E6931" s="116"/>
    </row>
    <row r="6932" spans="1:5" x14ac:dyDescent="0.25">
      <c r="A6932" s="83"/>
      <c r="B6932" s="84"/>
      <c r="C6932" s="84"/>
      <c r="D6932" s="116"/>
      <c r="E6932" s="116"/>
    </row>
    <row r="6933" spans="1:5" x14ac:dyDescent="0.25">
      <c r="A6933" s="83"/>
      <c r="B6933" s="84"/>
      <c r="C6933" s="84"/>
      <c r="D6933" s="116"/>
      <c r="E6933" s="116"/>
    </row>
    <row r="6934" spans="1:5" x14ac:dyDescent="0.25">
      <c r="A6934" s="83"/>
      <c r="B6934" s="84"/>
      <c r="C6934" s="84"/>
      <c r="D6934" s="116"/>
      <c r="E6934" s="116"/>
    </row>
    <row r="6935" spans="1:5" x14ac:dyDescent="0.25">
      <c r="A6935" s="83"/>
      <c r="B6935" s="84"/>
      <c r="C6935" s="84"/>
      <c r="D6935" s="116"/>
      <c r="E6935" s="116"/>
    </row>
    <row r="6936" spans="1:5" x14ac:dyDescent="0.25">
      <c r="A6936" s="83"/>
      <c r="B6936" s="84"/>
      <c r="C6936" s="84"/>
      <c r="D6936" s="116"/>
      <c r="E6936" s="116"/>
    </row>
    <row r="6937" spans="1:5" x14ac:dyDescent="0.25">
      <c r="A6937" s="83"/>
      <c r="B6937" s="84"/>
      <c r="C6937" s="84"/>
      <c r="D6937" s="116"/>
      <c r="E6937" s="116"/>
    </row>
    <row r="6938" spans="1:5" x14ac:dyDescent="0.25">
      <c r="A6938" s="83"/>
      <c r="B6938" s="84"/>
      <c r="C6938" s="84"/>
      <c r="D6938" s="116"/>
      <c r="E6938" s="116"/>
    </row>
    <row r="6939" spans="1:5" x14ac:dyDescent="0.25">
      <c r="A6939" s="83"/>
      <c r="B6939" s="84"/>
      <c r="C6939" s="84"/>
      <c r="D6939" s="116"/>
      <c r="E6939" s="116"/>
    </row>
    <row r="6940" spans="1:5" x14ac:dyDescent="0.25">
      <c r="A6940" s="83"/>
      <c r="B6940" s="84"/>
      <c r="C6940" s="84"/>
      <c r="D6940" s="116"/>
      <c r="E6940" s="116"/>
    </row>
    <row r="6941" spans="1:5" x14ac:dyDescent="0.25">
      <c r="A6941" s="83"/>
      <c r="B6941" s="84"/>
      <c r="C6941" s="84"/>
      <c r="D6941" s="116"/>
      <c r="E6941" s="116"/>
    </row>
    <row r="6942" spans="1:5" x14ac:dyDescent="0.25">
      <c r="A6942" s="83"/>
      <c r="B6942" s="84"/>
      <c r="C6942" s="84"/>
      <c r="D6942" s="116"/>
      <c r="E6942" s="116"/>
    </row>
    <row r="6943" spans="1:5" x14ac:dyDescent="0.25">
      <c r="A6943" s="83"/>
      <c r="B6943" s="84"/>
      <c r="C6943" s="84"/>
      <c r="D6943" s="116"/>
      <c r="E6943" s="116"/>
    </row>
    <row r="6944" spans="1:5" x14ac:dyDescent="0.25">
      <c r="A6944" s="83"/>
      <c r="B6944" s="84"/>
      <c r="C6944" s="84"/>
      <c r="D6944" s="116"/>
      <c r="E6944" s="116"/>
    </row>
    <row r="6945" spans="1:5" x14ac:dyDescent="0.25">
      <c r="A6945" s="83"/>
      <c r="B6945" s="84"/>
      <c r="C6945" s="84"/>
      <c r="D6945" s="116"/>
      <c r="E6945" s="116"/>
    </row>
    <row r="6946" spans="1:5" x14ac:dyDescent="0.25">
      <c r="A6946" s="83"/>
      <c r="B6946" s="84"/>
      <c r="C6946" s="84"/>
      <c r="D6946" s="116"/>
      <c r="E6946" s="116"/>
    </row>
    <row r="6947" spans="1:5" x14ac:dyDescent="0.25">
      <c r="A6947" s="83"/>
      <c r="B6947" s="84"/>
      <c r="C6947" s="84"/>
      <c r="D6947" s="116"/>
      <c r="E6947" s="116"/>
    </row>
    <row r="6948" spans="1:5" x14ac:dyDescent="0.25">
      <c r="A6948" s="83"/>
      <c r="B6948" s="84"/>
      <c r="C6948" s="84"/>
      <c r="D6948" s="116"/>
      <c r="E6948" s="116"/>
    </row>
    <row r="6949" spans="1:5" x14ac:dyDescent="0.25">
      <c r="A6949" s="83"/>
      <c r="B6949" s="84"/>
      <c r="C6949" s="84"/>
      <c r="D6949" s="116"/>
      <c r="E6949" s="116"/>
    </row>
    <row r="6950" spans="1:5" x14ac:dyDescent="0.25">
      <c r="A6950" s="83"/>
      <c r="B6950" s="84"/>
      <c r="C6950" s="84"/>
      <c r="D6950" s="116"/>
      <c r="E6950" s="116"/>
    </row>
    <row r="6951" spans="1:5" x14ac:dyDescent="0.25">
      <c r="A6951" s="83"/>
      <c r="B6951" s="84"/>
      <c r="C6951" s="84"/>
      <c r="D6951" s="116"/>
      <c r="E6951" s="116"/>
    </row>
    <row r="6952" spans="1:5" x14ac:dyDescent="0.25">
      <c r="A6952" s="83"/>
      <c r="B6952" s="84"/>
      <c r="C6952" s="84"/>
      <c r="D6952" s="116"/>
      <c r="E6952" s="116"/>
    </row>
    <row r="6953" spans="1:5" x14ac:dyDescent="0.25">
      <c r="A6953" s="83"/>
      <c r="B6953" s="84"/>
      <c r="C6953" s="84"/>
      <c r="D6953" s="116"/>
      <c r="E6953" s="116"/>
    </row>
    <row r="6954" spans="1:5" x14ac:dyDescent="0.25">
      <c r="A6954" s="83"/>
      <c r="B6954" s="84"/>
      <c r="C6954" s="84"/>
      <c r="D6954" s="116"/>
      <c r="E6954" s="116"/>
    </row>
    <row r="6955" spans="1:5" x14ac:dyDescent="0.25">
      <c r="A6955" s="83"/>
      <c r="B6955" s="84"/>
      <c r="C6955" s="84"/>
      <c r="D6955" s="116"/>
      <c r="E6955" s="116"/>
    </row>
    <row r="6956" spans="1:5" x14ac:dyDescent="0.25">
      <c r="A6956" s="83"/>
      <c r="B6956" s="84"/>
      <c r="C6956" s="84"/>
      <c r="D6956" s="116"/>
      <c r="E6956" s="116"/>
    </row>
    <row r="6957" spans="1:5" x14ac:dyDescent="0.25">
      <c r="A6957" s="83"/>
      <c r="B6957" s="84"/>
      <c r="C6957" s="84"/>
      <c r="D6957" s="116"/>
      <c r="E6957" s="116"/>
    </row>
    <row r="6958" spans="1:5" x14ac:dyDescent="0.25">
      <c r="A6958" s="83"/>
      <c r="B6958" s="84"/>
      <c r="C6958" s="84"/>
      <c r="D6958" s="116"/>
      <c r="E6958" s="116"/>
    </row>
    <row r="6959" spans="1:5" x14ac:dyDescent="0.25">
      <c r="A6959" s="83"/>
      <c r="B6959" s="84"/>
      <c r="C6959" s="84"/>
      <c r="D6959" s="116"/>
      <c r="E6959" s="116"/>
    </row>
    <row r="6960" spans="1:5" x14ac:dyDescent="0.25">
      <c r="A6960" s="83"/>
      <c r="B6960" s="84"/>
      <c r="C6960" s="84"/>
      <c r="D6960" s="116"/>
      <c r="E6960" s="116"/>
    </row>
    <row r="6961" spans="1:5" x14ac:dyDescent="0.25">
      <c r="A6961" s="83"/>
      <c r="B6961" s="84"/>
      <c r="C6961" s="84"/>
      <c r="D6961" s="116"/>
      <c r="E6961" s="116"/>
    </row>
    <row r="6962" spans="1:5" x14ac:dyDescent="0.25">
      <c r="A6962" s="83"/>
      <c r="B6962" s="84"/>
      <c r="C6962" s="84"/>
      <c r="D6962" s="116"/>
      <c r="E6962" s="116"/>
    </row>
    <row r="6963" spans="1:5" x14ac:dyDescent="0.25">
      <c r="A6963" s="83"/>
      <c r="B6963" s="84"/>
      <c r="C6963" s="84"/>
      <c r="D6963" s="116"/>
      <c r="E6963" s="116"/>
    </row>
    <row r="6964" spans="1:5" x14ac:dyDescent="0.25">
      <c r="A6964" s="83"/>
      <c r="B6964" s="84"/>
      <c r="C6964" s="84"/>
      <c r="D6964" s="116"/>
      <c r="E6964" s="116"/>
    </row>
    <row r="6965" spans="1:5" x14ac:dyDescent="0.25">
      <c r="A6965" s="83"/>
      <c r="B6965" s="84"/>
      <c r="C6965" s="84"/>
      <c r="D6965" s="116"/>
      <c r="E6965" s="116"/>
    </row>
    <row r="6966" spans="1:5" x14ac:dyDescent="0.25">
      <c r="A6966" s="83"/>
      <c r="B6966" s="84"/>
      <c r="C6966" s="84"/>
      <c r="D6966" s="116"/>
      <c r="E6966" s="116"/>
    </row>
    <row r="6967" spans="1:5" x14ac:dyDescent="0.25">
      <c r="A6967" s="83"/>
      <c r="B6967" s="84"/>
      <c r="C6967" s="84"/>
      <c r="D6967" s="116"/>
      <c r="E6967" s="116"/>
    </row>
    <row r="6968" spans="1:5" x14ac:dyDescent="0.25">
      <c r="A6968" s="83"/>
      <c r="B6968" s="84"/>
      <c r="C6968" s="84"/>
      <c r="D6968" s="116"/>
      <c r="E6968" s="116"/>
    </row>
    <row r="6969" spans="1:5" x14ac:dyDescent="0.25">
      <c r="A6969" s="83"/>
      <c r="B6969" s="84"/>
      <c r="C6969" s="84"/>
      <c r="D6969" s="116"/>
      <c r="E6969" s="116"/>
    </row>
    <row r="6970" spans="1:5" x14ac:dyDescent="0.25">
      <c r="A6970" s="83"/>
      <c r="B6970" s="84"/>
      <c r="C6970" s="84"/>
      <c r="D6970" s="116"/>
      <c r="E6970" s="116"/>
    </row>
    <row r="6971" spans="1:5" x14ac:dyDescent="0.25">
      <c r="A6971" s="83"/>
      <c r="B6971" s="84"/>
      <c r="C6971" s="84"/>
      <c r="D6971" s="116"/>
      <c r="E6971" s="116"/>
    </row>
    <row r="6972" spans="1:5" x14ac:dyDescent="0.25">
      <c r="A6972" s="83"/>
      <c r="B6972" s="84"/>
      <c r="C6972" s="84"/>
      <c r="D6972" s="116"/>
      <c r="E6972" s="116"/>
    </row>
    <row r="6973" spans="1:5" x14ac:dyDescent="0.25">
      <c r="A6973" s="83"/>
      <c r="B6973" s="84"/>
      <c r="C6973" s="84"/>
      <c r="D6973" s="116"/>
      <c r="E6973" s="116"/>
    </row>
    <row r="6974" spans="1:5" x14ac:dyDescent="0.25">
      <c r="A6974" s="83"/>
      <c r="B6974" s="84"/>
      <c r="C6974" s="84"/>
      <c r="D6974" s="116"/>
      <c r="E6974" s="116"/>
    </row>
    <row r="6975" spans="1:5" x14ac:dyDescent="0.25">
      <c r="A6975" s="83"/>
      <c r="B6975" s="84"/>
      <c r="C6975" s="84"/>
      <c r="D6975" s="116"/>
      <c r="E6975" s="116"/>
    </row>
    <row r="6976" spans="1:5" x14ac:dyDescent="0.25">
      <c r="A6976" s="83"/>
      <c r="B6976" s="84"/>
      <c r="C6976" s="84"/>
      <c r="D6976" s="116"/>
      <c r="E6976" s="116"/>
    </row>
    <row r="6977" spans="1:5" x14ac:dyDescent="0.25">
      <c r="A6977" s="83"/>
      <c r="B6977" s="84"/>
      <c r="C6977" s="84"/>
      <c r="D6977" s="116"/>
      <c r="E6977" s="116"/>
    </row>
    <row r="6978" spans="1:5" x14ac:dyDescent="0.25">
      <c r="A6978" s="83"/>
      <c r="B6978" s="84"/>
      <c r="C6978" s="84"/>
      <c r="D6978" s="116"/>
      <c r="E6978" s="116"/>
    </row>
    <row r="6979" spans="1:5" x14ac:dyDescent="0.25">
      <c r="A6979" s="83"/>
      <c r="B6979" s="84"/>
      <c r="C6979" s="84"/>
      <c r="D6979" s="116"/>
      <c r="E6979" s="116"/>
    </row>
    <row r="6980" spans="1:5" x14ac:dyDescent="0.25">
      <c r="A6980" s="83"/>
      <c r="B6980" s="84"/>
      <c r="C6980" s="84"/>
      <c r="D6980" s="116"/>
      <c r="E6980" s="116"/>
    </row>
    <row r="6981" spans="1:5" x14ac:dyDescent="0.25">
      <c r="A6981" s="83"/>
      <c r="B6981" s="84"/>
      <c r="C6981" s="84"/>
      <c r="D6981" s="116"/>
      <c r="E6981" s="116"/>
    </row>
    <row r="6982" spans="1:5" x14ac:dyDescent="0.25">
      <c r="A6982" s="83"/>
      <c r="B6982" s="84"/>
      <c r="C6982" s="84"/>
      <c r="D6982" s="116"/>
      <c r="E6982" s="116"/>
    </row>
    <row r="6983" spans="1:5" x14ac:dyDescent="0.25">
      <c r="A6983" s="83"/>
      <c r="B6983" s="84"/>
      <c r="C6983" s="84"/>
      <c r="D6983" s="116"/>
      <c r="E6983" s="116"/>
    </row>
    <row r="6984" spans="1:5" x14ac:dyDescent="0.25">
      <c r="A6984" s="83"/>
      <c r="B6984" s="84"/>
      <c r="C6984" s="84"/>
      <c r="D6984" s="116"/>
      <c r="E6984" s="116"/>
    </row>
    <row r="6985" spans="1:5" x14ac:dyDescent="0.25">
      <c r="A6985" s="83"/>
      <c r="B6985" s="84"/>
      <c r="C6985" s="84"/>
      <c r="D6985" s="116"/>
      <c r="E6985" s="116"/>
    </row>
    <row r="6986" spans="1:5" x14ac:dyDescent="0.25">
      <c r="A6986" s="83"/>
      <c r="B6986" s="84"/>
      <c r="C6986" s="84"/>
      <c r="D6986" s="116"/>
      <c r="E6986" s="116"/>
    </row>
    <row r="6987" spans="1:5" x14ac:dyDescent="0.25">
      <c r="A6987" s="83"/>
      <c r="B6987" s="84"/>
      <c r="C6987" s="84"/>
      <c r="D6987" s="116"/>
      <c r="E6987" s="116"/>
    </row>
    <row r="6988" spans="1:5" x14ac:dyDescent="0.25">
      <c r="A6988" s="83"/>
      <c r="B6988" s="84"/>
      <c r="C6988" s="84"/>
      <c r="D6988" s="116"/>
      <c r="E6988" s="116"/>
    </row>
    <row r="6989" spans="1:5" x14ac:dyDescent="0.25">
      <c r="A6989" s="83"/>
      <c r="B6989" s="84"/>
      <c r="C6989" s="84"/>
      <c r="D6989" s="116"/>
      <c r="E6989" s="116"/>
    </row>
    <row r="6990" spans="1:5" x14ac:dyDescent="0.25">
      <c r="A6990" s="83"/>
      <c r="B6990" s="84"/>
      <c r="C6990" s="84"/>
      <c r="D6990" s="116"/>
      <c r="E6990" s="116"/>
    </row>
    <row r="6991" spans="1:5" x14ac:dyDescent="0.25">
      <c r="A6991" s="83"/>
      <c r="B6991" s="84"/>
      <c r="C6991" s="84"/>
      <c r="D6991" s="116"/>
      <c r="E6991" s="116"/>
    </row>
    <row r="6992" spans="1:5" x14ac:dyDescent="0.25">
      <c r="A6992" s="83"/>
      <c r="B6992" s="84"/>
      <c r="C6992" s="84"/>
      <c r="D6992" s="116"/>
      <c r="E6992" s="116"/>
    </row>
    <row r="6993" spans="1:5" x14ac:dyDescent="0.25">
      <c r="A6993" s="83"/>
      <c r="B6993" s="84"/>
      <c r="C6993" s="84"/>
      <c r="D6993" s="116"/>
      <c r="E6993" s="116"/>
    </row>
    <row r="6994" spans="1:5" x14ac:dyDescent="0.25">
      <c r="A6994" s="83"/>
      <c r="B6994" s="84"/>
      <c r="C6994" s="84"/>
      <c r="D6994" s="116"/>
      <c r="E6994" s="116"/>
    </row>
    <row r="6995" spans="1:5" x14ac:dyDescent="0.25">
      <c r="A6995" s="83"/>
      <c r="B6995" s="84"/>
      <c r="C6995" s="84"/>
      <c r="D6995" s="116"/>
      <c r="E6995" s="116"/>
    </row>
    <row r="6996" spans="1:5" x14ac:dyDescent="0.25">
      <c r="A6996" s="83"/>
      <c r="B6996" s="84"/>
      <c r="C6996" s="84"/>
      <c r="D6996" s="116"/>
      <c r="E6996" s="116"/>
    </row>
    <row r="6997" spans="1:5" x14ac:dyDescent="0.25">
      <c r="A6997" s="83"/>
      <c r="B6997" s="84"/>
      <c r="C6997" s="84"/>
      <c r="D6997" s="116"/>
      <c r="E6997" s="116"/>
    </row>
    <row r="6998" spans="1:5" x14ac:dyDescent="0.25">
      <c r="A6998" s="83"/>
      <c r="B6998" s="84"/>
      <c r="C6998" s="84"/>
      <c r="D6998" s="116"/>
      <c r="E6998" s="116"/>
    </row>
    <row r="6999" spans="1:5" x14ac:dyDescent="0.25">
      <c r="A6999" s="83"/>
      <c r="B6999" s="84"/>
      <c r="C6999" s="84"/>
      <c r="D6999" s="116"/>
      <c r="E6999" s="116"/>
    </row>
    <row r="7000" spans="1:5" x14ac:dyDescent="0.25">
      <c r="A7000" s="83"/>
      <c r="B7000" s="84"/>
      <c r="C7000" s="84"/>
      <c r="D7000" s="116"/>
      <c r="E7000" s="116"/>
    </row>
    <row r="7001" spans="1:5" x14ac:dyDescent="0.25">
      <c r="A7001" s="83"/>
      <c r="B7001" s="84"/>
      <c r="C7001" s="84"/>
      <c r="D7001" s="116"/>
      <c r="E7001" s="116"/>
    </row>
    <row r="7002" spans="1:5" x14ac:dyDescent="0.25">
      <c r="A7002" s="83"/>
      <c r="B7002" s="84"/>
      <c r="C7002" s="84"/>
      <c r="D7002" s="116"/>
      <c r="E7002" s="116"/>
    </row>
    <row r="7003" spans="1:5" x14ac:dyDescent="0.25">
      <c r="A7003" s="83"/>
      <c r="B7003" s="84"/>
      <c r="C7003" s="84"/>
      <c r="D7003" s="116"/>
      <c r="E7003" s="116"/>
    </row>
    <row r="7004" spans="1:5" x14ac:dyDescent="0.25">
      <c r="A7004" s="83"/>
      <c r="B7004" s="84"/>
      <c r="C7004" s="84"/>
      <c r="D7004" s="116"/>
      <c r="E7004" s="116"/>
    </row>
    <row r="7005" spans="1:5" x14ac:dyDescent="0.25">
      <c r="A7005" s="83"/>
      <c r="B7005" s="84"/>
      <c r="C7005" s="84"/>
      <c r="D7005" s="116"/>
      <c r="E7005" s="116"/>
    </row>
    <row r="7006" spans="1:5" x14ac:dyDescent="0.25">
      <c r="A7006" s="83"/>
      <c r="B7006" s="84"/>
      <c r="C7006" s="84"/>
      <c r="D7006" s="116"/>
      <c r="E7006" s="116"/>
    </row>
    <row r="7007" spans="1:5" x14ac:dyDescent="0.25">
      <c r="A7007" s="83"/>
      <c r="B7007" s="84"/>
      <c r="C7007" s="84"/>
      <c r="D7007" s="116"/>
      <c r="E7007" s="116"/>
    </row>
    <row r="7008" spans="1:5" x14ac:dyDescent="0.25">
      <c r="A7008" s="83"/>
      <c r="B7008" s="84"/>
      <c r="C7008" s="84"/>
      <c r="D7008" s="116"/>
      <c r="E7008" s="116"/>
    </row>
    <row r="7009" spans="1:5" x14ac:dyDescent="0.25">
      <c r="A7009" s="83"/>
      <c r="B7009" s="84"/>
      <c r="C7009" s="84"/>
      <c r="D7009" s="116"/>
      <c r="E7009" s="116"/>
    </row>
    <row r="7010" spans="1:5" x14ac:dyDescent="0.25">
      <c r="A7010" s="83"/>
      <c r="B7010" s="84"/>
      <c r="C7010" s="84"/>
      <c r="D7010" s="116"/>
      <c r="E7010" s="116"/>
    </row>
    <row r="7011" spans="1:5" x14ac:dyDescent="0.25">
      <c r="A7011" s="83"/>
      <c r="B7011" s="84"/>
      <c r="C7011" s="84"/>
      <c r="D7011" s="116"/>
      <c r="E7011" s="116"/>
    </row>
    <row r="7012" spans="1:5" x14ac:dyDescent="0.25">
      <c r="A7012" s="83"/>
      <c r="B7012" s="84"/>
      <c r="C7012" s="84"/>
      <c r="D7012" s="116"/>
      <c r="E7012" s="116"/>
    </row>
    <row r="7013" spans="1:5" x14ac:dyDescent="0.25">
      <c r="A7013" s="83"/>
      <c r="B7013" s="84"/>
      <c r="C7013" s="84"/>
      <c r="D7013" s="116"/>
      <c r="E7013" s="116"/>
    </row>
    <row r="7014" spans="1:5" x14ac:dyDescent="0.25">
      <c r="A7014" s="83"/>
      <c r="B7014" s="84"/>
      <c r="C7014" s="84"/>
      <c r="D7014" s="116"/>
      <c r="E7014" s="116"/>
    </row>
    <row r="7015" spans="1:5" x14ac:dyDescent="0.25">
      <c r="A7015" s="83"/>
      <c r="B7015" s="84"/>
      <c r="C7015" s="84"/>
      <c r="D7015" s="116"/>
      <c r="E7015" s="116"/>
    </row>
    <row r="7016" spans="1:5" x14ac:dyDescent="0.25">
      <c r="A7016" s="83"/>
      <c r="B7016" s="84"/>
      <c r="C7016" s="84"/>
      <c r="D7016" s="116"/>
      <c r="E7016" s="116"/>
    </row>
    <row r="7017" spans="1:5" x14ac:dyDescent="0.25">
      <c r="A7017" s="83"/>
      <c r="B7017" s="84"/>
      <c r="C7017" s="84"/>
      <c r="D7017" s="116"/>
      <c r="E7017" s="116"/>
    </row>
    <row r="7018" spans="1:5" x14ac:dyDescent="0.25">
      <c r="A7018" s="83"/>
      <c r="B7018" s="84"/>
      <c r="C7018" s="84"/>
      <c r="D7018" s="116"/>
      <c r="E7018" s="116"/>
    </row>
    <row r="7019" spans="1:5" x14ac:dyDescent="0.25">
      <c r="A7019" s="83"/>
      <c r="B7019" s="84"/>
      <c r="C7019" s="84"/>
      <c r="D7019" s="116"/>
      <c r="E7019" s="116"/>
    </row>
    <row r="7020" spans="1:5" x14ac:dyDescent="0.25">
      <c r="A7020" s="83"/>
      <c r="B7020" s="84"/>
      <c r="C7020" s="84"/>
      <c r="D7020" s="116"/>
      <c r="E7020" s="116"/>
    </row>
    <row r="7021" spans="1:5" x14ac:dyDescent="0.25">
      <c r="A7021" s="83"/>
      <c r="B7021" s="84"/>
      <c r="C7021" s="84"/>
      <c r="D7021" s="116"/>
      <c r="E7021" s="116"/>
    </row>
    <row r="7022" spans="1:5" x14ac:dyDescent="0.25">
      <c r="A7022" s="83"/>
      <c r="B7022" s="84"/>
      <c r="C7022" s="84"/>
      <c r="D7022" s="116"/>
      <c r="E7022" s="116"/>
    </row>
    <row r="7023" spans="1:5" x14ac:dyDescent="0.25">
      <c r="A7023" s="83"/>
      <c r="B7023" s="84"/>
      <c r="C7023" s="84"/>
      <c r="D7023" s="116"/>
      <c r="E7023" s="116"/>
    </row>
    <row r="7024" spans="1:5" x14ac:dyDescent="0.25">
      <c r="A7024" s="83"/>
      <c r="B7024" s="84"/>
      <c r="C7024" s="84"/>
      <c r="D7024" s="116"/>
      <c r="E7024" s="116"/>
    </row>
    <row r="7025" spans="1:5" x14ac:dyDescent="0.25">
      <c r="A7025" s="83"/>
      <c r="B7025" s="84"/>
      <c r="C7025" s="84"/>
      <c r="D7025" s="116"/>
      <c r="E7025" s="116"/>
    </row>
    <row r="7026" spans="1:5" x14ac:dyDescent="0.25">
      <c r="A7026" s="83"/>
      <c r="B7026" s="84"/>
      <c r="C7026" s="84"/>
      <c r="D7026" s="116"/>
      <c r="E7026" s="116"/>
    </row>
    <row r="7027" spans="1:5" x14ac:dyDescent="0.25">
      <c r="A7027" s="83"/>
      <c r="B7027" s="84"/>
      <c r="C7027" s="84"/>
      <c r="D7027" s="116"/>
      <c r="E7027" s="116"/>
    </row>
    <row r="7028" spans="1:5" x14ac:dyDescent="0.25">
      <c r="A7028" s="83"/>
      <c r="B7028" s="84"/>
      <c r="C7028" s="84"/>
      <c r="D7028" s="116"/>
      <c r="E7028" s="116"/>
    </row>
    <row r="7029" spans="1:5" x14ac:dyDescent="0.25">
      <c r="A7029" s="83"/>
      <c r="B7029" s="84"/>
      <c r="C7029" s="84"/>
      <c r="D7029" s="116"/>
      <c r="E7029" s="116"/>
    </row>
    <row r="7030" spans="1:5" x14ac:dyDescent="0.25">
      <c r="A7030" s="83"/>
      <c r="B7030" s="84"/>
      <c r="C7030" s="84"/>
      <c r="D7030" s="116"/>
      <c r="E7030" s="116"/>
    </row>
    <row r="7031" spans="1:5" x14ac:dyDescent="0.25">
      <c r="A7031" s="83"/>
      <c r="B7031" s="84"/>
      <c r="C7031" s="84"/>
      <c r="D7031" s="116"/>
      <c r="E7031" s="116"/>
    </row>
    <row r="7032" spans="1:5" x14ac:dyDescent="0.25">
      <c r="A7032" s="83"/>
      <c r="B7032" s="84"/>
      <c r="C7032" s="84"/>
      <c r="D7032" s="116"/>
      <c r="E7032" s="116"/>
    </row>
    <row r="7033" spans="1:5" x14ac:dyDescent="0.25">
      <c r="A7033" s="83"/>
      <c r="B7033" s="84"/>
      <c r="C7033" s="84"/>
      <c r="D7033" s="116"/>
      <c r="E7033" s="116"/>
    </row>
    <row r="7034" spans="1:5" x14ac:dyDescent="0.25">
      <c r="A7034" s="83"/>
      <c r="B7034" s="84"/>
      <c r="C7034" s="84"/>
      <c r="D7034" s="116"/>
      <c r="E7034" s="116"/>
    </row>
    <row r="7035" spans="1:5" x14ac:dyDescent="0.25">
      <c r="A7035" s="83"/>
      <c r="B7035" s="84"/>
      <c r="C7035" s="84"/>
      <c r="D7035" s="116"/>
      <c r="E7035" s="116"/>
    </row>
    <row r="7036" spans="1:5" x14ac:dyDescent="0.25">
      <c r="A7036" s="83"/>
      <c r="B7036" s="84"/>
      <c r="C7036" s="84"/>
      <c r="D7036" s="116"/>
      <c r="E7036" s="116"/>
    </row>
    <row r="7037" spans="1:5" x14ac:dyDescent="0.25">
      <c r="A7037" s="83"/>
      <c r="B7037" s="84"/>
      <c r="C7037" s="84"/>
      <c r="D7037" s="116"/>
      <c r="E7037" s="116"/>
    </row>
    <row r="7038" spans="1:5" x14ac:dyDescent="0.25">
      <c r="A7038" s="83"/>
      <c r="B7038" s="84"/>
      <c r="C7038" s="84"/>
      <c r="D7038" s="116"/>
      <c r="E7038" s="116"/>
    </row>
    <row r="7039" spans="1:5" x14ac:dyDescent="0.25">
      <c r="A7039" s="83"/>
      <c r="B7039" s="84"/>
      <c r="C7039" s="84"/>
      <c r="D7039" s="116"/>
      <c r="E7039" s="116"/>
    </row>
    <row r="7040" spans="1:5" x14ac:dyDescent="0.25">
      <c r="A7040" s="83"/>
      <c r="B7040" s="84"/>
      <c r="C7040" s="84"/>
      <c r="D7040" s="116"/>
      <c r="E7040" s="116"/>
    </row>
    <row r="7041" spans="1:5" x14ac:dyDescent="0.25">
      <c r="A7041" s="83"/>
      <c r="B7041" s="84"/>
      <c r="C7041" s="84"/>
      <c r="D7041" s="116"/>
      <c r="E7041" s="116"/>
    </row>
    <row r="7042" spans="1:5" x14ac:dyDescent="0.25">
      <c r="A7042" s="83"/>
      <c r="B7042" s="84"/>
      <c r="C7042" s="84"/>
      <c r="D7042" s="116"/>
      <c r="E7042" s="116"/>
    </row>
    <row r="7043" spans="1:5" x14ac:dyDescent="0.25">
      <c r="A7043" s="83"/>
      <c r="B7043" s="84"/>
      <c r="C7043" s="84"/>
      <c r="D7043" s="116"/>
      <c r="E7043" s="116"/>
    </row>
    <row r="7044" spans="1:5" x14ac:dyDescent="0.25">
      <c r="A7044" s="83"/>
      <c r="B7044" s="84"/>
      <c r="C7044" s="84"/>
      <c r="D7044" s="116"/>
      <c r="E7044" s="116"/>
    </row>
    <row r="7045" spans="1:5" x14ac:dyDescent="0.25">
      <c r="A7045" s="83"/>
      <c r="B7045" s="84"/>
      <c r="C7045" s="84"/>
      <c r="D7045" s="116"/>
      <c r="E7045" s="116"/>
    </row>
    <row r="7046" spans="1:5" x14ac:dyDescent="0.25">
      <c r="A7046" s="83"/>
      <c r="B7046" s="84"/>
      <c r="C7046" s="84"/>
      <c r="D7046" s="116"/>
      <c r="E7046" s="116"/>
    </row>
    <row r="7047" spans="1:5" x14ac:dyDescent="0.25">
      <c r="A7047" s="83"/>
      <c r="B7047" s="84"/>
      <c r="C7047" s="84"/>
      <c r="D7047" s="116"/>
      <c r="E7047" s="116"/>
    </row>
    <row r="7048" spans="1:5" x14ac:dyDescent="0.25">
      <c r="A7048" s="83"/>
      <c r="B7048" s="84"/>
      <c r="C7048" s="84"/>
      <c r="D7048" s="116"/>
      <c r="E7048" s="116"/>
    </row>
    <row r="7049" spans="1:5" x14ac:dyDescent="0.25">
      <c r="A7049" s="83"/>
      <c r="B7049" s="84"/>
      <c r="C7049" s="84"/>
      <c r="D7049" s="116"/>
      <c r="E7049" s="116"/>
    </row>
    <row r="7050" spans="1:5" x14ac:dyDescent="0.25">
      <c r="A7050" s="83"/>
      <c r="B7050" s="84"/>
      <c r="C7050" s="84"/>
      <c r="D7050" s="116"/>
      <c r="E7050" s="116"/>
    </row>
    <row r="7051" spans="1:5" x14ac:dyDescent="0.25">
      <c r="A7051" s="83"/>
      <c r="B7051" s="84"/>
      <c r="C7051" s="84"/>
      <c r="D7051" s="116"/>
      <c r="E7051" s="116"/>
    </row>
    <row r="7052" spans="1:5" x14ac:dyDescent="0.25">
      <c r="A7052" s="83"/>
      <c r="B7052" s="84"/>
      <c r="C7052" s="84"/>
      <c r="D7052" s="116"/>
      <c r="E7052" s="116"/>
    </row>
    <row r="7053" spans="1:5" x14ac:dyDescent="0.25">
      <c r="A7053" s="83"/>
      <c r="B7053" s="84"/>
      <c r="C7053" s="84"/>
      <c r="D7053" s="116"/>
      <c r="E7053" s="116"/>
    </row>
    <row r="7054" spans="1:5" x14ac:dyDescent="0.25">
      <c r="A7054" s="83"/>
      <c r="B7054" s="84"/>
      <c r="C7054" s="84"/>
      <c r="D7054" s="116"/>
      <c r="E7054" s="116"/>
    </row>
    <row r="7055" spans="1:5" x14ac:dyDescent="0.25">
      <c r="A7055" s="83"/>
      <c r="B7055" s="84"/>
      <c r="C7055" s="84"/>
      <c r="D7055" s="116"/>
      <c r="E7055" s="116"/>
    </row>
    <row r="7056" spans="1:5" x14ac:dyDescent="0.25">
      <c r="A7056" s="83"/>
      <c r="B7056" s="84"/>
      <c r="C7056" s="84"/>
      <c r="D7056" s="116"/>
      <c r="E7056" s="116"/>
    </row>
    <row r="7057" spans="1:5" x14ac:dyDescent="0.25">
      <c r="A7057" s="83"/>
      <c r="B7057" s="84"/>
      <c r="C7057" s="84"/>
      <c r="D7057" s="116"/>
      <c r="E7057" s="116"/>
    </row>
    <row r="7058" spans="1:5" x14ac:dyDescent="0.25">
      <c r="A7058" s="83"/>
      <c r="B7058" s="84"/>
      <c r="C7058" s="84"/>
      <c r="D7058" s="116"/>
      <c r="E7058" s="116"/>
    </row>
    <row r="7059" spans="1:5" x14ac:dyDescent="0.25">
      <c r="A7059" s="83"/>
      <c r="B7059" s="84"/>
      <c r="C7059" s="84"/>
      <c r="D7059" s="116"/>
      <c r="E7059" s="116"/>
    </row>
    <row r="7060" spans="1:5" x14ac:dyDescent="0.25">
      <c r="A7060" s="83"/>
      <c r="B7060" s="84"/>
      <c r="C7060" s="84"/>
      <c r="D7060" s="116"/>
      <c r="E7060" s="116"/>
    </row>
    <row r="7061" spans="1:5" x14ac:dyDescent="0.25">
      <c r="A7061" s="83"/>
      <c r="B7061" s="84"/>
      <c r="C7061" s="84"/>
      <c r="D7061" s="116"/>
      <c r="E7061" s="116"/>
    </row>
    <row r="7062" spans="1:5" x14ac:dyDescent="0.25">
      <c r="A7062" s="83"/>
      <c r="B7062" s="84"/>
      <c r="C7062" s="84"/>
      <c r="D7062" s="116"/>
      <c r="E7062" s="116"/>
    </row>
    <row r="7063" spans="1:5" x14ac:dyDescent="0.25">
      <c r="A7063" s="83"/>
      <c r="B7063" s="84"/>
      <c r="C7063" s="84"/>
      <c r="D7063" s="116"/>
      <c r="E7063" s="116"/>
    </row>
    <row r="7064" spans="1:5" x14ac:dyDescent="0.25">
      <c r="A7064" s="83"/>
      <c r="B7064" s="84"/>
      <c r="C7064" s="84"/>
      <c r="D7064" s="116"/>
      <c r="E7064" s="116"/>
    </row>
    <row r="7065" spans="1:5" x14ac:dyDescent="0.25">
      <c r="A7065" s="83"/>
      <c r="B7065" s="84"/>
      <c r="C7065" s="84"/>
      <c r="D7065" s="116"/>
      <c r="E7065" s="116"/>
    </row>
    <row r="7066" spans="1:5" x14ac:dyDescent="0.25">
      <c r="A7066" s="83"/>
      <c r="B7066" s="84"/>
      <c r="C7066" s="84"/>
      <c r="D7066" s="116"/>
      <c r="E7066" s="116"/>
    </row>
    <row r="7067" spans="1:5" x14ac:dyDescent="0.25">
      <c r="A7067" s="83"/>
      <c r="B7067" s="84"/>
      <c r="C7067" s="84"/>
      <c r="D7067" s="116"/>
      <c r="E7067" s="116"/>
    </row>
    <row r="7068" spans="1:5" x14ac:dyDescent="0.25">
      <c r="A7068" s="83"/>
      <c r="B7068" s="84"/>
      <c r="C7068" s="84"/>
      <c r="D7068" s="116"/>
      <c r="E7068" s="116"/>
    </row>
    <row r="7069" spans="1:5" x14ac:dyDescent="0.25">
      <c r="A7069" s="83"/>
      <c r="B7069" s="84"/>
      <c r="C7069" s="84"/>
      <c r="D7069" s="116"/>
      <c r="E7069" s="116"/>
    </row>
    <row r="7070" spans="1:5" x14ac:dyDescent="0.25">
      <c r="A7070" s="83"/>
      <c r="B7070" s="84"/>
      <c r="C7070" s="84"/>
      <c r="D7070" s="116"/>
      <c r="E7070" s="116"/>
    </row>
    <row r="7071" spans="1:5" x14ac:dyDescent="0.25">
      <c r="A7071" s="83"/>
      <c r="B7071" s="84"/>
      <c r="C7071" s="84"/>
      <c r="D7071" s="116"/>
      <c r="E7071" s="116"/>
    </row>
    <row r="7072" spans="1:5" x14ac:dyDescent="0.25">
      <c r="A7072" s="83"/>
      <c r="B7072" s="84"/>
      <c r="C7072" s="84"/>
      <c r="D7072" s="116"/>
      <c r="E7072" s="116"/>
    </row>
    <row r="7073" spans="1:5" x14ac:dyDescent="0.25">
      <c r="A7073" s="83"/>
      <c r="B7073" s="84"/>
      <c r="C7073" s="84"/>
      <c r="D7073" s="116"/>
      <c r="E7073" s="116"/>
    </row>
    <row r="7074" spans="1:5" x14ac:dyDescent="0.25">
      <c r="A7074" s="83"/>
      <c r="B7074" s="84"/>
      <c r="C7074" s="84"/>
      <c r="D7074" s="116"/>
      <c r="E7074" s="116"/>
    </row>
    <row r="7075" spans="1:5" x14ac:dyDescent="0.25">
      <c r="A7075" s="83"/>
      <c r="B7075" s="84"/>
      <c r="C7075" s="84"/>
      <c r="D7075" s="116"/>
      <c r="E7075" s="116"/>
    </row>
    <row r="7076" spans="1:5" x14ac:dyDescent="0.25">
      <c r="A7076" s="83"/>
      <c r="B7076" s="84"/>
      <c r="C7076" s="84"/>
      <c r="D7076" s="116"/>
      <c r="E7076" s="116"/>
    </row>
    <row r="7077" spans="1:5" x14ac:dyDescent="0.25">
      <c r="A7077" s="83"/>
      <c r="B7077" s="84"/>
      <c r="C7077" s="84"/>
      <c r="D7077" s="116"/>
      <c r="E7077" s="116"/>
    </row>
    <row r="7078" spans="1:5" x14ac:dyDescent="0.25">
      <c r="A7078" s="83"/>
      <c r="B7078" s="84"/>
      <c r="C7078" s="84"/>
      <c r="D7078" s="116"/>
      <c r="E7078" s="116"/>
    </row>
    <row r="7079" spans="1:5" x14ac:dyDescent="0.25">
      <c r="A7079" s="83"/>
      <c r="B7079" s="84"/>
      <c r="C7079" s="84"/>
      <c r="D7079" s="116"/>
      <c r="E7079" s="116"/>
    </row>
    <row r="7080" spans="1:5" x14ac:dyDescent="0.25">
      <c r="A7080" s="83"/>
      <c r="B7080" s="84"/>
      <c r="C7080" s="84"/>
      <c r="D7080" s="116"/>
      <c r="E7080" s="116"/>
    </row>
    <row r="7081" spans="1:5" x14ac:dyDescent="0.25">
      <c r="A7081" s="83"/>
      <c r="B7081" s="84"/>
      <c r="C7081" s="84"/>
      <c r="D7081" s="116"/>
      <c r="E7081" s="116"/>
    </row>
    <row r="7082" spans="1:5" x14ac:dyDescent="0.25">
      <c r="A7082" s="83"/>
      <c r="B7082" s="84"/>
      <c r="C7082" s="84"/>
      <c r="D7082" s="116"/>
      <c r="E7082" s="116"/>
    </row>
    <row r="7083" spans="1:5" x14ac:dyDescent="0.25">
      <c r="A7083" s="83"/>
      <c r="B7083" s="84"/>
      <c r="C7083" s="84"/>
      <c r="D7083" s="116"/>
      <c r="E7083" s="116"/>
    </row>
    <row r="7084" spans="1:5" x14ac:dyDescent="0.25">
      <c r="A7084" s="83"/>
      <c r="B7084" s="84"/>
      <c r="C7084" s="84"/>
      <c r="D7084" s="116"/>
      <c r="E7084" s="116"/>
    </row>
    <row r="7085" spans="1:5" x14ac:dyDescent="0.25">
      <c r="A7085" s="83"/>
      <c r="B7085" s="84"/>
      <c r="C7085" s="84"/>
      <c r="D7085" s="116"/>
      <c r="E7085" s="116"/>
    </row>
    <row r="7086" spans="1:5" x14ac:dyDescent="0.25">
      <c r="A7086" s="83"/>
      <c r="B7086" s="84"/>
      <c r="C7086" s="84"/>
      <c r="D7086" s="116"/>
      <c r="E7086" s="116"/>
    </row>
    <row r="7087" spans="1:5" x14ac:dyDescent="0.25">
      <c r="A7087" s="83"/>
      <c r="B7087" s="84"/>
      <c r="C7087" s="84"/>
      <c r="D7087" s="116"/>
      <c r="E7087" s="116"/>
    </row>
    <row r="7088" spans="1:5" x14ac:dyDescent="0.25">
      <c r="A7088" s="83"/>
      <c r="B7088" s="84"/>
      <c r="C7088" s="84"/>
      <c r="D7088" s="116"/>
      <c r="E7088" s="116"/>
    </row>
    <row r="7089" spans="1:5" x14ac:dyDescent="0.25">
      <c r="A7089" s="83"/>
      <c r="B7089" s="84"/>
      <c r="C7089" s="84"/>
      <c r="D7089" s="116"/>
      <c r="E7089" s="116"/>
    </row>
    <row r="7090" spans="1:5" x14ac:dyDescent="0.25">
      <c r="A7090" s="83"/>
      <c r="B7090" s="84"/>
      <c r="C7090" s="84"/>
      <c r="D7090" s="116"/>
      <c r="E7090" s="116"/>
    </row>
    <row r="7091" spans="1:5" x14ac:dyDescent="0.25">
      <c r="A7091" s="83"/>
      <c r="B7091" s="84"/>
      <c r="C7091" s="84"/>
      <c r="D7091" s="116"/>
      <c r="E7091" s="116"/>
    </row>
    <row r="7092" spans="1:5" x14ac:dyDescent="0.25">
      <c r="A7092" s="83"/>
      <c r="B7092" s="84"/>
      <c r="C7092" s="84"/>
      <c r="D7092" s="116"/>
      <c r="E7092" s="116"/>
    </row>
    <row r="7093" spans="1:5" x14ac:dyDescent="0.25">
      <c r="A7093" s="83"/>
      <c r="B7093" s="84"/>
      <c r="C7093" s="84"/>
      <c r="D7093" s="116"/>
      <c r="E7093" s="116"/>
    </row>
    <row r="7094" spans="1:5" x14ac:dyDescent="0.25">
      <c r="A7094" s="83"/>
      <c r="B7094" s="84"/>
      <c r="C7094" s="84"/>
      <c r="D7094" s="116"/>
      <c r="E7094" s="116"/>
    </row>
    <row r="7095" spans="1:5" x14ac:dyDescent="0.25">
      <c r="A7095" s="83"/>
      <c r="B7095" s="84"/>
      <c r="C7095" s="84"/>
      <c r="D7095" s="116"/>
      <c r="E7095" s="116"/>
    </row>
    <row r="7096" spans="1:5" x14ac:dyDescent="0.25">
      <c r="A7096" s="83"/>
      <c r="B7096" s="84"/>
      <c r="C7096" s="84"/>
      <c r="D7096" s="116"/>
      <c r="E7096" s="116"/>
    </row>
    <row r="7097" spans="1:5" x14ac:dyDescent="0.25">
      <c r="A7097" s="83"/>
      <c r="B7097" s="84"/>
      <c r="C7097" s="84"/>
      <c r="D7097" s="116"/>
      <c r="E7097" s="116"/>
    </row>
    <row r="7098" spans="1:5" x14ac:dyDescent="0.25">
      <c r="A7098" s="83"/>
      <c r="B7098" s="84"/>
      <c r="C7098" s="84"/>
      <c r="D7098" s="116"/>
      <c r="E7098" s="116"/>
    </row>
    <row r="7099" spans="1:5" x14ac:dyDescent="0.25">
      <c r="A7099" s="83"/>
      <c r="B7099" s="84"/>
      <c r="C7099" s="84"/>
      <c r="D7099" s="116"/>
      <c r="E7099" s="116"/>
    </row>
    <row r="7100" spans="1:5" x14ac:dyDescent="0.25">
      <c r="A7100" s="83"/>
      <c r="B7100" s="84"/>
      <c r="C7100" s="84"/>
      <c r="D7100" s="116"/>
      <c r="E7100" s="116"/>
    </row>
    <row r="7101" spans="1:5" x14ac:dyDescent="0.25">
      <c r="A7101" s="83"/>
      <c r="B7101" s="84"/>
      <c r="C7101" s="84"/>
      <c r="D7101" s="116"/>
      <c r="E7101" s="116"/>
    </row>
    <row r="7102" spans="1:5" x14ac:dyDescent="0.25">
      <c r="A7102" s="83"/>
      <c r="B7102" s="84"/>
      <c r="C7102" s="84"/>
      <c r="D7102" s="116"/>
      <c r="E7102" s="116"/>
    </row>
    <row r="7103" spans="1:5" x14ac:dyDescent="0.25">
      <c r="A7103" s="83"/>
      <c r="B7103" s="84"/>
      <c r="C7103" s="84"/>
      <c r="D7103" s="116"/>
      <c r="E7103" s="116"/>
    </row>
    <row r="7104" spans="1:5" x14ac:dyDescent="0.25">
      <c r="A7104" s="83"/>
      <c r="B7104" s="84"/>
      <c r="C7104" s="84"/>
      <c r="D7104" s="116"/>
      <c r="E7104" s="116"/>
    </row>
    <row r="7105" spans="1:5" x14ac:dyDescent="0.25">
      <c r="A7105" s="83"/>
      <c r="B7105" s="84"/>
      <c r="C7105" s="84"/>
      <c r="D7105" s="116"/>
      <c r="E7105" s="116"/>
    </row>
    <row r="7106" spans="1:5" x14ac:dyDescent="0.25">
      <c r="A7106" s="83"/>
      <c r="B7106" s="84"/>
      <c r="C7106" s="84"/>
      <c r="D7106" s="116"/>
      <c r="E7106" s="116"/>
    </row>
    <row r="7107" spans="1:5" x14ac:dyDescent="0.25">
      <c r="A7107" s="83"/>
      <c r="B7107" s="84"/>
      <c r="C7107" s="84"/>
      <c r="D7107" s="116"/>
      <c r="E7107" s="116"/>
    </row>
    <row r="7108" spans="1:5" x14ac:dyDescent="0.25">
      <c r="A7108" s="83"/>
      <c r="B7108" s="84"/>
      <c r="C7108" s="84"/>
      <c r="D7108" s="116"/>
      <c r="E7108" s="116"/>
    </row>
    <row r="7109" spans="1:5" x14ac:dyDescent="0.25">
      <c r="A7109" s="83"/>
      <c r="B7109" s="84"/>
      <c r="C7109" s="84"/>
      <c r="D7109" s="116"/>
      <c r="E7109" s="116"/>
    </row>
    <row r="7110" spans="1:5" x14ac:dyDescent="0.25">
      <c r="A7110" s="83"/>
      <c r="B7110" s="84"/>
      <c r="C7110" s="84"/>
      <c r="D7110" s="116"/>
      <c r="E7110" s="116"/>
    </row>
    <row r="7111" spans="1:5" x14ac:dyDescent="0.25">
      <c r="A7111" s="83"/>
      <c r="B7111" s="84"/>
      <c r="C7111" s="84"/>
      <c r="D7111" s="116"/>
      <c r="E7111" s="116"/>
    </row>
    <row r="7112" spans="1:5" x14ac:dyDescent="0.25">
      <c r="A7112" s="83"/>
      <c r="B7112" s="84"/>
      <c r="C7112" s="84"/>
      <c r="D7112" s="116"/>
      <c r="E7112" s="116"/>
    </row>
    <row r="7113" spans="1:5" x14ac:dyDescent="0.25">
      <c r="A7113" s="83"/>
      <c r="B7113" s="84"/>
      <c r="C7113" s="84"/>
      <c r="D7113" s="116"/>
      <c r="E7113" s="116"/>
    </row>
    <row r="7114" spans="1:5" x14ac:dyDescent="0.25">
      <c r="A7114" s="83"/>
      <c r="B7114" s="84"/>
      <c r="C7114" s="84"/>
      <c r="D7114" s="116"/>
      <c r="E7114" s="116"/>
    </row>
    <row r="7115" spans="1:5" x14ac:dyDescent="0.25">
      <c r="A7115" s="83"/>
      <c r="B7115" s="84"/>
      <c r="C7115" s="84"/>
      <c r="D7115" s="116"/>
      <c r="E7115" s="116"/>
    </row>
    <row r="7116" spans="1:5" x14ac:dyDescent="0.25">
      <c r="A7116" s="83"/>
      <c r="B7116" s="84"/>
      <c r="C7116" s="84"/>
      <c r="D7116" s="116"/>
      <c r="E7116" s="116"/>
    </row>
    <row r="7117" spans="1:5" x14ac:dyDescent="0.25">
      <c r="A7117" s="83"/>
      <c r="B7117" s="84"/>
      <c r="C7117" s="84"/>
      <c r="D7117" s="116"/>
      <c r="E7117" s="116"/>
    </row>
    <row r="7118" spans="1:5" x14ac:dyDescent="0.25">
      <c r="A7118" s="83"/>
      <c r="B7118" s="84"/>
      <c r="C7118" s="84"/>
      <c r="D7118" s="116"/>
      <c r="E7118" s="116"/>
    </row>
    <row r="7119" spans="1:5" x14ac:dyDescent="0.25">
      <c r="A7119" s="83"/>
      <c r="B7119" s="84"/>
      <c r="C7119" s="84"/>
      <c r="D7119" s="116"/>
      <c r="E7119" s="116"/>
    </row>
    <row r="7120" spans="1:5" x14ac:dyDescent="0.25">
      <c r="A7120" s="83"/>
      <c r="B7120" s="84"/>
      <c r="C7120" s="84"/>
      <c r="D7120" s="116"/>
      <c r="E7120" s="116"/>
    </row>
    <row r="7121" spans="1:5" x14ac:dyDescent="0.25">
      <c r="A7121" s="83"/>
      <c r="B7121" s="84"/>
      <c r="C7121" s="84"/>
      <c r="D7121" s="116"/>
      <c r="E7121" s="116"/>
    </row>
    <row r="7122" spans="1:5" x14ac:dyDescent="0.25">
      <c r="A7122" s="83"/>
      <c r="B7122" s="84"/>
      <c r="C7122" s="84"/>
      <c r="D7122" s="116"/>
      <c r="E7122" s="116"/>
    </row>
    <row r="7123" spans="1:5" x14ac:dyDescent="0.25">
      <c r="A7123" s="83"/>
      <c r="B7123" s="84"/>
      <c r="C7123" s="84"/>
      <c r="D7123" s="116"/>
      <c r="E7123" s="116"/>
    </row>
    <row r="7124" spans="1:5" x14ac:dyDescent="0.25">
      <c r="A7124" s="83"/>
      <c r="B7124" s="84"/>
      <c r="C7124" s="84"/>
      <c r="D7124" s="116"/>
      <c r="E7124" s="116"/>
    </row>
    <row r="7125" spans="1:5" x14ac:dyDescent="0.25">
      <c r="A7125" s="83"/>
      <c r="B7125" s="84"/>
      <c r="C7125" s="84"/>
      <c r="D7125" s="116"/>
      <c r="E7125" s="116"/>
    </row>
    <row r="7126" spans="1:5" x14ac:dyDescent="0.25">
      <c r="A7126" s="83"/>
      <c r="B7126" s="84"/>
      <c r="C7126" s="84"/>
      <c r="D7126" s="116"/>
      <c r="E7126" s="116"/>
    </row>
    <row r="7127" spans="1:5" x14ac:dyDescent="0.25">
      <c r="A7127" s="83"/>
      <c r="B7127" s="84"/>
      <c r="C7127" s="84"/>
      <c r="D7127" s="116"/>
      <c r="E7127" s="116"/>
    </row>
    <row r="7128" spans="1:5" x14ac:dyDescent="0.25">
      <c r="A7128" s="83"/>
      <c r="B7128" s="84"/>
      <c r="C7128" s="84"/>
      <c r="D7128" s="116"/>
      <c r="E7128" s="116"/>
    </row>
    <row r="7129" spans="1:5" x14ac:dyDescent="0.25">
      <c r="A7129" s="83"/>
      <c r="B7129" s="84"/>
      <c r="C7129" s="84"/>
      <c r="D7129" s="116"/>
      <c r="E7129" s="116"/>
    </row>
    <row r="7130" spans="1:5" x14ac:dyDescent="0.25">
      <c r="A7130" s="83"/>
      <c r="B7130" s="84"/>
      <c r="C7130" s="84"/>
      <c r="D7130" s="116"/>
      <c r="E7130" s="116"/>
    </row>
    <row r="7131" spans="1:5" x14ac:dyDescent="0.25">
      <c r="A7131" s="83"/>
      <c r="B7131" s="84"/>
      <c r="C7131" s="84"/>
      <c r="D7131" s="116"/>
      <c r="E7131" s="116"/>
    </row>
    <row r="7132" spans="1:5" x14ac:dyDescent="0.25">
      <c r="A7132" s="83"/>
      <c r="B7132" s="84"/>
      <c r="C7132" s="84"/>
      <c r="D7132" s="116"/>
      <c r="E7132" s="116"/>
    </row>
    <row r="7133" spans="1:5" x14ac:dyDescent="0.25">
      <c r="A7133" s="83"/>
      <c r="B7133" s="84"/>
      <c r="C7133" s="84"/>
      <c r="D7133" s="116"/>
      <c r="E7133" s="116"/>
    </row>
    <row r="7134" spans="1:5" x14ac:dyDescent="0.25">
      <c r="A7134" s="83"/>
      <c r="B7134" s="84"/>
      <c r="C7134" s="84"/>
      <c r="D7134" s="116"/>
      <c r="E7134" s="116"/>
    </row>
    <row r="7135" spans="1:5" x14ac:dyDescent="0.25">
      <c r="A7135" s="83"/>
      <c r="B7135" s="84"/>
      <c r="C7135" s="84"/>
      <c r="D7135" s="116"/>
      <c r="E7135" s="116"/>
    </row>
    <row r="7136" spans="1:5" x14ac:dyDescent="0.25">
      <c r="A7136" s="83"/>
      <c r="B7136" s="84"/>
      <c r="C7136" s="84"/>
      <c r="D7136" s="116"/>
      <c r="E7136" s="116"/>
    </row>
    <row r="7137" spans="1:5" x14ac:dyDescent="0.25">
      <c r="A7137" s="83"/>
      <c r="B7137" s="84"/>
      <c r="C7137" s="84"/>
      <c r="D7137" s="116"/>
      <c r="E7137" s="116"/>
    </row>
    <row r="7138" spans="1:5" x14ac:dyDescent="0.25">
      <c r="A7138" s="83"/>
      <c r="B7138" s="84"/>
      <c r="C7138" s="84"/>
      <c r="D7138" s="116"/>
      <c r="E7138" s="116"/>
    </row>
    <row r="7139" spans="1:5" x14ac:dyDescent="0.25">
      <c r="A7139" s="83"/>
      <c r="B7139" s="84"/>
      <c r="C7139" s="84"/>
      <c r="D7139" s="116"/>
      <c r="E7139" s="116"/>
    </row>
    <row r="7140" spans="1:5" x14ac:dyDescent="0.25">
      <c r="A7140" s="83"/>
      <c r="B7140" s="84"/>
      <c r="C7140" s="84"/>
      <c r="D7140" s="116"/>
      <c r="E7140" s="116"/>
    </row>
    <row r="7141" spans="1:5" x14ac:dyDescent="0.25">
      <c r="A7141" s="83"/>
      <c r="B7141" s="84"/>
      <c r="C7141" s="84"/>
      <c r="D7141" s="116"/>
      <c r="E7141" s="116"/>
    </row>
    <row r="7142" spans="1:5" x14ac:dyDescent="0.25">
      <c r="A7142" s="83"/>
      <c r="B7142" s="84"/>
      <c r="C7142" s="84"/>
      <c r="D7142" s="116"/>
      <c r="E7142" s="116"/>
    </row>
    <row r="7143" spans="1:5" x14ac:dyDescent="0.25">
      <c r="A7143" s="83"/>
      <c r="B7143" s="84"/>
      <c r="C7143" s="84"/>
      <c r="D7143" s="116"/>
      <c r="E7143" s="116"/>
    </row>
    <row r="7144" spans="1:5" x14ac:dyDescent="0.25">
      <c r="A7144" s="83"/>
      <c r="B7144" s="84"/>
      <c r="C7144" s="84"/>
      <c r="D7144" s="116"/>
      <c r="E7144" s="116"/>
    </row>
    <row r="7145" spans="1:5" x14ac:dyDescent="0.25">
      <c r="A7145" s="83"/>
      <c r="B7145" s="84"/>
      <c r="C7145" s="84"/>
      <c r="D7145" s="116"/>
      <c r="E7145" s="116"/>
    </row>
    <row r="7146" spans="1:5" x14ac:dyDescent="0.25">
      <c r="A7146" s="83"/>
      <c r="B7146" s="84"/>
      <c r="C7146" s="84"/>
      <c r="D7146" s="116"/>
      <c r="E7146" s="116"/>
    </row>
    <row r="7147" spans="1:5" x14ac:dyDescent="0.25">
      <c r="A7147" s="83"/>
      <c r="B7147" s="84"/>
      <c r="C7147" s="84"/>
      <c r="D7147" s="116"/>
      <c r="E7147" s="116"/>
    </row>
    <row r="7148" spans="1:5" x14ac:dyDescent="0.25">
      <c r="A7148" s="83"/>
      <c r="B7148" s="84"/>
      <c r="C7148" s="84"/>
      <c r="D7148" s="116"/>
      <c r="E7148" s="116"/>
    </row>
    <row r="7149" spans="1:5" x14ac:dyDescent="0.25">
      <c r="A7149" s="83"/>
      <c r="B7149" s="84"/>
      <c r="C7149" s="84"/>
      <c r="D7149" s="116"/>
      <c r="E7149" s="116"/>
    </row>
    <row r="7150" spans="1:5" x14ac:dyDescent="0.25">
      <c r="A7150" s="83"/>
      <c r="B7150" s="84"/>
      <c r="C7150" s="84"/>
      <c r="D7150" s="116"/>
      <c r="E7150" s="116"/>
    </row>
    <row r="7151" spans="1:5" x14ac:dyDescent="0.25">
      <c r="A7151" s="83"/>
      <c r="B7151" s="84"/>
      <c r="C7151" s="84"/>
      <c r="D7151" s="116"/>
      <c r="E7151" s="116"/>
    </row>
    <row r="7152" spans="1:5" x14ac:dyDescent="0.25">
      <c r="A7152" s="83"/>
      <c r="B7152" s="84"/>
      <c r="C7152" s="84"/>
      <c r="D7152" s="116"/>
      <c r="E7152" s="116"/>
    </row>
    <row r="7153" spans="1:5" x14ac:dyDescent="0.25">
      <c r="A7153" s="83"/>
      <c r="B7153" s="84"/>
      <c r="C7153" s="84"/>
      <c r="D7153" s="116"/>
      <c r="E7153" s="116"/>
    </row>
    <row r="7154" spans="1:5" x14ac:dyDescent="0.25">
      <c r="A7154" s="83"/>
      <c r="B7154" s="84"/>
      <c r="C7154" s="84"/>
      <c r="D7154" s="116"/>
      <c r="E7154" s="116"/>
    </row>
    <row r="7155" spans="1:5" x14ac:dyDescent="0.25">
      <c r="A7155" s="83"/>
      <c r="B7155" s="84"/>
      <c r="C7155" s="84"/>
      <c r="D7155" s="116"/>
      <c r="E7155" s="116"/>
    </row>
    <row r="7156" spans="1:5" x14ac:dyDescent="0.25">
      <c r="A7156" s="83"/>
      <c r="B7156" s="84"/>
      <c r="C7156" s="84"/>
      <c r="D7156" s="116"/>
      <c r="E7156" s="116"/>
    </row>
    <row r="7157" spans="1:5" x14ac:dyDescent="0.25">
      <c r="A7157" s="83"/>
      <c r="B7157" s="84"/>
      <c r="C7157" s="84"/>
      <c r="D7157" s="116"/>
      <c r="E7157" s="116"/>
    </row>
    <row r="7158" spans="1:5" x14ac:dyDescent="0.25">
      <c r="A7158" s="83"/>
      <c r="B7158" s="84"/>
      <c r="C7158" s="84"/>
      <c r="D7158" s="116"/>
      <c r="E7158" s="116"/>
    </row>
    <row r="7159" spans="1:5" x14ac:dyDescent="0.25">
      <c r="A7159" s="83"/>
      <c r="B7159" s="84"/>
      <c r="C7159" s="84"/>
      <c r="D7159" s="116"/>
      <c r="E7159" s="116"/>
    </row>
    <row r="7160" spans="1:5" x14ac:dyDescent="0.25">
      <c r="A7160" s="83"/>
      <c r="B7160" s="84"/>
      <c r="C7160" s="84"/>
      <c r="D7160" s="116"/>
      <c r="E7160" s="116"/>
    </row>
    <row r="7161" spans="1:5" x14ac:dyDescent="0.25">
      <c r="A7161" s="83"/>
      <c r="B7161" s="84"/>
      <c r="C7161" s="84"/>
      <c r="D7161" s="116"/>
      <c r="E7161" s="116"/>
    </row>
    <row r="7162" spans="1:5" x14ac:dyDescent="0.25">
      <c r="A7162" s="83"/>
      <c r="B7162" s="84"/>
      <c r="C7162" s="84"/>
      <c r="D7162" s="116"/>
      <c r="E7162" s="116"/>
    </row>
    <row r="7163" spans="1:5" x14ac:dyDescent="0.25">
      <c r="A7163" s="83"/>
      <c r="B7163" s="84"/>
      <c r="C7163" s="84"/>
      <c r="D7163" s="116"/>
      <c r="E7163" s="116"/>
    </row>
    <row r="7164" spans="1:5" x14ac:dyDescent="0.25">
      <c r="A7164" s="83"/>
      <c r="B7164" s="84"/>
      <c r="C7164" s="84"/>
      <c r="D7164" s="116"/>
      <c r="E7164" s="116"/>
    </row>
    <row r="7165" spans="1:5" x14ac:dyDescent="0.25">
      <c r="A7165" s="83"/>
      <c r="B7165" s="84"/>
      <c r="C7165" s="84"/>
      <c r="D7165" s="116"/>
      <c r="E7165" s="116"/>
    </row>
    <row r="7166" spans="1:5" x14ac:dyDescent="0.25">
      <c r="A7166" s="83"/>
      <c r="B7166" s="84"/>
      <c r="C7166" s="84"/>
      <c r="D7166" s="116"/>
      <c r="E7166" s="116"/>
    </row>
    <row r="7167" spans="1:5" x14ac:dyDescent="0.25">
      <c r="A7167" s="83"/>
      <c r="B7167" s="84"/>
      <c r="C7167" s="84"/>
      <c r="D7167" s="116"/>
      <c r="E7167" s="116"/>
    </row>
    <row r="7168" spans="1:5" x14ac:dyDescent="0.25">
      <c r="A7168" s="83"/>
      <c r="B7168" s="84"/>
      <c r="C7168" s="84"/>
      <c r="D7168" s="116"/>
      <c r="E7168" s="116"/>
    </row>
    <row r="7169" spans="1:5" x14ac:dyDescent="0.25">
      <c r="A7169" s="83"/>
      <c r="B7169" s="84"/>
      <c r="C7169" s="84"/>
      <c r="D7169" s="116"/>
      <c r="E7169" s="116"/>
    </row>
    <row r="7170" spans="1:5" x14ac:dyDescent="0.25">
      <c r="A7170" s="83"/>
      <c r="B7170" s="84"/>
      <c r="C7170" s="84"/>
      <c r="D7170" s="116"/>
      <c r="E7170" s="116"/>
    </row>
    <row r="7171" spans="1:5" x14ac:dyDescent="0.25">
      <c r="A7171" s="83"/>
      <c r="B7171" s="84"/>
      <c r="C7171" s="84"/>
      <c r="D7171" s="116"/>
      <c r="E7171" s="116"/>
    </row>
    <row r="7172" spans="1:5" x14ac:dyDescent="0.25">
      <c r="A7172" s="83"/>
      <c r="B7172" s="84"/>
      <c r="C7172" s="84"/>
      <c r="D7172" s="116"/>
      <c r="E7172" s="116"/>
    </row>
    <row r="7173" spans="1:5" x14ac:dyDescent="0.25">
      <c r="A7173" s="83"/>
      <c r="B7173" s="84"/>
      <c r="C7173" s="84"/>
      <c r="D7173" s="116"/>
      <c r="E7173" s="116"/>
    </row>
    <row r="7174" spans="1:5" x14ac:dyDescent="0.25">
      <c r="A7174" s="83"/>
      <c r="B7174" s="84"/>
      <c r="C7174" s="84"/>
      <c r="D7174" s="116"/>
      <c r="E7174" s="116"/>
    </row>
    <row r="7175" spans="1:5" x14ac:dyDescent="0.25">
      <c r="A7175" s="83"/>
      <c r="B7175" s="84"/>
      <c r="C7175" s="84"/>
      <c r="D7175" s="116"/>
      <c r="E7175" s="116"/>
    </row>
    <row r="7176" spans="1:5" x14ac:dyDescent="0.25">
      <c r="A7176" s="83"/>
      <c r="B7176" s="84"/>
      <c r="C7176" s="84"/>
      <c r="D7176" s="116"/>
      <c r="E7176" s="116"/>
    </row>
    <row r="7177" spans="1:5" x14ac:dyDescent="0.25">
      <c r="A7177" s="83"/>
      <c r="B7177" s="84"/>
      <c r="C7177" s="84"/>
      <c r="D7177" s="116"/>
      <c r="E7177" s="116"/>
    </row>
    <row r="7178" spans="1:5" x14ac:dyDescent="0.25">
      <c r="A7178" s="83"/>
      <c r="B7178" s="84"/>
      <c r="C7178" s="84"/>
      <c r="D7178" s="116"/>
      <c r="E7178" s="116"/>
    </row>
    <row r="7179" spans="1:5" x14ac:dyDescent="0.25">
      <c r="A7179" s="83"/>
      <c r="B7179" s="84"/>
      <c r="C7179" s="84"/>
      <c r="D7179" s="116"/>
      <c r="E7179" s="116"/>
    </row>
    <row r="7180" spans="1:5" x14ac:dyDescent="0.25">
      <c r="A7180" s="83"/>
      <c r="B7180" s="84"/>
      <c r="C7180" s="84"/>
      <c r="D7180" s="116"/>
      <c r="E7180" s="116"/>
    </row>
    <row r="7181" spans="1:5" x14ac:dyDescent="0.25">
      <c r="A7181" s="83"/>
      <c r="B7181" s="84"/>
      <c r="C7181" s="84"/>
      <c r="D7181" s="116"/>
      <c r="E7181" s="116"/>
    </row>
    <row r="7182" spans="1:5" x14ac:dyDescent="0.25">
      <c r="A7182" s="83"/>
      <c r="B7182" s="84"/>
      <c r="C7182" s="84"/>
      <c r="D7182" s="116"/>
      <c r="E7182" s="116"/>
    </row>
    <row r="7183" spans="1:5" x14ac:dyDescent="0.25">
      <c r="A7183" s="83"/>
      <c r="B7183" s="84"/>
      <c r="C7183" s="84"/>
      <c r="D7183" s="116"/>
      <c r="E7183" s="116"/>
    </row>
    <row r="7184" spans="1:5" x14ac:dyDescent="0.25">
      <c r="A7184" s="83"/>
      <c r="B7184" s="84"/>
      <c r="C7184" s="84"/>
      <c r="D7184" s="116"/>
      <c r="E7184" s="116"/>
    </row>
    <row r="7185" spans="1:5" x14ac:dyDescent="0.25">
      <c r="A7185" s="83"/>
      <c r="B7185" s="84"/>
      <c r="C7185" s="84"/>
      <c r="D7185" s="116"/>
      <c r="E7185" s="116"/>
    </row>
    <row r="7186" spans="1:5" x14ac:dyDescent="0.25">
      <c r="A7186" s="83"/>
      <c r="B7186" s="84"/>
      <c r="C7186" s="84"/>
      <c r="D7186" s="116"/>
      <c r="E7186" s="116"/>
    </row>
    <row r="7187" spans="1:5" x14ac:dyDescent="0.25">
      <c r="A7187" s="83"/>
      <c r="B7187" s="84"/>
      <c r="C7187" s="84"/>
      <c r="D7187" s="116"/>
      <c r="E7187" s="116"/>
    </row>
    <row r="7188" spans="1:5" x14ac:dyDescent="0.25">
      <c r="A7188" s="83"/>
      <c r="B7188" s="84"/>
      <c r="C7188" s="84"/>
      <c r="D7188" s="116"/>
      <c r="E7188" s="116"/>
    </row>
    <row r="7189" spans="1:5" x14ac:dyDescent="0.25">
      <c r="A7189" s="83"/>
      <c r="B7189" s="84"/>
      <c r="C7189" s="84"/>
      <c r="D7189" s="116"/>
      <c r="E7189" s="116"/>
    </row>
    <row r="7190" spans="1:5" x14ac:dyDescent="0.25">
      <c r="A7190" s="83"/>
      <c r="B7190" s="84"/>
      <c r="C7190" s="84"/>
      <c r="D7190" s="116"/>
      <c r="E7190" s="116"/>
    </row>
    <row r="7191" spans="1:5" x14ac:dyDescent="0.25">
      <c r="A7191" s="83"/>
      <c r="B7191" s="84"/>
      <c r="C7191" s="84"/>
      <c r="D7191" s="116"/>
      <c r="E7191" s="116"/>
    </row>
    <row r="7192" spans="1:5" x14ac:dyDescent="0.25">
      <c r="A7192" s="83"/>
      <c r="B7192" s="84"/>
      <c r="C7192" s="84"/>
      <c r="D7192" s="116"/>
      <c r="E7192" s="116"/>
    </row>
    <row r="7193" spans="1:5" x14ac:dyDescent="0.25">
      <c r="A7193" s="83"/>
      <c r="B7193" s="84"/>
      <c r="C7193" s="84"/>
      <c r="D7193" s="116"/>
      <c r="E7193" s="116"/>
    </row>
    <row r="7194" spans="1:5" x14ac:dyDescent="0.25">
      <c r="A7194" s="83"/>
      <c r="B7194" s="84"/>
      <c r="C7194" s="84"/>
      <c r="D7194" s="116"/>
      <c r="E7194" s="116"/>
    </row>
    <row r="7195" spans="1:5" x14ac:dyDescent="0.25">
      <c r="A7195" s="83"/>
      <c r="B7195" s="84"/>
      <c r="C7195" s="84"/>
      <c r="D7195" s="116"/>
      <c r="E7195" s="116"/>
    </row>
    <row r="7196" spans="1:5" x14ac:dyDescent="0.25">
      <c r="A7196" s="83"/>
      <c r="B7196" s="84"/>
      <c r="C7196" s="84"/>
      <c r="D7196" s="116"/>
      <c r="E7196" s="116"/>
    </row>
    <row r="7197" spans="1:5" x14ac:dyDescent="0.25">
      <c r="A7197" s="83"/>
      <c r="B7197" s="84"/>
      <c r="C7197" s="84"/>
      <c r="D7197" s="116"/>
      <c r="E7197" s="116"/>
    </row>
    <row r="7198" spans="1:5" x14ac:dyDescent="0.25">
      <c r="A7198" s="83"/>
      <c r="B7198" s="84"/>
      <c r="C7198" s="84"/>
      <c r="D7198" s="116"/>
      <c r="E7198" s="116"/>
    </row>
    <row r="7199" spans="1:5" x14ac:dyDescent="0.25">
      <c r="A7199" s="83"/>
      <c r="B7199" s="84"/>
      <c r="C7199" s="84"/>
      <c r="D7199" s="116"/>
      <c r="E7199" s="116"/>
    </row>
    <row r="7200" spans="1:5" x14ac:dyDescent="0.25">
      <c r="A7200" s="83"/>
      <c r="B7200" s="84"/>
      <c r="C7200" s="84"/>
      <c r="D7200" s="116"/>
      <c r="E7200" s="116"/>
    </row>
    <row r="7201" spans="1:5" x14ac:dyDescent="0.25">
      <c r="A7201" s="83"/>
      <c r="B7201" s="84"/>
      <c r="C7201" s="84"/>
      <c r="D7201" s="116"/>
      <c r="E7201" s="116"/>
    </row>
    <row r="7202" spans="1:5" x14ac:dyDescent="0.25">
      <c r="A7202" s="83"/>
      <c r="B7202" s="84"/>
      <c r="C7202" s="84"/>
      <c r="D7202" s="116"/>
      <c r="E7202" s="116"/>
    </row>
    <row r="7203" spans="1:5" x14ac:dyDescent="0.25">
      <c r="A7203" s="83"/>
      <c r="B7203" s="84"/>
      <c r="C7203" s="84"/>
      <c r="D7203" s="116"/>
      <c r="E7203" s="116"/>
    </row>
    <row r="7204" spans="1:5" x14ac:dyDescent="0.25">
      <c r="A7204" s="83"/>
      <c r="B7204" s="84"/>
      <c r="C7204" s="84"/>
      <c r="D7204" s="116"/>
      <c r="E7204" s="116"/>
    </row>
    <row r="7205" spans="1:5" x14ac:dyDescent="0.25">
      <c r="A7205" s="83"/>
      <c r="B7205" s="84"/>
      <c r="C7205" s="84"/>
      <c r="D7205" s="116"/>
      <c r="E7205" s="116"/>
    </row>
    <row r="7206" spans="1:5" x14ac:dyDescent="0.25">
      <c r="A7206" s="83"/>
      <c r="B7206" s="84"/>
      <c r="C7206" s="84"/>
      <c r="D7206" s="116"/>
      <c r="E7206" s="116"/>
    </row>
    <row r="7207" spans="1:5" x14ac:dyDescent="0.25">
      <c r="A7207" s="83"/>
      <c r="B7207" s="84"/>
      <c r="C7207" s="84"/>
      <c r="D7207" s="116"/>
      <c r="E7207" s="116"/>
    </row>
    <row r="7208" spans="1:5" x14ac:dyDescent="0.25">
      <c r="A7208" s="83"/>
      <c r="B7208" s="84"/>
      <c r="C7208" s="84"/>
      <c r="D7208" s="116"/>
      <c r="E7208" s="116"/>
    </row>
    <row r="7209" spans="1:5" x14ac:dyDescent="0.25">
      <c r="A7209" s="83"/>
      <c r="B7209" s="84"/>
      <c r="C7209" s="84"/>
      <c r="D7209" s="116"/>
      <c r="E7209" s="116"/>
    </row>
    <row r="7210" spans="1:5" x14ac:dyDescent="0.25">
      <c r="A7210" s="83"/>
      <c r="B7210" s="84"/>
      <c r="C7210" s="84"/>
      <c r="D7210" s="116"/>
      <c r="E7210" s="116"/>
    </row>
    <row r="7211" spans="1:5" x14ac:dyDescent="0.25">
      <c r="A7211" s="83"/>
      <c r="B7211" s="84"/>
      <c r="C7211" s="84"/>
      <c r="D7211" s="116"/>
      <c r="E7211" s="116"/>
    </row>
    <row r="7212" spans="1:5" x14ac:dyDescent="0.25">
      <c r="A7212" s="83"/>
      <c r="B7212" s="84"/>
      <c r="C7212" s="84"/>
      <c r="D7212" s="116"/>
      <c r="E7212" s="116"/>
    </row>
    <row r="7213" spans="1:5" x14ac:dyDescent="0.25">
      <c r="A7213" s="83"/>
      <c r="B7213" s="84"/>
      <c r="C7213" s="84"/>
      <c r="D7213" s="116"/>
      <c r="E7213" s="116"/>
    </row>
    <row r="7214" spans="1:5" x14ac:dyDescent="0.25">
      <c r="A7214" s="83"/>
      <c r="B7214" s="84"/>
      <c r="C7214" s="84"/>
      <c r="D7214" s="116"/>
      <c r="E7214" s="116"/>
    </row>
    <row r="7215" spans="1:5" x14ac:dyDescent="0.25">
      <c r="A7215" s="83"/>
      <c r="B7215" s="84"/>
      <c r="C7215" s="84"/>
      <c r="D7215" s="116"/>
      <c r="E7215" s="116"/>
    </row>
    <row r="7216" spans="1:5" x14ac:dyDescent="0.25">
      <c r="A7216" s="83"/>
      <c r="B7216" s="84"/>
      <c r="C7216" s="84"/>
      <c r="D7216" s="116"/>
      <c r="E7216" s="116"/>
    </row>
    <row r="7217" spans="1:5" x14ac:dyDescent="0.25">
      <c r="A7217" s="83"/>
      <c r="B7217" s="84"/>
      <c r="C7217" s="84"/>
      <c r="D7217" s="116"/>
      <c r="E7217" s="116"/>
    </row>
    <row r="7218" spans="1:5" x14ac:dyDescent="0.25">
      <c r="A7218" s="83"/>
      <c r="B7218" s="84"/>
      <c r="C7218" s="84"/>
      <c r="D7218" s="116"/>
      <c r="E7218" s="116"/>
    </row>
    <row r="7219" spans="1:5" x14ac:dyDescent="0.25">
      <c r="A7219" s="83"/>
      <c r="B7219" s="84"/>
      <c r="C7219" s="84"/>
      <c r="D7219" s="116"/>
      <c r="E7219" s="116"/>
    </row>
    <row r="7220" spans="1:5" x14ac:dyDescent="0.25">
      <c r="A7220" s="83"/>
      <c r="B7220" s="84"/>
      <c r="C7220" s="84"/>
      <c r="D7220" s="116"/>
      <c r="E7220" s="116"/>
    </row>
    <row r="7221" spans="1:5" x14ac:dyDescent="0.25">
      <c r="A7221" s="83"/>
      <c r="B7221" s="84"/>
      <c r="C7221" s="84"/>
      <c r="D7221" s="116"/>
      <c r="E7221" s="116"/>
    </row>
    <row r="7222" spans="1:5" x14ac:dyDescent="0.25">
      <c r="A7222" s="83"/>
      <c r="B7222" s="84"/>
      <c r="C7222" s="84"/>
      <c r="D7222" s="116"/>
      <c r="E7222" s="116"/>
    </row>
    <row r="7223" spans="1:5" x14ac:dyDescent="0.25">
      <c r="A7223" s="83"/>
      <c r="B7223" s="84"/>
      <c r="C7223" s="84"/>
      <c r="D7223" s="116"/>
      <c r="E7223" s="116"/>
    </row>
    <row r="7224" spans="1:5" x14ac:dyDescent="0.25">
      <c r="A7224" s="83"/>
      <c r="B7224" s="84"/>
      <c r="C7224" s="84"/>
      <c r="D7224" s="116"/>
      <c r="E7224" s="116"/>
    </row>
    <row r="7225" spans="1:5" x14ac:dyDescent="0.25">
      <c r="A7225" s="83"/>
      <c r="B7225" s="84"/>
      <c r="C7225" s="84"/>
      <c r="D7225" s="116"/>
      <c r="E7225" s="116"/>
    </row>
    <row r="7226" spans="1:5" x14ac:dyDescent="0.25">
      <c r="A7226" s="83"/>
      <c r="B7226" s="84"/>
      <c r="C7226" s="84"/>
      <c r="D7226" s="116"/>
      <c r="E7226" s="116"/>
    </row>
    <row r="7227" spans="1:5" x14ac:dyDescent="0.25">
      <c r="A7227" s="83"/>
      <c r="B7227" s="84"/>
      <c r="C7227" s="84"/>
      <c r="D7227" s="116"/>
      <c r="E7227" s="116"/>
    </row>
    <row r="7228" spans="1:5" x14ac:dyDescent="0.25">
      <c r="A7228" s="83"/>
      <c r="B7228" s="84"/>
      <c r="C7228" s="84"/>
      <c r="D7228" s="116"/>
      <c r="E7228" s="116"/>
    </row>
    <row r="7229" spans="1:5" x14ac:dyDescent="0.25">
      <c r="A7229" s="83"/>
      <c r="B7229" s="84"/>
      <c r="C7229" s="84"/>
      <c r="D7229" s="116"/>
      <c r="E7229" s="116"/>
    </row>
    <row r="7230" spans="1:5" x14ac:dyDescent="0.25">
      <c r="A7230" s="83"/>
      <c r="B7230" s="84"/>
      <c r="C7230" s="84"/>
      <c r="D7230" s="116"/>
      <c r="E7230" s="116"/>
    </row>
    <row r="7231" spans="1:5" x14ac:dyDescent="0.25">
      <c r="A7231" s="83"/>
      <c r="B7231" s="84"/>
      <c r="C7231" s="84"/>
      <c r="D7231" s="116"/>
      <c r="E7231" s="116"/>
    </row>
    <row r="7232" spans="1:5" x14ac:dyDescent="0.25">
      <c r="A7232" s="83"/>
      <c r="B7232" s="84"/>
      <c r="C7232" s="84"/>
      <c r="D7232" s="116"/>
      <c r="E7232" s="116"/>
    </row>
    <row r="7233" spans="1:5" x14ac:dyDescent="0.25">
      <c r="A7233" s="83"/>
      <c r="B7233" s="84"/>
      <c r="C7233" s="84"/>
      <c r="D7233" s="116"/>
      <c r="E7233" s="116"/>
    </row>
    <row r="7234" spans="1:5" x14ac:dyDescent="0.25">
      <c r="A7234" s="83"/>
      <c r="B7234" s="84"/>
      <c r="C7234" s="84"/>
      <c r="D7234" s="116"/>
      <c r="E7234" s="116"/>
    </row>
    <row r="7235" spans="1:5" x14ac:dyDescent="0.25">
      <c r="A7235" s="83"/>
      <c r="B7235" s="84"/>
      <c r="C7235" s="84"/>
      <c r="D7235" s="116"/>
      <c r="E7235" s="116"/>
    </row>
    <row r="7236" spans="1:5" x14ac:dyDescent="0.25">
      <c r="A7236" s="83"/>
      <c r="B7236" s="84"/>
      <c r="C7236" s="84"/>
      <c r="D7236" s="116"/>
      <c r="E7236" s="116"/>
    </row>
    <row r="7237" spans="1:5" x14ac:dyDescent="0.25">
      <c r="A7237" s="83"/>
      <c r="B7237" s="84"/>
      <c r="C7237" s="84"/>
      <c r="D7237" s="116"/>
      <c r="E7237" s="116"/>
    </row>
    <row r="7238" spans="1:5" x14ac:dyDescent="0.25">
      <c r="A7238" s="83"/>
      <c r="B7238" s="84"/>
      <c r="C7238" s="84"/>
      <c r="D7238" s="116"/>
      <c r="E7238" s="116"/>
    </row>
    <row r="7239" spans="1:5" x14ac:dyDescent="0.25">
      <c r="A7239" s="83"/>
      <c r="B7239" s="84"/>
      <c r="C7239" s="84"/>
      <c r="D7239" s="116"/>
      <c r="E7239" s="116"/>
    </row>
    <row r="7240" spans="1:5" x14ac:dyDescent="0.25">
      <c r="A7240" s="83"/>
      <c r="B7240" s="84"/>
      <c r="C7240" s="84"/>
      <c r="D7240" s="116"/>
      <c r="E7240" s="116"/>
    </row>
    <row r="7241" spans="1:5" x14ac:dyDescent="0.25">
      <c r="A7241" s="83"/>
      <c r="B7241" s="84"/>
      <c r="C7241" s="84"/>
      <c r="D7241" s="116"/>
      <c r="E7241" s="116"/>
    </row>
    <row r="7242" spans="1:5" x14ac:dyDescent="0.25">
      <c r="A7242" s="83"/>
      <c r="B7242" s="84"/>
      <c r="C7242" s="84"/>
      <c r="D7242" s="116"/>
      <c r="E7242" s="116"/>
    </row>
    <row r="7243" spans="1:5" x14ac:dyDescent="0.25">
      <c r="A7243" s="83"/>
      <c r="B7243" s="84"/>
      <c r="C7243" s="84"/>
      <c r="D7243" s="116"/>
      <c r="E7243" s="116"/>
    </row>
    <row r="7244" spans="1:5" x14ac:dyDescent="0.25">
      <c r="A7244" s="83"/>
      <c r="B7244" s="84"/>
      <c r="C7244" s="84"/>
      <c r="D7244" s="116"/>
      <c r="E7244" s="116"/>
    </row>
    <row r="7245" spans="1:5" x14ac:dyDescent="0.25">
      <c r="A7245" s="83"/>
      <c r="B7245" s="84"/>
      <c r="C7245" s="84"/>
      <c r="D7245" s="116"/>
      <c r="E7245" s="116"/>
    </row>
    <row r="7246" spans="1:5" x14ac:dyDescent="0.25">
      <c r="A7246" s="83"/>
      <c r="B7246" s="84"/>
      <c r="C7246" s="84"/>
      <c r="D7246" s="116"/>
      <c r="E7246" s="116"/>
    </row>
    <row r="7247" spans="1:5" x14ac:dyDescent="0.25">
      <c r="A7247" s="83"/>
      <c r="B7247" s="84"/>
      <c r="C7247" s="84"/>
      <c r="D7247" s="116"/>
      <c r="E7247" s="116"/>
    </row>
    <row r="7248" spans="1:5" x14ac:dyDescent="0.25">
      <c r="A7248" s="83"/>
      <c r="B7248" s="84"/>
      <c r="C7248" s="84"/>
      <c r="D7248" s="116"/>
      <c r="E7248" s="116"/>
    </row>
    <row r="7249" spans="1:5" x14ac:dyDescent="0.25">
      <c r="A7249" s="83"/>
      <c r="B7249" s="84"/>
      <c r="C7249" s="84"/>
      <c r="D7249" s="116"/>
      <c r="E7249" s="116"/>
    </row>
    <row r="7250" spans="1:5" x14ac:dyDescent="0.25">
      <c r="A7250" s="83"/>
      <c r="B7250" s="84"/>
      <c r="C7250" s="84"/>
      <c r="D7250" s="116"/>
      <c r="E7250" s="116"/>
    </row>
    <row r="7251" spans="1:5" x14ac:dyDescent="0.25">
      <c r="A7251" s="83"/>
      <c r="B7251" s="84"/>
      <c r="C7251" s="84"/>
      <c r="D7251" s="116"/>
      <c r="E7251" s="116"/>
    </row>
    <row r="7252" spans="1:5" x14ac:dyDescent="0.25">
      <c r="A7252" s="83"/>
      <c r="B7252" s="84"/>
      <c r="C7252" s="84"/>
      <c r="D7252" s="116"/>
      <c r="E7252" s="116"/>
    </row>
    <row r="7253" spans="1:5" x14ac:dyDescent="0.25">
      <c r="A7253" s="83"/>
      <c r="B7253" s="84"/>
      <c r="C7253" s="84"/>
      <c r="D7253" s="116"/>
      <c r="E7253" s="116"/>
    </row>
    <row r="7254" spans="1:5" x14ac:dyDescent="0.25">
      <c r="A7254" s="83"/>
      <c r="B7254" s="84"/>
      <c r="C7254" s="84"/>
      <c r="D7254" s="116"/>
      <c r="E7254" s="116"/>
    </row>
    <row r="7255" spans="1:5" x14ac:dyDescent="0.25">
      <c r="A7255" s="83"/>
      <c r="B7255" s="84"/>
      <c r="C7255" s="84"/>
      <c r="D7255" s="116"/>
      <c r="E7255" s="116"/>
    </row>
    <row r="7256" spans="1:5" x14ac:dyDescent="0.25">
      <c r="A7256" s="83"/>
      <c r="B7256" s="84"/>
      <c r="C7256" s="84"/>
      <c r="D7256" s="116"/>
      <c r="E7256" s="116"/>
    </row>
    <row r="7257" spans="1:5" x14ac:dyDescent="0.25">
      <c r="A7257" s="83"/>
      <c r="B7257" s="84"/>
      <c r="C7257" s="84"/>
      <c r="D7257" s="116"/>
      <c r="E7257" s="116"/>
    </row>
    <row r="7258" spans="1:5" x14ac:dyDescent="0.25">
      <c r="A7258" s="83"/>
      <c r="B7258" s="84"/>
      <c r="C7258" s="84"/>
      <c r="D7258" s="116"/>
      <c r="E7258" s="116"/>
    </row>
    <row r="7259" spans="1:5" x14ac:dyDescent="0.25">
      <c r="A7259" s="83"/>
      <c r="B7259" s="84"/>
      <c r="C7259" s="84"/>
      <c r="D7259" s="116"/>
      <c r="E7259" s="116"/>
    </row>
    <row r="7260" spans="1:5" x14ac:dyDescent="0.25">
      <c r="A7260" s="83"/>
      <c r="B7260" s="84"/>
      <c r="C7260" s="84"/>
      <c r="D7260" s="116"/>
      <c r="E7260" s="116"/>
    </row>
    <row r="7261" spans="1:5" x14ac:dyDescent="0.25">
      <c r="A7261" s="83"/>
      <c r="B7261" s="84"/>
      <c r="C7261" s="84"/>
      <c r="D7261" s="116"/>
      <c r="E7261" s="116"/>
    </row>
    <row r="7262" spans="1:5" x14ac:dyDescent="0.25">
      <c r="A7262" s="83"/>
      <c r="B7262" s="84"/>
      <c r="C7262" s="84"/>
      <c r="D7262" s="116"/>
      <c r="E7262" s="116"/>
    </row>
    <row r="7263" spans="1:5" x14ac:dyDescent="0.25">
      <c r="A7263" s="83"/>
      <c r="B7263" s="84"/>
      <c r="C7263" s="84"/>
      <c r="D7263" s="116"/>
      <c r="E7263" s="116"/>
    </row>
    <row r="7264" spans="1:5" x14ac:dyDescent="0.25">
      <c r="A7264" s="83"/>
      <c r="B7264" s="84"/>
      <c r="C7264" s="84"/>
      <c r="D7264" s="116"/>
      <c r="E7264" s="116"/>
    </row>
    <row r="7265" spans="1:5" x14ac:dyDescent="0.25">
      <c r="A7265" s="83"/>
      <c r="B7265" s="84"/>
      <c r="C7265" s="84"/>
      <c r="D7265" s="116"/>
      <c r="E7265" s="116"/>
    </row>
    <row r="7266" spans="1:5" x14ac:dyDescent="0.25">
      <c r="A7266" s="83"/>
      <c r="B7266" s="84"/>
      <c r="C7266" s="84"/>
      <c r="D7266" s="116"/>
      <c r="E7266" s="116"/>
    </row>
    <row r="7267" spans="1:5" x14ac:dyDescent="0.25">
      <c r="A7267" s="83"/>
      <c r="B7267" s="84"/>
      <c r="C7267" s="84"/>
      <c r="D7267" s="116"/>
      <c r="E7267" s="116"/>
    </row>
    <row r="7268" spans="1:5" x14ac:dyDescent="0.25">
      <c r="A7268" s="83"/>
      <c r="B7268" s="84"/>
      <c r="C7268" s="84"/>
      <c r="D7268" s="116"/>
      <c r="E7268" s="116"/>
    </row>
    <row r="7269" spans="1:5" x14ac:dyDescent="0.25">
      <c r="A7269" s="83"/>
      <c r="B7269" s="84"/>
      <c r="C7269" s="84"/>
      <c r="D7269" s="116"/>
      <c r="E7269" s="116"/>
    </row>
    <row r="7270" spans="1:5" x14ac:dyDescent="0.25">
      <c r="A7270" s="83"/>
      <c r="B7270" s="84"/>
      <c r="C7270" s="84"/>
      <c r="D7270" s="116"/>
      <c r="E7270" s="116"/>
    </row>
    <row r="7271" spans="1:5" x14ac:dyDescent="0.25">
      <c r="A7271" s="83"/>
      <c r="B7271" s="84"/>
      <c r="C7271" s="84"/>
      <c r="D7271" s="116"/>
      <c r="E7271" s="116"/>
    </row>
    <row r="7272" spans="1:5" x14ac:dyDescent="0.25">
      <c r="A7272" s="83"/>
      <c r="B7272" s="84"/>
      <c r="C7272" s="84"/>
      <c r="D7272" s="116"/>
      <c r="E7272" s="116"/>
    </row>
    <row r="7273" spans="1:5" x14ac:dyDescent="0.25">
      <c r="A7273" s="83"/>
      <c r="B7273" s="84"/>
      <c r="C7273" s="84"/>
      <c r="D7273" s="116"/>
      <c r="E7273" s="116"/>
    </row>
    <row r="7274" spans="1:5" x14ac:dyDescent="0.25">
      <c r="A7274" s="83"/>
      <c r="B7274" s="84"/>
      <c r="C7274" s="84"/>
      <c r="D7274" s="116"/>
      <c r="E7274" s="116"/>
    </row>
    <row r="7275" spans="1:5" x14ac:dyDescent="0.25">
      <c r="A7275" s="83"/>
      <c r="B7275" s="84"/>
      <c r="C7275" s="84"/>
      <c r="D7275" s="116"/>
      <c r="E7275" s="116"/>
    </row>
    <row r="7276" spans="1:5" x14ac:dyDescent="0.25">
      <c r="A7276" s="83"/>
      <c r="B7276" s="84"/>
      <c r="C7276" s="84"/>
      <c r="D7276" s="116"/>
      <c r="E7276" s="116"/>
    </row>
    <row r="7277" spans="1:5" x14ac:dyDescent="0.25">
      <c r="A7277" s="83"/>
      <c r="B7277" s="84"/>
      <c r="C7277" s="84"/>
      <c r="D7277" s="116"/>
      <c r="E7277" s="116"/>
    </row>
    <row r="7278" spans="1:5" x14ac:dyDescent="0.25">
      <c r="A7278" s="83"/>
      <c r="B7278" s="84"/>
      <c r="C7278" s="84"/>
      <c r="D7278" s="116"/>
      <c r="E7278" s="116"/>
    </row>
    <row r="7279" spans="1:5" x14ac:dyDescent="0.25">
      <c r="A7279" s="83"/>
      <c r="B7279" s="84"/>
      <c r="C7279" s="84"/>
      <c r="D7279" s="116"/>
      <c r="E7279" s="116"/>
    </row>
    <row r="7280" spans="1:5" x14ac:dyDescent="0.25">
      <c r="A7280" s="83"/>
      <c r="B7280" s="84"/>
      <c r="C7280" s="84"/>
      <c r="D7280" s="116"/>
      <c r="E7280" s="116"/>
    </row>
    <row r="7281" spans="1:5" x14ac:dyDescent="0.25">
      <c r="A7281" s="83"/>
      <c r="B7281" s="84"/>
      <c r="C7281" s="84"/>
      <c r="D7281" s="116"/>
      <c r="E7281" s="116"/>
    </row>
    <row r="7282" spans="1:5" x14ac:dyDescent="0.25">
      <c r="A7282" s="83"/>
      <c r="B7282" s="84"/>
      <c r="C7282" s="84"/>
      <c r="D7282" s="116"/>
      <c r="E7282" s="116"/>
    </row>
    <row r="7283" spans="1:5" x14ac:dyDescent="0.25">
      <c r="A7283" s="83"/>
      <c r="B7283" s="84"/>
      <c r="C7283" s="84"/>
      <c r="D7283" s="116"/>
      <c r="E7283" s="116"/>
    </row>
    <row r="7284" spans="1:5" x14ac:dyDescent="0.25">
      <c r="A7284" s="83"/>
      <c r="B7284" s="84"/>
      <c r="C7284" s="84"/>
      <c r="D7284" s="116"/>
      <c r="E7284" s="116"/>
    </row>
    <row r="7285" spans="1:5" x14ac:dyDescent="0.25">
      <c r="A7285" s="83"/>
      <c r="B7285" s="84"/>
      <c r="C7285" s="84"/>
      <c r="D7285" s="116"/>
      <c r="E7285" s="116"/>
    </row>
    <row r="7286" spans="1:5" x14ac:dyDescent="0.25">
      <c r="A7286" s="83"/>
      <c r="B7286" s="84"/>
      <c r="C7286" s="84"/>
      <c r="D7286" s="116"/>
      <c r="E7286" s="116"/>
    </row>
    <row r="7287" spans="1:5" x14ac:dyDescent="0.25">
      <c r="A7287" s="83"/>
      <c r="B7287" s="84"/>
      <c r="C7287" s="84"/>
      <c r="D7287" s="116"/>
      <c r="E7287" s="116"/>
    </row>
    <row r="7288" spans="1:5" x14ac:dyDescent="0.25">
      <c r="A7288" s="83"/>
      <c r="B7288" s="84"/>
      <c r="C7288" s="84"/>
      <c r="D7288" s="116"/>
      <c r="E7288" s="116"/>
    </row>
    <row r="7289" spans="1:5" x14ac:dyDescent="0.25">
      <c r="A7289" s="83"/>
      <c r="B7289" s="84"/>
      <c r="C7289" s="84"/>
      <c r="D7289" s="116"/>
      <c r="E7289" s="116"/>
    </row>
    <row r="7290" spans="1:5" x14ac:dyDescent="0.25">
      <c r="A7290" s="83"/>
      <c r="B7290" s="84"/>
      <c r="C7290" s="84"/>
      <c r="D7290" s="116"/>
      <c r="E7290" s="116"/>
    </row>
    <row r="7291" spans="1:5" x14ac:dyDescent="0.25">
      <c r="A7291" s="83"/>
      <c r="B7291" s="84"/>
      <c r="C7291" s="84"/>
      <c r="D7291" s="116"/>
      <c r="E7291" s="116"/>
    </row>
    <row r="7292" spans="1:5" x14ac:dyDescent="0.25">
      <c r="A7292" s="83"/>
      <c r="B7292" s="84"/>
      <c r="C7292" s="84"/>
      <c r="D7292" s="116"/>
      <c r="E7292" s="116"/>
    </row>
    <row r="7293" spans="1:5" x14ac:dyDescent="0.25">
      <c r="A7293" s="83"/>
      <c r="B7293" s="84"/>
      <c r="C7293" s="84"/>
      <c r="D7293" s="116"/>
      <c r="E7293" s="116"/>
    </row>
    <row r="7294" spans="1:5" x14ac:dyDescent="0.25">
      <c r="A7294" s="83"/>
      <c r="B7294" s="84"/>
      <c r="C7294" s="84"/>
      <c r="D7294" s="116"/>
      <c r="E7294" s="116"/>
    </row>
    <row r="7295" spans="1:5" x14ac:dyDescent="0.25">
      <c r="A7295" s="83"/>
      <c r="B7295" s="84"/>
      <c r="C7295" s="84"/>
      <c r="D7295" s="116"/>
      <c r="E7295" s="116"/>
    </row>
    <row r="7296" spans="1:5" x14ac:dyDescent="0.25">
      <c r="A7296" s="83"/>
      <c r="B7296" s="84"/>
      <c r="C7296" s="84"/>
      <c r="D7296" s="116"/>
      <c r="E7296" s="116"/>
    </row>
    <row r="7297" spans="1:5" x14ac:dyDescent="0.25">
      <c r="A7297" s="83"/>
      <c r="B7297" s="84"/>
      <c r="C7297" s="84"/>
      <c r="D7297" s="116"/>
      <c r="E7297" s="116"/>
    </row>
    <row r="7298" spans="1:5" x14ac:dyDescent="0.25">
      <c r="A7298" s="83"/>
      <c r="B7298" s="84"/>
      <c r="C7298" s="84"/>
      <c r="D7298" s="116"/>
      <c r="E7298" s="116"/>
    </row>
    <row r="7299" spans="1:5" x14ac:dyDescent="0.25">
      <c r="A7299" s="83"/>
      <c r="B7299" s="84"/>
      <c r="C7299" s="84"/>
      <c r="D7299" s="116"/>
      <c r="E7299" s="116"/>
    </row>
    <row r="7300" spans="1:5" x14ac:dyDescent="0.25">
      <c r="A7300" s="83"/>
      <c r="B7300" s="84"/>
      <c r="C7300" s="84"/>
      <c r="D7300" s="116"/>
      <c r="E7300" s="116"/>
    </row>
    <row r="7301" spans="1:5" x14ac:dyDescent="0.25">
      <c r="A7301" s="83"/>
      <c r="B7301" s="84"/>
      <c r="C7301" s="84"/>
      <c r="D7301" s="116"/>
      <c r="E7301" s="116"/>
    </row>
    <row r="7302" spans="1:5" x14ac:dyDescent="0.25">
      <c r="A7302" s="83"/>
      <c r="B7302" s="84"/>
      <c r="C7302" s="84"/>
      <c r="D7302" s="116"/>
      <c r="E7302" s="116"/>
    </row>
    <row r="7303" spans="1:5" x14ac:dyDescent="0.25">
      <c r="A7303" s="83"/>
      <c r="B7303" s="84"/>
      <c r="C7303" s="84"/>
      <c r="D7303" s="116"/>
      <c r="E7303" s="116"/>
    </row>
    <row r="7304" spans="1:5" x14ac:dyDescent="0.25">
      <c r="A7304" s="83"/>
      <c r="B7304" s="84"/>
      <c r="C7304" s="84"/>
      <c r="D7304" s="116"/>
      <c r="E7304" s="116"/>
    </row>
    <row r="7305" spans="1:5" x14ac:dyDescent="0.25">
      <c r="A7305" s="83"/>
      <c r="B7305" s="84"/>
      <c r="C7305" s="84"/>
      <c r="D7305" s="116"/>
      <c r="E7305" s="116"/>
    </row>
    <row r="7306" spans="1:5" x14ac:dyDescent="0.25">
      <c r="A7306" s="83"/>
      <c r="B7306" s="84"/>
      <c r="C7306" s="84"/>
      <c r="D7306" s="116"/>
      <c r="E7306" s="116"/>
    </row>
    <row r="7307" spans="1:5" x14ac:dyDescent="0.25">
      <c r="A7307" s="83"/>
      <c r="B7307" s="84"/>
      <c r="C7307" s="84"/>
      <c r="D7307" s="116"/>
      <c r="E7307" s="116"/>
    </row>
    <row r="7308" spans="1:5" x14ac:dyDescent="0.25">
      <c r="A7308" s="83"/>
      <c r="B7308" s="84"/>
      <c r="C7308" s="84"/>
      <c r="D7308" s="116"/>
      <c r="E7308" s="116"/>
    </row>
    <row r="7309" spans="1:5" x14ac:dyDescent="0.25">
      <c r="A7309" s="83"/>
      <c r="B7309" s="84"/>
      <c r="C7309" s="84"/>
      <c r="D7309" s="116"/>
      <c r="E7309" s="116"/>
    </row>
    <row r="7310" spans="1:5" x14ac:dyDescent="0.25">
      <c r="A7310" s="83"/>
      <c r="B7310" s="84"/>
      <c r="C7310" s="84"/>
      <c r="D7310" s="116"/>
      <c r="E7310" s="116"/>
    </row>
    <row r="7311" spans="1:5" x14ac:dyDescent="0.25">
      <c r="A7311" s="83"/>
      <c r="B7311" s="84"/>
      <c r="C7311" s="84"/>
      <c r="D7311" s="116"/>
      <c r="E7311" s="116"/>
    </row>
    <row r="7312" spans="1:5" x14ac:dyDescent="0.25">
      <c r="A7312" s="83"/>
      <c r="B7312" s="84"/>
      <c r="C7312" s="84"/>
      <c r="D7312" s="116"/>
      <c r="E7312" s="116"/>
    </row>
    <row r="7313" spans="1:5" x14ac:dyDescent="0.25">
      <c r="A7313" s="83"/>
      <c r="B7313" s="84"/>
      <c r="C7313" s="84"/>
      <c r="D7313" s="116"/>
      <c r="E7313" s="116"/>
    </row>
    <row r="7314" spans="1:5" x14ac:dyDescent="0.25">
      <c r="A7314" s="83"/>
      <c r="B7314" s="84"/>
      <c r="C7314" s="84"/>
      <c r="D7314" s="116"/>
      <c r="E7314" s="116"/>
    </row>
    <row r="7315" spans="1:5" x14ac:dyDescent="0.25">
      <c r="A7315" s="83"/>
      <c r="B7315" s="84"/>
      <c r="C7315" s="84"/>
      <c r="D7315" s="116"/>
      <c r="E7315" s="116"/>
    </row>
    <row r="7316" spans="1:5" x14ac:dyDescent="0.25">
      <c r="A7316" s="83"/>
      <c r="B7316" s="84"/>
      <c r="C7316" s="84"/>
      <c r="D7316" s="116"/>
      <c r="E7316" s="116"/>
    </row>
    <row r="7317" spans="1:5" x14ac:dyDescent="0.25">
      <c r="A7317" s="83"/>
      <c r="B7317" s="84"/>
      <c r="C7317" s="84"/>
      <c r="D7317" s="116"/>
      <c r="E7317" s="116"/>
    </row>
    <row r="7318" spans="1:5" x14ac:dyDescent="0.25">
      <c r="A7318" s="83"/>
      <c r="B7318" s="84"/>
      <c r="C7318" s="84"/>
      <c r="D7318" s="116"/>
      <c r="E7318" s="116"/>
    </row>
    <row r="7319" spans="1:5" x14ac:dyDescent="0.25">
      <c r="A7319" s="83"/>
      <c r="B7319" s="84"/>
      <c r="C7319" s="84"/>
      <c r="D7319" s="116"/>
      <c r="E7319" s="116"/>
    </row>
    <row r="7320" spans="1:5" x14ac:dyDescent="0.25">
      <c r="A7320" s="83"/>
      <c r="B7320" s="84"/>
      <c r="C7320" s="84"/>
      <c r="D7320" s="116"/>
      <c r="E7320" s="116"/>
    </row>
    <row r="7321" spans="1:5" x14ac:dyDescent="0.25">
      <c r="A7321" s="83"/>
      <c r="B7321" s="84"/>
      <c r="C7321" s="84"/>
      <c r="D7321" s="116"/>
      <c r="E7321" s="116"/>
    </row>
    <row r="7322" spans="1:5" x14ac:dyDescent="0.25">
      <c r="A7322" s="83"/>
      <c r="B7322" s="84"/>
      <c r="C7322" s="84"/>
      <c r="D7322" s="116"/>
      <c r="E7322" s="116"/>
    </row>
    <row r="7323" spans="1:5" x14ac:dyDescent="0.25">
      <c r="A7323" s="83"/>
      <c r="B7323" s="84"/>
      <c r="C7323" s="84"/>
      <c r="D7323" s="116"/>
      <c r="E7323" s="116"/>
    </row>
    <row r="7324" spans="1:5" x14ac:dyDescent="0.25">
      <c r="A7324" s="83"/>
      <c r="B7324" s="84"/>
      <c r="C7324" s="84"/>
      <c r="D7324" s="116"/>
      <c r="E7324" s="116"/>
    </row>
    <row r="7325" spans="1:5" x14ac:dyDescent="0.25">
      <c r="A7325" s="83"/>
      <c r="B7325" s="84"/>
      <c r="C7325" s="84"/>
      <c r="D7325" s="116"/>
      <c r="E7325" s="116"/>
    </row>
    <row r="7326" spans="1:5" x14ac:dyDescent="0.25">
      <c r="A7326" s="83"/>
      <c r="B7326" s="84"/>
      <c r="C7326" s="84"/>
      <c r="D7326" s="116"/>
      <c r="E7326" s="116"/>
    </row>
    <row r="7327" spans="1:5" x14ac:dyDescent="0.25">
      <c r="A7327" s="83"/>
      <c r="B7327" s="84"/>
      <c r="C7327" s="84"/>
      <c r="D7327" s="116"/>
      <c r="E7327" s="116"/>
    </row>
    <row r="7328" spans="1:5" x14ac:dyDescent="0.25">
      <c r="A7328" s="83"/>
      <c r="B7328" s="84"/>
      <c r="C7328" s="84"/>
      <c r="D7328" s="116"/>
      <c r="E7328" s="116"/>
    </row>
    <row r="7329" spans="1:5" x14ac:dyDescent="0.25">
      <c r="A7329" s="83"/>
      <c r="B7329" s="84"/>
      <c r="C7329" s="84"/>
      <c r="D7329" s="116"/>
      <c r="E7329" s="116"/>
    </row>
    <row r="7330" spans="1:5" x14ac:dyDescent="0.25">
      <c r="A7330" s="83"/>
      <c r="B7330" s="84"/>
      <c r="C7330" s="84"/>
      <c r="D7330" s="116"/>
      <c r="E7330" s="116"/>
    </row>
    <row r="7331" spans="1:5" x14ac:dyDescent="0.25">
      <c r="A7331" s="83"/>
      <c r="B7331" s="84"/>
      <c r="C7331" s="84"/>
      <c r="D7331" s="116"/>
      <c r="E7331" s="116"/>
    </row>
    <row r="7332" spans="1:5" x14ac:dyDescent="0.25">
      <c r="A7332" s="83"/>
      <c r="B7332" s="84"/>
      <c r="C7332" s="84"/>
      <c r="D7332" s="116"/>
      <c r="E7332" s="116"/>
    </row>
    <row r="7333" spans="1:5" x14ac:dyDescent="0.25">
      <c r="A7333" s="83"/>
      <c r="B7333" s="84"/>
      <c r="C7333" s="84"/>
      <c r="D7333" s="116"/>
      <c r="E7333" s="116"/>
    </row>
    <row r="7334" spans="1:5" x14ac:dyDescent="0.25">
      <c r="A7334" s="83"/>
      <c r="B7334" s="84"/>
      <c r="C7334" s="84"/>
      <c r="D7334" s="116"/>
      <c r="E7334" s="116"/>
    </row>
    <row r="7335" spans="1:5" x14ac:dyDescent="0.25">
      <c r="A7335" s="83"/>
      <c r="B7335" s="84"/>
      <c r="C7335" s="84"/>
      <c r="D7335" s="116"/>
      <c r="E7335" s="116"/>
    </row>
    <row r="7336" spans="1:5" x14ac:dyDescent="0.25">
      <c r="A7336" s="83"/>
      <c r="B7336" s="84"/>
      <c r="C7336" s="84"/>
      <c r="D7336" s="116"/>
      <c r="E7336" s="116"/>
    </row>
    <row r="7337" spans="1:5" x14ac:dyDescent="0.25">
      <c r="A7337" s="83"/>
      <c r="B7337" s="84"/>
      <c r="C7337" s="84"/>
      <c r="D7337" s="116"/>
      <c r="E7337" s="116"/>
    </row>
    <row r="7338" spans="1:5" x14ac:dyDescent="0.25">
      <c r="A7338" s="83"/>
      <c r="B7338" s="84"/>
      <c r="C7338" s="84"/>
      <c r="D7338" s="116"/>
      <c r="E7338" s="116"/>
    </row>
    <row r="7339" spans="1:5" x14ac:dyDescent="0.25">
      <c r="A7339" s="83"/>
      <c r="B7339" s="84"/>
      <c r="C7339" s="84"/>
      <c r="D7339" s="116"/>
      <c r="E7339" s="116"/>
    </row>
    <row r="7340" spans="1:5" x14ac:dyDescent="0.25">
      <c r="A7340" s="83"/>
      <c r="B7340" s="84"/>
      <c r="C7340" s="84"/>
      <c r="D7340" s="116"/>
      <c r="E7340" s="116"/>
    </row>
    <row r="7341" spans="1:5" x14ac:dyDescent="0.25">
      <c r="A7341" s="83"/>
      <c r="B7341" s="84"/>
      <c r="C7341" s="84"/>
      <c r="D7341" s="116"/>
      <c r="E7341" s="116"/>
    </row>
    <row r="7342" spans="1:5" x14ac:dyDescent="0.25">
      <c r="A7342" s="83"/>
      <c r="B7342" s="84"/>
      <c r="C7342" s="84"/>
      <c r="D7342" s="116"/>
      <c r="E7342" s="116"/>
    </row>
    <row r="7343" spans="1:5" x14ac:dyDescent="0.25">
      <c r="A7343" s="83"/>
      <c r="B7343" s="84"/>
      <c r="C7343" s="84"/>
      <c r="D7343" s="116"/>
      <c r="E7343" s="116"/>
    </row>
    <row r="7344" spans="1:5" x14ac:dyDescent="0.25">
      <c r="A7344" s="83"/>
      <c r="B7344" s="84"/>
      <c r="C7344" s="84"/>
      <c r="D7344" s="116"/>
      <c r="E7344" s="116"/>
    </row>
    <row r="7345" spans="1:5" x14ac:dyDescent="0.25">
      <c r="A7345" s="83"/>
      <c r="B7345" s="84"/>
      <c r="C7345" s="84"/>
      <c r="D7345" s="116"/>
      <c r="E7345" s="116"/>
    </row>
    <row r="7346" spans="1:5" x14ac:dyDescent="0.25">
      <c r="A7346" s="83"/>
      <c r="B7346" s="84"/>
      <c r="C7346" s="84"/>
      <c r="D7346" s="116"/>
      <c r="E7346" s="116"/>
    </row>
    <row r="7347" spans="1:5" x14ac:dyDescent="0.25">
      <c r="A7347" s="83"/>
      <c r="B7347" s="84"/>
      <c r="C7347" s="84"/>
      <c r="D7347" s="116"/>
      <c r="E7347" s="116"/>
    </row>
    <row r="7348" spans="1:5" x14ac:dyDescent="0.25">
      <c r="A7348" s="83"/>
      <c r="B7348" s="84"/>
      <c r="C7348" s="84"/>
      <c r="D7348" s="116"/>
      <c r="E7348" s="116"/>
    </row>
    <row r="7349" spans="1:5" x14ac:dyDescent="0.25">
      <c r="A7349" s="83"/>
      <c r="B7349" s="84"/>
      <c r="C7349" s="84"/>
      <c r="D7349" s="116"/>
      <c r="E7349" s="116"/>
    </row>
    <row r="7350" spans="1:5" x14ac:dyDescent="0.25">
      <c r="A7350" s="83"/>
      <c r="B7350" s="84"/>
      <c r="C7350" s="84"/>
      <c r="D7350" s="116"/>
      <c r="E7350" s="116"/>
    </row>
    <row r="7351" spans="1:5" x14ac:dyDescent="0.25">
      <c r="A7351" s="83"/>
      <c r="B7351" s="84"/>
      <c r="C7351" s="84"/>
      <c r="D7351" s="116"/>
      <c r="E7351" s="116"/>
    </row>
    <row r="7352" spans="1:5" x14ac:dyDescent="0.25">
      <c r="A7352" s="83"/>
      <c r="B7352" s="84"/>
      <c r="C7352" s="84"/>
      <c r="D7352" s="116"/>
      <c r="E7352" s="116"/>
    </row>
    <row r="7353" spans="1:5" x14ac:dyDescent="0.25">
      <c r="A7353" s="83"/>
      <c r="B7353" s="84"/>
      <c r="C7353" s="84"/>
      <c r="D7353" s="116"/>
      <c r="E7353" s="116"/>
    </row>
    <row r="7354" spans="1:5" x14ac:dyDescent="0.25">
      <c r="A7354" s="83"/>
      <c r="B7354" s="84"/>
      <c r="C7354" s="84"/>
      <c r="D7354" s="116"/>
      <c r="E7354" s="116"/>
    </row>
    <row r="7355" spans="1:5" x14ac:dyDescent="0.25">
      <c r="A7355" s="83"/>
      <c r="B7355" s="84"/>
      <c r="C7355" s="84"/>
      <c r="D7355" s="116"/>
      <c r="E7355" s="116"/>
    </row>
    <row r="7356" spans="1:5" x14ac:dyDescent="0.25">
      <c r="A7356" s="83"/>
      <c r="B7356" s="84"/>
      <c r="C7356" s="84"/>
      <c r="D7356" s="116"/>
      <c r="E7356" s="116"/>
    </row>
    <row r="7357" spans="1:5" x14ac:dyDescent="0.25">
      <c r="A7357" s="83"/>
      <c r="B7357" s="84"/>
      <c r="C7357" s="84"/>
      <c r="D7357" s="116"/>
      <c r="E7357" s="116"/>
    </row>
    <row r="7358" spans="1:5" x14ac:dyDescent="0.25">
      <c r="A7358" s="83"/>
      <c r="B7358" s="84"/>
      <c r="C7358" s="84"/>
      <c r="D7358" s="116"/>
      <c r="E7358" s="116"/>
    </row>
    <row r="7359" spans="1:5" x14ac:dyDescent="0.25">
      <c r="A7359" s="83"/>
      <c r="B7359" s="84"/>
      <c r="C7359" s="84"/>
      <c r="D7359" s="116"/>
      <c r="E7359" s="116"/>
    </row>
    <row r="7360" spans="1:5" x14ac:dyDescent="0.25">
      <c r="A7360" s="83"/>
      <c r="B7360" s="84"/>
      <c r="C7360" s="84"/>
      <c r="D7360" s="116"/>
      <c r="E7360" s="116"/>
    </row>
    <row r="7361" spans="1:5" x14ac:dyDescent="0.25">
      <c r="A7361" s="83"/>
      <c r="B7361" s="84"/>
      <c r="C7361" s="84"/>
      <c r="D7361" s="116"/>
      <c r="E7361" s="116"/>
    </row>
    <row r="7362" spans="1:5" x14ac:dyDescent="0.25">
      <c r="A7362" s="83"/>
      <c r="B7362" s="84"/>
      <c r="C7362" s="84"/>
      <c r="D7362" s="116"/>
      <c r="E7362" s="116"/>
    </row>
    <row r="7363" spans="1:5" x14ac:dyDescent="0.25">
      <c r="A7363" s="83"/>
      <c r="B7363" s="84"/>
      <c r="C7363" s="84"/>
      <c r="D7363" s="116"/>
      <c r="E7363" s="116"/>
    </row>
    <row r="7364" spans="1:5" x14ac:dyDescent="0.25">
      <c r="A7364" s="83"/>
      <c r="B7364" s="84"/>
      <c r="C7364" s="84"/>
      <c r="D7364" s="116"/>
      <c r="E7364" s="116"/>
    </row>
    <row r="7365" spans="1:5" x14ac:dyDescent="0.25">
      <c r="A7365" s="83"/>
      <c r="B7365" s="84"/>
      <c r="C7365" s="84"/>
      <c r="D7365" s="116"/>
      <c r="E7365" s="116"/>
    </row>
    <row r="7366" spans="1:5" x14ac:dyDescent="0.25">
      <c r="A7366" s="83"/>
      <c r="B7366" s="84"/>
      <c r="C7366" s="84"/>
      <c r="D7366" s="116"/>
      <c r="E7366" s="116"/>
    </row>
    <row r="7367" spans="1:5" x14ac:dyDescent="0.25">
      <c r="A7367" s="83"/>
      <c r="B7367" s="84"/>
      <c r="C7367" s="84"/>
      <c r="D7367" s="116"/>
      <c r="E7367" s="116"/>
    </row>
    <row r="7368" spans="1:5" x14ac:dyDescent="0.25">
      <c r="A7368" s="83"/>
      <c r="B7368" s="84"/>
      <c r="C7368" s="84"/>
      <c r="D7368" s="116"/>
      <c r="E7368" s="116"/>
    </row>
    <row r="7369" spans="1:5" x14ac:dyDescent="0.25">
      <c r="A7369" s="83"/>
      <c r="B7369" s="84"/>
      <c r="C7369" s="84"/>
      <c r="D7369" s="116"/>
      <c r="E7369" s="116"/>
    </row>
    <row r="7370" spans="1:5" x14ac:dyDescent="0.25">
      <c r="A7370" s="83"/>
      <c r="B7370" s="84"/>
      <c r="C7370" s="84"/>
      <c r="D7370" s="116"/>
      <c r="E7370" s="116"/>
    </row>
    <row r="7371" spans="1:5" x14ac:dyDescent="0.25">
      <c r="A7371" s="83"/>
      <c r="B7371" s="84"/>
      <c r="C7371" s="84"/>
      <c r="D7371" s="116"/>
      <c r="E7371" s="116"/>
    </row>
    <row r="7372" spans="1:5" x14ac:dyDescent="0.25">
      <c r="A7372" s="83"/>
      <c r="B7372" s="84"/>
      <c r="C7372" s="84"/>
      <c r="D7372" s="116"/>
      <c r="E7372" s="116"/>
    </row>
    <row r="7373" spans="1:5" x14ac:dyDescent="0.25">
      <c r="A7373" s="83"/>
      <c r="B7373" s="84"/>
      <c r="C7373" s="84"/>
      <c r="D7373" s="116"/>
      <c r="E7373" s="116"/>
    </row>
    <row r="7374" spans="1:5" x14ac:dyDescent="0.25">
      <c r="A7374" s="83"/>
      <c r="B7374" s="84"/>
      <c r="C7374" s="84"/>
      <c r="D7374" s="116"/>
      <c r="E7374" s="116"/>
    </row>
    <row r="7375" spans="1:5" x14ac:dyDescent="0.25">
      <c r="A7375" s="83"/>
      <c r="B7375" s="84"/>
      <c r="C7375" s="84"/>
      <c r="D7375" s="116"/>
      <c r="E7375" s="116"/>
    </row>
    <row r="7376" spans="1:5" x14ac:dyDescent="0.25">
      <c r="A7376" s="83"/>
      <c r="B7376" s="84"/>
      <c r="C7376" s="84"/>
      <c r="D7376" s="116"/>
      <c r="E7376" s="116"/>
    </row>
    <row r="7377" spans="1:5" x14ac:dyDescent="0.25">
      <c r="A7377" s="83"/>
      <c r="B7377" s="84"/>
      <c r="C7377" s="84"/>
      <c r="D7377" s="116"/>
      <c r="E7377" s="116"/>
    </row>
    <row r="7378" spans="1:5" x14ac:dyDescent="0.25">
      <c r="A7378" s="83"/>
      <c r="B7378" s="84"/>
      <c r="C7378" s="84"/>
      <c r="D7378" s="116"/>
      <c r="E7378" s="116"/>
    </row>
    <row r="7379" spans="1:5" x14ac:dyDescent="0.25">
      <c r="A7379" s="83"/>
      <c r="B7379" s="84"/>
      <c r="C7379" s="84"/>
      <c r="D7379" s="116"/>
      <c r="E7379" s="116"/>
    </row>
    <row r="7380" spans="1:5" x14ac:dyDescent="0.25">
      <c r="A7380" s="83"/>
      <c r="B7380" s="84"/>
      <c r="C7380" s="84"/>
      <c r="D7380" s="116"/>
      <c r="E7380" s="116"/>
    </row>
    <row r="7381" spans="1:5" x14ac:dyDescent="0.25">
      <c r="A7381" s="83"/>
      <c r="B7381" s="84"/>
      <c r="C7381" s="84"/>
      <c r="D7381" s="116"/>
      <c r="E7381" s="116"/>
    </row>
    <row r="7382" spans="1:5" x14ac:dyDescent="0.25">
      <c r="A7382" s="83"/>
      <c r="B7382" s="84"/>
      <c r="C7382" s="84"/>
      <c r="D7382" s="116"/>
      <c r="E7382" s="116"/>
    </row>
    <row r="7383" spans="1:5" x14ac:dyDescent="0.25">
      <c r="A7383" s="83"/>
      <c r="B7383" s="84"/>
      <c r="C7383" s="84"/>
      <c r="D7383" s="116"/>
      <c r="E7383" s="116"/>
    </row>
    <row r="7384" spans="1:5" x14ac:dyDescent="0.25">
      <c r="A7384" s="83"/>
      <c r="B7384" s="84"/>
      <c r="C7384" s="84"/>
      <c r="D7384" s="116"/>
      <c r="E7384" s="116"/>
    </row>
    <row r="7385" spans="1:5" x14ac:dyDescent="0.25">
      <c r="A7385" s="83"/>
      <c r="B7385" s="84"/>
      <c r="C7385" s="84"/>
      <c r="D7385" s="116"/>
      <c r="E7385" s="116"/>
    </row>
    <row r="7386" spans="1:5" x14ac:dyDescent="0.25">
      <c r="A7386" s="83"/>
      <c r="B7386" s="84"/>
      <c r="C7386" s="84"/>
      <c r="D7386" s="116"/>
      <c r="E7386" s="116"/>
    </row>
    <row r="7387" spans="1:5" x14ac:dyDescent="0.25">
      <c r="A7387" s="83"/>
      <c r="B7387" s="84"/>
      <c r="C7387" s="84"/>
      <c r="D7387" s="116"/>
      <c r="E7387" s="116"/>
    </row>
    <row r="7388" spans="1:5" x14ac:dyDescent="0.25">
      <c r="A7388" s="83"/>
      <c r="B7388" s="84"/>
      <c r="C7388" s="84"/>
      <c r="D7388" s="116"/>
      <c r="E7388" s="116"/>
    </row>
    <row r="7389" spans="1:5" x14ac:dyDescent="0.25">
      <c r="A7389" s="83"/>
      <c r="B7389" s="84"/>
      <c r="C7389" s="84"/>
      <c r="D7389" s="116"/>
      <c r="E7389" s="116"/>
    </row>
    <row r="7390" spans="1:5" x14ac:dyDescent="0.25">
      <c r="A7390" s="83"/>
      <c r="B7390" s="84"/>
      <c r="C7390" s="84"/>
      <c r="D7390" s="116"/>
      <c r="E7390" s="116"/>
    </row>
    <row r="7391" spans="1:5" x14ac:dyDescent="0.25">
      <c r="A7391" s="83"/>
      <c r="B7391" s="84"/>
      <c r="C7391" s="84"/>
      <c r="D7391" s="116"/>
      <c r="E7391" s="116"/>
    </row>
    <row r="7392" spans="1:5" x14ac:dyDescent="0.25">
      <c r="A7392" s="83"/>
      <c r="B7392" s="84"/>
      <c r="C7392" s="84"/>
      <c r="D7392" s="116"/>
      <c r="E7392" s="116"/>
    </row>
    <row r="7393" spans="1:5" x14ac:dyDescent="0.25">
      <c r="A7393" s="83"/>
      <c r="B7393" s="84"/>
      <c r="C7393" s="84"/>
      <c r="D7393" s="116"/>
      <c r="E7393" s="116"/>
    </row>
    <row r="7394" spans="1:5" x14ac:dyDescent="0.25">
      <c r="A7394" s="83"/>
      <c r="B7394" s="84"/>
      <c r="C7394" s="84"/>
      <c r="D7394" s="116"/>
      <c r="E7394" s="116"/>
    </row>
    <row r="7395" spans="1:5" x14ac:dyDescent="0.25">
      <c r="A7395" s="83"/>
      <c r="B7395" s="84"/>
      <c r="C7395" s="84"/>
      <c r="D7395" s="116"/>
      <c r="E7395" s="116"/>
    </row>
    <row r="7396" spans="1:5" x14ac:dyDescent="0.25">
      <c r="A7396" s="83"/>
      <c r="B7396" s="84"/>
      <c r="C7396" s="84"/>
      <c r="D7396" s="116"/>
      <c r="E7396" s="116"/>
    </row>
    <row r="7397" spans="1:5" x14ac:dyDescent="0.25">
      <c r="A7397" s="83"/>
      <c r="B7397" s="84"/>
      <c r="C7397" s="84"/>
      <c r="D7397" s="116"/>
      <c r="E7397" s="116"/>
    </row>
    <row r="7398" spans="1:5" x14ac:dyDescent="0.25">
      <c r="A7398" s="83"/>
      <c r="B7398" s="84"/>
      <c r="C7398" s="84"/>
      <c r="D7398" s="116"/>
      <c r="E7398" s="116"/>
    </row>
    <row r="7399" spans="1:5" x14ac:dyDescent="0.25">
      <c r="A7399" s="83"/>
      <c r="B7399" s="84"/>
      <c r="C7399" s="84"/>
      <c r="D7399" s="116"/>
      <c r="E7399" s="116"/>
    </row>
    <row r="7400" spans="1:5" x14ac:dyDescent="0.25">
      <c r="A7400" s="83"/>
      <c r="B7400" s="84"/>
      <c r="C7400" s="84"/>
      <c r="D7400" s="116"/>
      <c r="E7400" s="116"/>
    </row>
    <row r="7401" spans="1:5" x14ac:dyDescent="0.25">
      <c r="A7401" s="83"/>
      <c r="B7401" s="84"/>
      <c r="C7401" s="84"/>
      <c r="D7401" s="116"/>
      <c r="E7401" s="116"/>
    </row>
    <row r="7402" spans="1:5" x14ac:dyDescent="0.25">
      <c r="A7402" s="83"/>
      <c r="B7402" s="84"/>
      <c r="C7402" s="84"/>
      <c r="D7402" s="116"/>
      <c r="E7402" s="116"/>
    </row>
    <row r="7403" spans="1:5" x14ac:dyDescent="0.25">
      <c r="A7403" s="83"/>
      <c r="B7403" s="84"/>
      <c r="C7403" s="84"/>
      <c r="D7403" s="116"/>
      <c r="E7403" s="116"/>
    </row>
    <row r="7404" spans="1:5" x14ac:dyDescent="0.25">
      <c r="A7404" s="83"/>
      <c r="B7404" s="84"/>
      <c r="C7404" s="84"/>
      <c r="D7404" s="116"/>
      <c r="E7404" s="116"/>
    </row>
    <row r="7405" spans="1:5" x14ac:dyDescent="0.25">
      <c r="A7405" s="83"/>
      <c r="B7405" s="84"/>
      <c r="C7405" s="84"/>
      <c r="D7405" s="116"/>
      <c r="E7405" s="116"/>
    </row>
    <row r="7406" spans="1:5" x14ac:dyDescent="0.25">
      <c r="A7406" s="83"/>
      <c r="B7406" s="84"/>
      <c r="C7406" s="84"/>
      <c r="D7406" s="116"/>
      <c r="E7406" s="116"/>
    </row>
    <row r="7407" spans="1:5" x14ac:dyDescent="0.25">
      <c r="A7407" s="83"/>
      <c r="B7407" s="84"/>
      <c r="C7407" s="84"/>
      <c r="D7407" s="116"/>
      <c r="E7407" s="116"/>
    </row>
    <row r="7408" spans="1:5" x14ac:dyDescent="0.25">
      <c r="A7408" s="83"/>
      <c r="B7408" s="84"/>
      <c r="C7408" s="84"/>
      <c r="D7408" s="116"/>
      <c r="E7408" s="116"/>
    </row>
    <row r="7409" spans="1:5" x14ac:dyDescent="0.25">
      <c r="A7409" s="83"/>
      <c r="B7409" s="84"/>
      <c r="C7409" s="84"/>
      <c r="D7409" s="116"/>
      <c r="E7409" s="116"/>
    </row>
    <row r="7410" spans="1:5" x14ac:dyDescent="0.25">
      <c r="A7410" s="83"/>
      <c r="B7410" s="84"/>
      <c r="C7410" s="84"/>
      <c r="D7410" s="116"/>
      <c r="E7410" s="116"/>
    </row>
    <row r="7411" spans="1:5" x14ac:dyDescent="0.25">
      <c r="A7411" s="83"/>
      <c r="B7411" s="84"/>
      <c r="C7411" s="84"/>
      <c r="D7411" s="116"/>
      <c r="E7411" s="116"/>
    </row>
    <row r="7412" spans="1:5" x14ac:dyDescent="0.25">
      <c r="A7412" s="83"/>
      <c r="B7412" s="84"/>
      <c r="C7412" s="84"/>
      <c r="D7412" s="116"/>
      <c r="E7412" s="116"/>
    </row>
    <row r="7413" spans="1:5" x14ac:dyDescent="0.25">
      <c r="A7413" s="83"/>
      <c r="B7413" s="84"/>
      <c r="C7413" s="84"/>
      <c r="D7413" s="116"/>
      <c r="E7413" s="116"/>
    </row>
    <row r="7414" spans="1:5" x14ac:dyDescent="0.25">
      <c r="A7414" s="83"/>
      <c r="B7414" s="84"/>
      <c r="C7414" s="84"/>
      <c r="D7414" s="116"/>
      <c r="E7414" s="116"/>
    </row>
    <row r="7415" spans="1:5" x14ac:dyDescent="0.25">
      <c r="A7415" s="83"/>
      <c r="B7415" s="84"/>
      <c r="C7415" s="84"/>
      <c r="D7415" s="116"/>
      <c r="E7415" s="116"/>
    </row>
    <row r="7416" spans="1:5" x14ac:dyDescent="0.25">
      <c r="A7416" s="83"/>
      <c r="B7416" s="84"/>
      <c r="C7416" s="84"/>
      <c r="D7416" s="116"/>
      <c r="E7416" s="116"/>
    </row>
    <row r="7417" spans="1:5" x14ac:dyDescent="0.25">
      <c r="A7417" s="83"/>
      <c r="B7417" s="84"/>
      <c r="C7417" s="84"/>
      <c r="D7417" s="116"/>
      <c r="E7417" s="116"/>
    </row>
    <row r="7418" spans="1:5" x14ac:dyDescent="0.25">
      <c r="A7418" s="83"/>
      <c r="B7418" s="84"/>
      <c r="C7418" s="84"/>
      <c r="D7418" s="116"/>
      <c r="E7418" s="116"/>
    </row>
    <row r="7419" spans="1:5" x14ac:dyDescent="0.25">
      <c r="A7419" s="83"/>
      <c r="B7419" s="84"/>
      <c r="C7419" s="84"/>
      <c r="D7419" s="116"/>
      <c r="E7419" s="116"/>
    </row>
    <row r="7420" spans="1:5" x14ac:dyDescent="0.25">
      <c r="A7420" s="83"/>
      <c r="B7420" s="84"/>
      <c r="C7420" s="84"/>
      <c r="D7420" s="116"/>
      <c r="E7420" s="116"/>
    </row>
    <row r="7421" spans="1:5" x14ac:dyDescent="0.25">
      <c r="A7421" s="83"/>
      <c r="B7421" s="84"/>
      <c r="C7421" s="84"/>
      <c r="D7421" s="116"/>
      <c r="E7421" s="116"/>
    </row>
    <row r="7422" spans="1:5" x14ac:dyDescent="0.25">
      <c r="A7422" s="83"/>
      <c r="B7422" s="84"/>
      <c r="C7422" s="84"/>
      <c r="D7422" s="116"/>
      <c r="E7422" s="116"/>
    </row>
    <row r="7423" spans="1:5" x14ac:dyDescent="0.25">
      <c r="A7423" s="83"/>
      <c r="B7423" s="84"/>
      <c r="C7423" s="84"/>
      <c r="D7423" s="116"/>
      <c r="E7423" s="116"/>
    </row>
    <row r="7424" spans="1:5" x14ac:dyDescent="0.25">
      <c r="A7424" s="83"/>
      <c r="B7424" s="84"/>
      <c r="C7424" s="84"/>
      <c r="D7424" s="116"/>
      <c r="E7424" s="116"/>
    </row>
    <row r="7425" spans="1:5" x14ac:dyDescent="0.25">
      <c r="A7425" s="83"/>
      <c r="B7425" s="84"/>
      <c r="C7425" s="84"/>
      <c r="D7425" s="116"/>
      <c r="E7425" s="116"/>
    </row>
    <row r="7426" spans="1:5" x14ac:dyDescent="0.25">
      <c r="A7426" s="83"/>
      <c r="B7426" s="84"/>
      <c r="C7426" s="84"/>
      <c r="D7426" s="116"/>
      <c r="E7426" s="116"/>
    </row>
    <row r="7427" spans="1:5" x14ac:dyDescent="0.25">
      <c r="A7427" s="83"/>
      <c r="B7427" s="84"/>
      <c r="C7427" s="84"/>
      <c r="D7427" s="116"/>
      <c r="E7427" s="116"/>
    </row>
    <row r="7428" spans="1:5" x14ac:dyDescent="0.25">
      <c r="A7428" s="83"/>
      <c r="B7428" s="84"/>
      <c r="C7428" s="84"/>
      <c r="D7428" s="116"/>
      <c r="E7428" s="116"/>
    </row>
    <row r="7429" spans="1:5" x14ac:dyDescent="0.25">
      <c r="A7429" s="83"/>
      <c r="B7429" s="84"/>
      <c r="C7429" s="84"/>
      <c r="D7429" s="116"/>
      <c r="E7429" s="116"/>
    </row>
    <row r="7430" spans="1:5" x14ac:dyDescent="0.25">
      <c r="A7430" s="83"/>
      <c r="B7430" s="84"/>
      <c r="C7430" s="84"/>
      <c r="D7430" s="116"/>
      <c r="E7430" s="116"/>
    </row>
    <row r="7431" spans="1:5" x14ac:dyDescent="0.25">
      <c r="A7431" s="83"/>
      <c r="B7431" s="84"/>
      <c r="C7431" s="84"/>
      <c r="D7431" s="116"/>
      <c r="E7431" s="116"/>
    </row>
    <row r="7432" spans="1:5" x14ac:dyDescent="0.25">
      <c r="A7432" s="83"/>
      <c r="B7432" s="84"/>
      <c r="C7432" s="84"/>
      <c r="D7432" s="116"/>
      <c r="E7432" s="116"/>
    </row>
    <row r="7433" spans="1:5" x14ac:dyDescent="0.25">
      <c r="A7433" s="83"/>
      <c r="B7433" s="84"/>
      <c r="C7433" s="84"/>
      <c r="D7433" s="116"/>
      <c r="E7433" s="116"/>
    </row>
    <row r="7434" spans="1:5" x14ac:dyDescent="0.25">
      <c r="A7434" s="83"/>
      <c r="B7434" s="84"/>
      <c r="C7434" s="84"/>
      <c r="D7434" s="116"/>
      <c r="E7434" s="116"/>
    </row>
    <row r="7435" spans="1:5" x14ac:dyDescent="0.25">
      <c r="A7435" s="83"/>
      <c r="B7435" s="84"/>
      <c r="C7435" s="84"/>
      <c r="D7435" s="116"/>
      <c r="E7435" s="116"/>
    </row>
    <row r="7436" spans="1:5" x14ac:dyDescent="0.25">
      <c r="A7436" s="83"/>
      <c r="B7436" s="84"/>
      <c r="C7436" s="84"/>
      <c r="D7436" s="116"/>
      <c r="E7436" s="116"/>
    </row>
    <row r="7437" spans="1:5" x14ac:dyDescent="0.25">
      <c r="A7437" s="83"/>
      <c r="B7437" s="84"/>
      <c r="C7437" s="84"/>
      <c r="D7437" s="116"/>
      <c r="E7437" s="116"/>
    </row>
    <row r="7438" spans="1:5" x14ac:dyDescent="0.25">
      <c r="A7438" s="83"/>
      <c r="B7438" s="84"/>
      <c r="C7438" s="84"/>
      <c r="D7438" s="116"/>
      <c r="E7438" s="116"/>
    </row>
    <row r="7439" spans="1:5" x14ac:dyDescent="0.25">
      <c r="A7439" s="83"/>
      <c r="B7439" s="84"/>
      <c r="C7439" s="84"/>
      <c r="D7439" s="116"/>
      <c r="E7439" s="116"/>
    </row>
    <row r="7440" spans="1:5" x14ac:dyDescent="0.25">
      <c r="A7440" s="83"/>
      <c r="B7440" s="84"/>
      <c r="C7440" s="84"/>
      <c r="D7440" s="116"/>
      <c r="E7440" s="116"/>
    </row>
    <row r="7441" spans="1:5" x14ac:dyDescent="0.25">
      <c r="A7441" s="83"/>
      <c r="B7441" s="84"/>
      <c r="C7441" s="84"/>
      <c r="D7441" s="116"/>
      <c r="E7441" s="116"/>
    </row>
    <row r="7442" spans="1:5" x14ac:dyDescent="0.25">
      <c r="A7442" s="83"/>
      <c r="B7442" s="84"/>
      <c r="C7442" s="84"/>
      <c r="D7442" s="116"/>
      <c r="E7442" s="116"/>
    </row>
    <row r="7443" spans="1:5" x14ac:dyDescent="0.25">
      <c r="A7443" s="83"/>
      <c r="B7443" s="84"/>
      <c r="C7443" s="84"/>
      <c r="D7443" s="116"/>
      <c r="E7443" s="116"/>
    </row>
    <row r="7444" spans="1:5" x14ac:dyDescent="0.25">
      <c r="A7444" s="83"/>
      <c r="B7444" s="84"/>
      <c r="C7444" s="84"/>
      <c r="D7444" s="116"/>
      <c r="E7444" s="116"/>
    </row>
    <row r="7445" spans="1:5" x14ac:dyDescent="0.25">
      <c r="A7445" s="83"/>
      <c r="B7445" s="84"/>
      <c r="C7445" s="84"/>
      <c r="D7445" s="116"/>
      <c r="E7445" s="116"/>
    </row>
    <row r="7446" spans="1:5" x14ac:dyDescent="0.25">
      <c r="A7446" s="83"/>
      <c r="B7446" s="84"/>
      <c r="C7446" s="84"/>
      <c r="D7446" s="116"/>
      <c r="E7446" s="116"/>
    </row>
    <row r="7447" spans="1:5" x14ac:dyDescent="0.25">
      <c r="A7447" s="83"/>
      <c r="B7447" s="84"/>
      <c r="C7447" s="84"/>
      <c r="D7447" s="116"/>
      <c r="E7447" s="116"/>
    </row>
    <row r="7448" spans="1:5" x14ac:dyDescent="0.25">
      <c r="A7448" s="83"/>
      <c r="B7448" s="84"/>
      <c r="C7448" s="84"/>
      <c r="D7448" s="116"/>
      <c r="E7448" s="116"/>
    </row>
    <row r="7449" spans="1:5" x14ac:dyDescent="0.25">
      <c r="A7449" s="83"/>
      <c r="B7449" s="84"/>
      <c r="C7449" s="84"/>
      <c r="D7449" s="116"/>
      <c r="E7449" s="116"/>
    </row>
    <row r="7450" spans="1:5" x14ac:dyDescent="0.25">
      <c r="A7450" s="83"/>
      <c r="B7450" s="84"/>
      <c r="C7450" s="84"/>
      <c r="D7450" s="116"/>
      <c r="E7450" s="116"/>
    </row>
    <row r="7451" spans="1:5" x14ac:dyDescent="0.25">
      <c r="A7451" s="83"/>
      <c r="B7451" s="84"/>
      <c r="C7451" s="84"/>
      <c r="D7451" s="116"/>
      <c r="E7451" s="116"/>
    </row>
    <row r="7452" spans="1:5" x14ac:dyDescent="0.25">
      <c r="A7452" s="83"/>
      <c r="B7452" s="84"/>
      <c r="C7452" s="84"/>
      <c r="D7452" s="116"/>
      <c r="E7452" s="116"/>
    </row>
    <row r="7453" spans="1:5" x14ac:dyDescent="0.25">
      <c r="A7453" s="83"/>
      <c r="B7453" s="84"/>
      <c r="C7453" s="84"/>
      <c r="D7453" s="116"/>
      <c r="E7453" s="116"/>
    </row>
    <row r="7454" spans="1:5" x14ac:dyDescent="0.25">
      <c r="A7454" s="83"/>
      <c r="B7454" s="84"/>
      <c r="C7454" s="84"/>
      <c r="D7454" s="116"/>
      <c r="E7454" s="116"/>
    </row>
    <row r="7455" spans="1:5" x14ac:dyDescent="0.25">
      <c r="A7455" s="83"/>
      <c r="B7455" s="84"/>
      <c r="C7455" s="84"/>
      <c r="D7455" s="116"/>
      <c r="E7455" s="116"/>
    </row>
    <row r="7456" spans="1:5" x14ac:dyDescent="0.25">
      <c r="A7456" s="83"/>
      <c r="B7456" s="84"/>
      <c r="C7456" s="84"/>
      <c r="D7456" s="116"/>
      <c r="E7456" s="116"/>
    </row>
    <row r="7457" spans="1:5" x14ac:dyDescent="0.25">
      <c r="A7457" s="83"/>
      <c r="B7457" s="84"/>
      <c r="C7457" s="84"/>
      <c r="D7457" s="116"/>
      <c r="E7457" s="116"/>
    </row>
    <row r="7458" spans="1:5" x14ac:dyDescent="0.25">
      <c r="A7458" s="83"/>
      <c r="B7458" s="84"/>
      <c r="C7458" s="84"/>
      <c r="D7458" s="116"/>
      <c r="E7458" s="116"/>
    </row>
    <row r="7459" spans="1:5" x14ac:dyDescent="0.25">
      <c r="A7459" s="83"/>
      <c r="B7459" s="84"/>
      <c r="C7459" s="84"/>
      <c r="D7459" s="116"/>
      <c r="E7459" s="116"/>
    </row>
    <row r="7460" spans="1:5" x14ac:dyDescent="0.25">
      <c r="A7460" s="83"/>
      <c r="B7460" s="84"/>
      <c r="C7460" s="84"/>
      <c r="D7460" s="116"/>
      <c r="E7460" s="116"/>
    </row>
    <row r="7461" spans="1:5" x14ac:dyDescent="0.25">
      <c r="A7461" s="83"/>
      <c r="B7461" s="84"/>
      <c r="C7461" s="84"/>
      <c r="D7461" s="116"/>
      <c r="E7461" s="116"/>
    </row>
    <row r="7462" spans="1:5" x14ac:dyDescent="0.25">
      <c r="A7462" s="83"/>
      <c r="B7462" s="84"/>
      <c r="C7462" s="84"/>
      <c r="D7462" s="116"/>
      <c r="E7462" s="116"/>
    </row>
    <row r="7463" spans="1:5" x14ac:dyDescent="0.25">
      <c r="A7463" s="83"/>
      <c r="B7463" s="84"/>
      <c r="C7463" s="84"/>
      <c r="D7463" s="116"/>
      <c r="E7463" s="116"/>
    </row>
    <row r="7464" spans="1:5" x14ac:dyDescent="0.25">
      <c r="A7464" s="83"/>
      <c r="B7464" s="84"/>
      <c r="C7464" s="84"/>
      <c r="D7464" s="116"/>
      <c r="E7464" s="116"/>
    </row>
    <row r="7465" spans="1:5" x14ac:dyDescent="0.25">
      <c r="A7465" s="83"/>
      <c r="B7465" s="84"/>
      <c r="C7465" s="84"/>
      <c r="D7465" s="116"/>
      <c r="E7465" s="116"/>
    </row>
    <row r="7466" spans="1:5" x14ac:dyDescent="0.25">
      <c r="A7466" s="83"/>
      <c r="B7466" s="84"/>
      <c r="C7466" s="84"/>
      <c r="D7466" s="116"/>
      <c r="E7466" s="116"/>
    </row>
    <row r="7467" spans="1:5" x14ac:dyDescent="0.25">
      <c r="A7467" s="83"/>
      <c r="B7467" s="84"/>
      <c r="C7467" s="84"/>
      <c r="D7467" s="116"/>
      <c r="E7467" s="116"/>
    </row>
    <row r="7468" spans="1:5" x14ac:dyDescent="0.25">
      <c r="A7468" s="83"/>
      <c r="B7468" s="84"/>
      <c r="C7468" s="84"/>
      <c r="D7468" s="116"/>
      <c r="E7468" s="116"/>
    </row>
    <row r="7469" spans="1:5" x14ac:dyDescent="0.25">
      <c r="A7469" s="83"/>
      <c r="B7469" s="84"/>
      <c r="C7469" s="84"/>
      <c r="D7469" s="116"/>
      <c r="E7469" s="116"/>
    </row>
    <row r="7470" spans="1:5" x14ac:dyDescent="0.25">
      <c r="A7470" s="83"/>
      <c r="B7470" s="84"/>
      <c r="C7470" s="84"/>
      <c r="D7470" s="116"/>
      <c r="E7470" s="116"/>
    </row>
    <row r="7471" spans="1:5" x14ac:dyDescent="0.25">
      <c r="A7471" s="83"/>
      <c r="B7471" s="84"/>
      <c r="C7471" s="84"/>
      <c r="D7471" s="116"/>
      <c r="E7471" s="116"/>
    </row>
    <row r="7472" spans="1:5" x14ac:dyDescent="0.25">
      <c r="A7472" s="83"/>
      <c r="B7472" s="84"/>
      <c r="C7472" s="84"/>
      <c r="D7472" s="116"/>
      <c r="E7472" s="116"/>
    </row>
    <row r="7473" spans="1:5" x14ac:dyDescent="0.25">
      <c r="A7473" s="83"/>
      <c r="B7473" s="84"/>
      <c r="C7473" s="84"/>
      <c r="D7473" s="116"/>
      <c r="E7473" s="116"/>
    </row>
    <row r="7474" spans="1:5" x14ac:dyDescent="0.25">
      <c r="A7474" s="83"/>
      <c r="B7474" s="84"/>
      <c r="C7474" s="84"/>
      <c r="D7474" s="116"/>
      <c r="E7474" s="116"/>
    </row>
    <row r="7475" spans="1:5" x14ac:dyDescent="0.25">
      <c r="A7475" s="83"/>
      <c r="B7475" s="84"/>
      <c r="C7475" s="84"/>
      <c r="D7475" s="116"/>
      <c r="E7475" s="116"/>
    </row>
    <row r="7476" spans="1:5" x14ac:dyDescent="0.25">
      <c r="A7476" s="83"/>
      <c r="B7476" s="84"/>
      <c r="C7476" s="84"/>
      <c r="D7476" s="116"/>
      <c r="E7476" s="116"/>
    </row>
    <row r="7477" spans="1:5" x14ac:dyDescent="0.25">
      <c r="A7477" s="83"/>
      <c r="B7477" s="84"/>
      <c r="C7477" s="84"/>
      <c r="D7477" s="116"/>
      <c r="E7477" s="116"/>
    </row>
    <row r="7478" spans="1:5" x14ac:dyDescent="0.25">
      <c r="A7478" s="83"/>
      <c r="B7478" s="84"/>
      <c r="C7478" s="84"/>
      <c r="D7478" s="116"/>
      <c r="E7478" s="116"/>
    </row>
    <row r="7479" spans="1:5" x14ac:dyDescent="0.25">
      <c r="A7479" s="83"/>
      <c r="B7479" s="84"/>
      <c r="C7479" s="84"/>
      <c r="D7479" s="116"/>
      <c r="E7479" s="116"/>
    </row>
    <row r="7480" spans="1:5" x14ac:dyDescent="0.25">
      <c r="A7480" s="83"/>
      <c r="B7480" s="84"/>
      <c r="C7480" s="84"/>
      <c r="D7480" s="116"/>
      <c r="E7480" s="116"/>
    </row>
    <row r="7481" spans="1:5" x14ac:dyDescent="0.25">
      <c r="A7481" s="83"/>
      <c r="B7481" s="84"/>
      <c r="C7481" s="84"/>
      <c r="D7481" s="116"/>
      <c r="E7481" s="116"/>
    </row>
    <row r="7482" spans="1:5" x14ac:dyDescent="0.25">
      <c r="A7482" s="83"/>
      <c r="B7482" s="84"/>
      <c r="C7482" s="84"/>
      <c r="D7482" s="116"/>
      <c r="E7482" s="116"/>
    </row>
    <row r="7483" spans="1:5" x14ac:dyDescent="0.25">
      <c r="A7483" s="83"/>
      <c r="B7483" s="84"/>
      <c r="C7483" s="84"/>
      <c r="D7483" s="116"/>
      <c r="E7483" s="116"/>
    </row>
    <row r="7484" spans="1:5" x14ac:dyDescent="0.25">
      <c r="A7484" s="83"/>
      <c r="B7484" s="84"/>
      <c r="C7484" s="84"/>
      <c r="D7484" s="116"/>
      <c r="E7484" s="116"/>
    </row>
    <row r="7485" spans="1:5" x14ac:dyDescent="0.25">
      <c r="A7485" s="83"/>
      <c r="B7485" s="84"/>
      <c r="C7485" s="84"/>
      <c r="D7485" s="116"/>
      <c r="E7485" s="116"/>
    </row>
    <row r="7486" spans="1:5" x14ac:dyDescent="0.25">
      <c r="A7486" s="83"/>
      <c r="B7486" s="84"/>
      <c r="C7486" s="84"/>
      <c r="D7486" s="116"/>
      <c r="E7486" s="116"/>
    </row>
    <row r="7487" spans="1:5" x14ac:dyDescent="0.25">
      <c r="A7487" s="83"/>
      <c r="B7487" s="84"/>
      <c r="C7487" s="84"/>
      <c r="D7487" s="116"/>
      <c r="E7487" s="116"/>
    </row>
    <row r="7488" spans="1:5" x14ac:dyDescent="0.25">
      <c r="A7488" s="83"/>
      <c r="B7488" s="84"/>
      <c r="C7488" s="84"/>
      <c r="D7488" s="116"/>
      <c r="E7488" s="116"/>
    </row>
    <row r="7489" spans="1:5" x14ac:dyDescent="0.25">
      <c r="A7489" s="83"/>
      <c r="B7489" s="84"/>
      <c r="C7489" s="84"/>
      <c r="D7489" s="116"/>
      <c r="E7489" s="116"/>
    </row>
    <row r="7490" spans="1:5" x14ac:dyDescent="0.25">
      <c r="A7490" s="83"/>
      <c r="B7490" s="84"/>
      <c r="C7490" s="84"/>
      <c r="D7490" s="116"/>
      <c r="E7490" s="116"/>
    </row>
    <row r="7491" spans="1:5" x14ac:dyDescent="0.25">
      <c r="A7491" s="83"/>
      <c r="B7491" s="84"/>
      <c r="C7491" s="84"/>
      <c r="D7491" s="116"/>
      <c r="E7491" s="116"/>
    </row>
    <row r="7492" spans="1:5" x14ac:dyDescent="0.25">
      <c r="A7492" s="83"/>
      <c r="B7492" s="84"/>
      <c r="C7492" s="84"/>
      <c r="D7492" s="116"/>
      <c r="E7492" s="116"/>
    </row>
    <row r="7493" spans="1:5" x14ac:dyDescent="0.25">
      <c r="A7493" s="83"/>
      <c r="B7493" s="84"/>
      <c r="C7493" s="84"/>
      <c r="D7493" s="116"/>
      <c r="E7493" s="116"/>
    </row>
    <row r="7494" spans="1:5" x14ac:dyDescent="0.25">
      <c r="A7494" s="83"/>
      <c r="B7494" s="84"/>
      <c r="C7494" s="84"/>
      <c r="D7494" s="116"/>
      <c r="E7494" s="116"/>
    </row>
    <row r="7495" spans="1:5" x14ac:dyDescent="0.25">
      <c r="A7495" s="83"/>
      <c r="B7495" s="84"/>
      <c r="C7495" s="84"/>
      <c r="D7495" s="116"/>
      <c r="E7495" s="116"/>
    </row>
    <row r="7496" spans="1:5" x14ac:dyDescent="0.25">
      <c r="A7496" s="83"/>
      <c r="B7496" s="84"/>
      <c r="C7496" s="84"/>
      <c r="D7496" s="116"/>
      <c r="E7496" s="116"/>
    </row>
    <row r="7497" spans="1:5" x14ac:dyDescent="0.25">
      <c r="A7497" s="83"/>
      <c r="B7497" s="84"/>
      <c r="C7497" s="84"/>
      <c r="D7497" s="116"/>
      <c r="E7497" s="116"/>
    </row>
    <row r="7498" spans="1:5" x14ac:dyDescent="0.25">
      <c r="A7498" s="83"/>
      <c r="B7498" s="84"/>
      <c r="C7498" s="84"/>
      <c r="D7498" s="116"/>
      <c r="E7498" s="116"/>
    </row>
    <row r="7499" spans="1:5" x14ac:dyDescent="0.25">
      <c r="A7499" s="83"/>
      <c r="B7499" s="84"/>
      <c r="C7499" s="84"/>
      <c r="D7499" s="116"/>
      <c r="E7499" s="116"/>
    </row>
    <row r="7500" spans="1:5" x14ac:dyDescent="0.25">
      <c r="A7500" s="83"/>
      <c r="B7500" s="84"/>
      <c r="C7500" s="84"/>
      <c r="D7500" s="116"/>
      <c r="E7500" s="116"/>
    </row>
    <row r="7501" spans="1:5" x14ac:dyDescent="0.25">
      <c r="A7501" s="83"/>
      <c r="B7501" s="84"/>
      <c r="C7501" s="84"/>
      <c r="D7501" s="116"/>
      <c r="E7501" s="116"/>
    </row>
    <row r="7502" spans="1:5" x14ac:dyDescent="0.25">
      <c r="A7502" s="83"/>
      <c r="B7502" s="84"/>
      <c r="C7502" s="84"/>
      <c r="D7502" s="116"/>
      <c r="E7502" s="116"/>
    </row>
    <row r="7503" spans="1:5" x14ac:dyDescent="0.25">
      <c r="A7503" s="83"/>
      <c r="B7503" s="84"/>
      <c r="C7503" s="84"/>
      <c r="D7503" s="116"/>
      <c r="E7503" s="116"/>
    </row>
    <row r="7504" spans="1:5" x14ac:dyDescent="0.25">
      <c r="A7504" s="83"/>
      <c r="B7504" s="84"/>
      <c r="C7504" s="84"/>
      <c r="D7504" s="116"/>
      <c r="E7504" s="116"/>
    </row>
    <row r="7505" spans="1:5" x14ac:dyDescent="0.25">
      <c r="A7505" s="83"/>
      <c r="B7505" s="84"/>
      <c r="C7505" s="84"/>
      <c r="D7505" s="116"/>
      <c r="E7505" s="116"/>
    </row>
    <row r="7506" spans="1:5" x14ac:dyDescent="0.25">
      <c r="A7506" s="83"/>
      <c r="B7506" s="84"/>
      <c r="C7506" s="84"/>
      <c r="D7506" s="116"/>
      <c r="E7506" s="116"/>
    </row>
    <row r="7507" spans="1:5" x14ac:dyDescent="0.25">
      <c r="A7507" s="83"/>
      <c r="B7507" s="84"/>
      <c r="C7507" s="84"/>
      <c r="D7507" s="116"/>
      <c r="E7507" s="116"/>
    </row>
    <row r="7508" spans="1:5" x14ac:dyDescent="0.25">
      <c r="A7508" s="83"/>
      <c r="B7508" s="84"/>
      <c r="C7508" s="84"/>
      <c r="D7508" s="116"/>
      <c r="E7508" s="116"/>
    </row>
    <row r="7509" spans="1:5" x14ac:dyDescent="0.25">
      <c r="A7509" s="83"/>
      <c r="B7509" s="84"/>
      <c r="C7509" s="84"/>
      <c r="D7509" s="116"/>
      <c r="E7509" s="116"/>
    </row>
    <row r="7510" spans="1:5" x14ac:dyDescent="0.25">
      <c r="A7510" s="83"/>
      <c r="B7510" s="84"/>
      <c r="C7510" s="84"/>
      <c r="D7510" s="116"/>
      <c r="E7510" s="116"/>
    </row>
    <row r="7511" spans="1:5" x14ac:dyDescent="0.25">
      <c r="A7511" s="83"/>
      <c r="B7511" s="84"/>
      <c r="C7511" s="84"/>
      <c r="D7511" s="116"/>
      <c r="E7511" s="116"/>
    </row>
    <row r="7512" spans="1:5" x14ac:dyDescent="0.25">
      <c r="A7512" s="83"/>
      <c r="B7512" s="84"/>
      <c r="C7512" s="84"/>
      <c r="D7512" s="116"/>
      <c r="E7512" s="116"/>
    </row>
    <row r="7513" spans="1:5" x14ac:dyDescent="0.25">
      <c r="A7513" s="83"/>
      <c r="B7513" s="84"/>
      <c r="C7513" s="84"/>
      <c r="D7513" s="116"/>
      <c r="E7513" s="116"/>
    </row>
    <row r="7514" spans="1:5" x14ac:dyDescent="0.25">
      <c r="A7514" s="83"/>
      <c r="B7514" s="84"/>
      <c r="C7514" s="84"/>
      <c r="D7514" s="116"/>
      <c r="E7514" s="116"/>
    </row>
    <row r="7515" spans="1:5" x14ac:dyDescent="0.25">
      <c r="A7515" s="83"/>
      <c r="B7515" s="84"/>
      <c r="C7515" s="84"/>
      <c r="D7515" s="116"/>
      <c r="E7515" s="116"/>
    </row>
    <row r="7516" spans="1:5" x14ac:dyDescent="0.25">
      <c r="A7516" s="83"/>
      <c r="B7516" s="84"/>
      <c r="C7516" s="84"/>
      <c r="D7516" s="116"/>
      <c r="E7516" s="116"/>
    </row>
    <row r="7517" spans="1:5" x14ac:dyDescent="0.25">
      <c r="A7517" s="83"/>
      <c r="B7517" s="84"/>
      <c r="C7517" s="84"/>
      <c r="D7517" s="116"/>
      <c r="E7517" s="116"/>
    </row>
    <row r="7518" spans="1:5" x14ac:dyDescent="0.25">
      <c r="A7518" s="83"/>
      <c r="B7518" s="84"/>
      <c r="C7518" s="84"/>
      <c r="D7518" s="116"/>
      <c r="E7518" s="116"/>
    </row>
    <row r="7519" spans="1:5" x14ac:dyDescent="0.25">
      <c r="A7519" s="83"/>
      <c r="B7519" s="84"/>
      <c r="C7519" s="84"/>
      <c r="D7519" s="116"/>
      <c r="E7519" s="116"/>
    </row>
    <row r="7520" spans="1:5" x14ac:dyDescent="0.25">
      <c r="A7520" s="83"/>
      <c r="B7520" s="84"/>
      <c r="C7520" s="84"/>
      <c r="D7520" s="116"/>
      <c r="E7520" s="116"/>
    </row>
    <row r="7521" spans="1:5" x14ac:dyDescent="0.25">
      <c r="A7521" s="83"/>
      <c r="B7521" s="84"/>
      <c r="C7521" s="84"/>
      <c r="D7521" s="116"/>
      <c r="E7521" s="116"/>
    </row>
    <row r="7522" spans="1:5" x14ac:dyDescent="0.25">
      <c r="A7522" s="83"/>
      <c r="B7522" s="84"/>
      <c r="C7522" s="84"/>
      <c r="D7522" s="116"/>
      <c r="E7522" s="116"/>
    </row>
    <row r="7523" spans="1:5" x14ac:dyDescent="0.25">
      <c r="A7523" s="83"/>
      <c r="B7523" s="84"/>
      <c r="C7523" s="84"/>
      <c r="D7523" s="116"/>
      <c r="E7523" s="116"/>
    </row>
    <row r="7524" spans="1:5" x14ac:dyDescent="0.25">
      <c r="A7524" s="83"/>
      <c r="B7524" s="84"/>
      <c r="C7524" s="84"/>
      <c r="D7524" s="116"/>
      <c r="E7524" s="116"/>
    </row>
    <row r="7525" spans="1:5" x14ac:dyDescent="0.25">
      <c r="A7525" s="83"/>
      <c r="B7525" s="84"/>
      <c r="C7525" s="84"/>
      <c r="D7525" s="116"/>
      <c r="E7525" s="116"/>
    </row>
    <row r="7526" spans="1:5" x14ac:dyDescent="0.25">
      <c r="A7526" s="83"/>
      <c r="B7526" s="84"/>
      <c r="C7526" s="84"/>
      <c r="D7526" s="116"/>
      <c r="E7526" s="116"/>
    </row>
    <row r="7527" spans="1:5" x14ac:dyDescent="0.25">
      <c r="A7527" s="83"/>
      <c r="B7527" s="84"/>
      <c r="C7527" s="84"/>
      <c r="D7527" s="116"/>
      <c r="E7527" s="116"/>
    </row>
    <row r="7528" spans="1:5" x14ac:dyDescent="0.25">
      <c r="A7528" s="83"/>
      <c r="B7528" s="84"/>
      <c r="C7528" s="84"/>
      <c r="D7528" s="116"/>
      <c r="E7528" s="116"/>
    </row>
    <row r="7529" spans="1:5" x14ac:dyDescent="0.25">
      <c r="A7529" s="83"/>
      <c r="B7529" s="84"/>
      <c r="C7529" s="84"/>
      <c r="D7529" s="116"/>
      <c r="E7529" s="116"/>
    </row>
    <row r="7530" spans="1:5" x14ac:dyDescent="0.25">
      <c r="A7530" s="83"/>
      <c r="B7530" s="84"/>
      <c r="C7530" s="84"/>
      <c r="D7530" s="116"/>
      <c r="E7530" s="116"/>
    </row>
    <row r="7531" spans="1:5" x14ac:dyDescent="0.25">
      <c r="A7531" s="83"/>
      <c r="B7531" s="84"/>
      <c r="C7531" s="84"/>
      <c r="D7531" s="116"/>
      <c r="E7531" s="116"/>
    </row>
    <row r="7532" spans="1:5" x14ac:dyDescent="0.25">
      <c r="A7532" s="83"/>
      <c r="B7532" s="84"/>
      <c r="C7532" s="84"/>
      <c r="D7532" s="116"/>
      <c r="E7532" s="116"/>
    </row>
    <row r="7533" spans="1:5" x14ac:dyDescent="0.25">
      <c r="A7533" s="83"/>
      <c r="B7533" s="84"/>
      <c r="C7533" s="84"/>
      <c r="D7533" s="116"/>
      <c r="E7533" s="116"/>
    </row>
    <row r="7534" spans="1:5" x14ac:dyDescent="0.25">
      <c r="A7534" s="83"/>
      <c r="B7534" s="84"/>
      <c r="C7534" s="84"/>
      <c r="D7534" s="116"/>
      <c r="E7534" s="116"/>
    </row>
    <row r="7535" spans="1:5" x14ac:dyDescent="0.25">
      <c r="A7535" s="83"/>
      <c r="B7535" s="84"/>
      <c r="C7535" s="84"/>
      <c r="D7535" s="116"/>
      <c r="E7535" s="116"/>
    </row>
    <row r="7536" spans="1:5" x14ac:dyDescent="0.25">
      <c r="A7536" s="83"/>
      <c r="B7536" s="84"/>
      <c r="C7536" s="84"/>
      <c r="D7536" s="116"/>
      <c r="E7536" s="116"/>
    </row>
    <row r="7537" spans="1:5" x14ac:dyDescent="0.25">
      <c r="A7537" s="83"/>
      <c r="B7537" s="84"/>
      <c r="C7537" s="84"/>
      <c r="D7537" s="116"/>
      <c r="E7537" s="116"/>
    </row>
    <row r="7538" spans="1:5" x14ac:dyDescent="0.25">
      <c r="A7538" s="83"/>
      <c r="B7538" s="84"/>
      <c r="C7538" s="84"/>
      <c r="D7538" s="116"/>
      <c r="E7538" s="116"/>
    </row>
    <row r="7539" spans="1:5" x14ac:dyDescent="0.25">
      <c r="A7539" s="83"/>
      <c r="B7539" s="84"/>
      <c r="C7539" s="84"/>
      <c r="D7539" s="116"/>
      <c r="E7539" s="116"/>
    </row>
    <row r="7540" spans="1:5" x14ac:dyDescent="0.25">
      <c r="A7540" s="83"/>
      <c r="B7540" s="84"/>
      <c r="C7540" s="84"/>
      <c r="D7540" s="116"/>
      <c r="E7540" s="116"/>
    </row>
    <row r="7541" spans="1:5" x14ac:dyDescent="0.25">
      <c r="A7541" s="83"/>
      <c r="B7541" s="84"/>
      <c r="C7541" s="84"/>
      <c r="D7541" s="116"/>
      <c r="E7541" s="116"/>
    </row>
    <row r="7542" spans="1:5" x14ac:dyDescent="0.25">
      <c r="A7542" s="83"/>
      <c r="B7542" s="84"/>
      <c r="C7542" s="84"/>
      <c r="D7542" s="116"/>
      <c r="E7542" s="116"/>
    </row>
    <row r="7543" spans="1:5" x14ac:dyDescent="0.25">
      <c r="A7543" s="83"/>
      <c r="B7543" s="84"/>
      <c r="C7543" s="84"/>
      <c r="D7543" s="116"/>
      <c r="E7543" s="116"/>
    </row>
    <row r="7544" spans="1:5" x14ac:dyDescent="0.25">
      <c r="A7544" s="83"/>
      <c r="B7544" s="84"/>
      <c r="C7544" s="84"/>
      <c r="D7544" s="116"/>
      <c r="E7544" s="116"/>
    </row>
    <row r="7545" spans="1:5" x14ac:dyDescent="0.25">
      <c r="A7545" s="83"/>
      <c r="B7545" s="84"/>
      <c r="C7545" s="84"/>
      <c r="D7545" s="116"/>
      <c r="E7545" s="116"/>
    </row>
    <row r="7546" spans="1:5" x14ac:dyDescent="0.25">
      <c r="A7546" s="83"/>
      <c r="B7546" s="84"/>
      <c r="C7546" s="84"/>
      <c r="D7546" s="116"/>
      <c r="E7546" s="116"/>
    </row>
    <row r="7547" spans="1:5" x14ac:dyDescent="0.25">
      <c r="A7547" s="83"/>
      <c r="B7547" s="84"/>
      <c r="C7547" s="84"/>
      <c r="D7547" s="116"/>
      <c r="E7547" s="116"/>
    </row>
    <row r="7548" spans="1:5" x14ac:dyDescent="0.25">
      <c r="A7548" s="83"/>
      <c r="B7548" s="84"/>
      <c r="C7548" s="84"/>
      <c r="D7548" s="116"/>
      <c r="E7548" s="116"/>
    </row>
    <row r="7549" spans="1:5" x14ac:dyDescent="0.25">
      <c r="A7549" s="83"/>
      <c r="B7549" s="84"/>
      <c r="C7549" s="84"/>
      <c r="D7549" s="116"/>
      <c r="E7549" s="116"/>
    </row>
    <row r="7550" spans="1:5" x14ac:dyDescent="0.25">
      <c r="A7550" s="83"/>
      <c r="B7550" s="84"/>
      <c r="C7550" s="84"/>
      <c r="D7550" s="116"/>
      <c r="E7550" s="116"/>
    </row>
    <row r="7551" spans="1:5" x14ac:dyDescent="0.25">
      <c r="A7551" s="83"/>
      <c r="B7551" s="84"/>
      <c r="C7551" s="84"/>
      <c r="D7551" s="116"/>
      <c r="E7551" s="116"/>
    </row>
    <row r="7552" spans="1:5" x14ac:dyDescent="0.25">
      <c r="A7552" s="83"/>
      <c r="B7552" s="84"/>
      <c r="C7552" s="84"/>
      <c r="D7552" s="116"/>
      <c r="E7552" s="116"/>
    </row>
    <row r="7553" spans="1:5" x14ac:dyDescent="0.25">
      <c r="A7553" s="83"/>
      <c r="B7553" s="84"/>
      <c r="C7553" s="84"/>
      <c r="D7553" s="116"/>
      <c r="E7553" s="116"/>
    </row>
    <row r="7554" spans="1:5" x14ac:dyDescent="0.25">
      <c r="A7554" s="83"/>
      <c r="B7554" s="84"/>
      <c r="C7554" s="84"/>
      <c r="D7554" s="116"/>
      <c r="E7554" s="116"/>
    </row>
    <row r="7555" spans="1:5" x14ac:dyDescent="0.25">
      <c r="A7555" s="83"/>
      <c r="B7555" s="84"/>
      <c r="C7555" s="84"/>
      <c r="D7555" s="116"/>
      <c r="E7555" s="116"/>
    </row>
    <row r="7556" spans="1:5" x14ac:dyDescent="0.25">
      <c r="A7556" s="83"/>
      <c r="B7556" s="84"/>
      <c r="C7556" s="84"/>
      <c r="D7556" s="116"/>
      <c r="E7556" s="116"/>
    </row>
    <row r="7557" spans="1:5" x14ac:dyDescent="0.25">
      <c r="A7557" s="83"/>
      <c r="B7557" s="84"/>
      <c r="C7557" s="84"/>
      <c r="D7557" s="116"/>
      <c r="E7557" s="116"/>
    </row>
    <row r="7558" spans="1:5" x14ac:dyDescent="0.25">
      <c r="A7558" s="83"/>
      <c r="B7558" s="84"/>
      <c r="C7558" s="84"/>
      <c r="D7558" s="116"/>
      <c r="E7558" s="116"/>
    </row>
    <row r="7559" spans="1:5" x14ac:dyDescent="0.25">
      <c r="A7559" s="83"/>
      <c r="B7559" s="84"/>
      <c r="C7559" s="84"/>
      <c r="D7559" s="116"/>
      <c r="E7559" s="116"/>
    </row>
    <row r="7560" spans="1:5" x14ac:dyDescent="0.25">
      <c r="A7560" s="83"/>
      <c r="B7560" s="84"/>
      <c r="C7560" s="84"/>
      <c r="D7560" s="116"/>
      <c r="E7560" s="116"/>
    </row>
    <row r="7561" spans="1:5" x14ac:dyDescent="0.25">
      <c r="A7561" s="83"/>
      <c r="B7561" s="84"/>
      <c r="C7561" s="84"/>
      <c r="D7561" s="116"/>
      <c r="E7561" s="116"/>
    </row>
    <row r="7562" spans="1:5" x14ac:dyDescent="0.25">
      <c r="A7562" s="83"/>
      <c r="B7562" s="84"/>
      <c r="C7562" s="84"/>
      <c r="D7562" s="116"/>
      <c r="E7562" s="116"/>
    </row>
    <row r="7563" spans="1:5" x14ac:dyDescent="0.25">
      <c r="A7563" s="83"/>
      <c r="B7563" s="84"/>
      <c r="C7563" s="84"/>
      <c r="D7563" s="116"/>
      <c r="E7563" s="116"/>
    </row>
    <row r="7564" spans="1:5" x14ac:dyDescent="0.25">
      <c r="A7564" s="83"/>
      <c r="B7564" s="84"/>
      <c r="C7564" s="84"/>
      <c r="D7564" s="116"/>
      <c r="E7564" s="116"/>
    </row>
    <row r="7565" spans="1:5" x14ac:dyDescent="0.25">
      <c r="A7565" s="83"/>
      <c r="B7565" s="84"/>
      <c r="C7565" s="84"/>
      <c r="D7565" s="116"/>
      <c r="E7565" s="116"/>
    </row>
    <row r="7566" spans="1:5" x14ac:dyDescent="0.25">
      <c r="A7566" s="83"/>
      <c r="B7566" s="84"/>
      <c r="C7566" s="84"/>
      <c r="D7566" s="116"/>
      <c r="E7566" s="116"/>
    </row>
    <row r="7567" spans="1:5" x14ac:dyDescent="0.25">
      <c r="A7567" s="83"/>
      <c r="B7567" s="84"/>
      <c r="C7567" s="84"/>
      <c r="D7567" s="116"/>
      <c r="E7567" s="116"/>
    </row>
    <row r="7568" spans="1:5" x14ac:dyDescent="0.25">
      <c r="A7568" s="83"/>
      <c r="B7568" s="84"/>
      <c r="C7568" s="84"/>
      <c r="D7568" s="116"/>
      <c r="E7568" s="116"/>
    </row>
    <row r="7569" spans="1:5" x14ac:dyDescent="0.25">
      <c r="A7569" s="83"/>
      <c r="B7569" s="84"/>
      <c r="C7569" s="84"/>
      <c r="D7569" s="116"/>
      <c r="E7569" s="116"/>
    </row>
    <row r="7570" spans="1:5" x14ac:dyDescent="0.25">
      <c r="A7570" s="83"/>
      <c r="B7570" s="84"/>
      <c r="C7570" s="84"/>
      <c r="D7570" s="116"/>
      <c r="E7570" s="116"/>
    </row>
    <row r="7571" spans="1:5" x14ac:dyDescent="0.25">
      <c r="A7571" s="83"/>
      <c r="B7571" s="84"/>
      <c r="C7571" s="84"/>
      <c r="D7571" s="116"/>
      <c r="E7571" s="116"/>
    </row>
    <row r="7572" spans="1:5" x14ac:dyDescent="0.25">
      <c r="A7572" s="83"/>
      <c r="B7572" s="84"/>
      <c r="C7572" s="84"/>
      <c r="D7572" s="116"/>
      <c r="E7572" s="116"/>
    </row>
    <row r="7573" spans="1:5" x14ac:dyDescent="0.25">
      <c r="A7573" s="83"/>
      <c r="B7573" s="84"/>
      <c r="C7573" s="84"/>
      <c r="D7573" s="116"/>
      <c r="E7573" s="116"/>
    </row>
    <row r="7574" spans="1:5" x14ac:dyDescent="0.25">
      <c r="A7574" s="83"/>
      <c r="B7574" s="84"/>
      <c r="C7574" s="84"/>
      <c r="D7574" s="116"/>
      <c r="E7574" s="116"/>
    </row>
    <row r="7575" spans="1:5" x14ac:dyDescent="0.25">
      <c r="A7575" s="83"/>
      <c r="B7575" s="84"/>
      <c r="C7575" s="84"/>
      <c r="D7575" s="116"/>
      <c r="E7575" s="116"/>
    </row>
    <row r="7576" spans="1:5" x14ac:dyDescent="0.25">
      <c r="A7576" s="83"/>
      <c r="B7576" s="84"/>
      <c r="C7576" s="84"/>
      <c r="D7576" s="116"/>
      <c r="E7576" s="116"/>
    </row>
    <row r="7577" spans="1:5" x14ac:dyDescent="0.25">
      <c r="A7577" s="83"/>
      <c r="B7577" s="84"/>
      <c r="C7577" s="84"/>
      <c r="D7577" s="116"/>
      <c r="E7577" s="116"/>
    </row>
    <row r="7578" spans="1:5" x14ac:dyDescent="0.25">
      <c r="A7578" s="83"/>
      <c r="B7578" s="84"/>
      <c r="C7578" s="84"/>
      <c r="D7578" s="116"/>
      <c r="E7578" s="116"/>
    </row>
    <row r="7579" spans="1:5" x14ac:dyDescent="0.25">
      <c r="A7579" s="83"/>
      <c r="B7579" s="84"/>
      <c r="C7579" s="84"/>
      <c r="D7579" s="116"/>
      <c r="E7579" s="116"/>
    </row>
    <row r="7580" spans="1:5" x14ac:dyDescent="0.25">
      <c r="A7580" s="83"/>
      <c r="B7580" s="84"/>
      <c r="C7580" s="84"/>
      <c r="D7580" s="116"/>
      <c r="E7580" s="116"/>
    </row>
    <row r="7581" spans="1:5" x14ac:dyDescent="0.25">
      <c r="A7581" s="83"/>
      <c r="B7581" s="84"/>
      <c r="C7581" s="84"/>
      <c r="D7581" s="116"/>
      <c r="E7581" s="116"/>
    </row>
    <row r="7582" spans="1:5" x14ac:dyDescent="0.25">
      <c r="A7582" s="83"/>
      <c r="B7582" s="84"/>
      <c r="C7582" s="84"/>
      <c r="D7582" s="116"/>
      <c r="E7582" s="116"/>
    </row>
    <row r="7583" spans="1:5" x14ac:dyDescent="0.25">
      <c r="A7583" s="83"/>
      <c r="B7583" s="84"/>
      <c r="C7583" s="84"/>
      <c r="D7583" s="116"/>
      <c r="E7583" s="116"/>
    </row>
    <row r="7584" spans="1:5" x14ac:dyDescent="0.25">
      <c r="A7584" s="83"/>
      <c r="B7584" s="84"/>
      <c r="C7584" s="84"/>
      <c r="D7584" s="116"/>
      <c r="E7584" s="116"/>
    </row>
    <row r="7585" spans="1:5" x14ac:dyDescent="0.25">
      <c r="A7585" s="83"/>
      <c r="B7585" s="84"/>
      <c r="C7585" s="84"/>
      <c r="D7585" s="116"/>
      <c r="E7585" s="116"/>
    </row>
    <row r="7586" spans="1:5" x14ac:dyDescent="0.25">
      <c r="A7586" s="83"/>
      <c r="B7586" s="84"/>
      <c r="C7586" s="84"/>
      <c r="D7586" s="116"/>
      <c r="E7586" s="116"/>
    </row>
    <row r="7587" spans="1:5" x14ac:dyDescent="0.25">
      <c r="A7587" s="83"/>
      <c r="B7587" s="84"/>
      <c r="C7587" s="84"/>
      <c r="D7587" s="116"/>
      <c r="E7587" s="116"/>
    </row>
    <row r="7588" spans="1:5" x14ac:dyDescent="0.25">
      <c r="A7588" s="83"/>
      <c r="B7588" s="84"/>
      <c r="C7588" s="84"/>
      <c r="D7588" s="116"/>
      <c r="E7588" s="116"/>
    </row>
    <row r="7589" spans="1:5" x14ac:dyDescent="0.25">
      <c r="A7589" s="83"/>
      <c r="B7589" s="84"/>
      <c r="C7589" s="84"/>
      <c r="D7589" s="116"/>
      <c r="E7589" s="116"/>
    </row>
    <row r="7590" spans="1:5" x14ac:dyDescent="0.25">
      <c r="A7590" s="83"/>
      <c r="B7590" s="84"/>
      <c r="C7590" s="84"/>
      <c r="D7590" s="116"/>
      <c r="E7590" s="116"/>
    </row>
    <row r="7591" spans="1:5" x14ac:dyDescent="0.25">
      <c r="A7591" s="83"/>
      <c r="B7591" s="84"/>
      <c r="C7591" s="84"/>
      <c r="D7591" s="116"/>
      <c r="E7591" s="116"/>
    </row>
    <row r="7592" spans="1:5" x14ac:dyDescent="0.25">
      <c r="A7592" s="83"/>
      <c r="B7592" s="84"/>
      <c r="C7592" s="84"/>
      <c r="D7592" s="116"/>
      <c r="E7592" s="116"/>
    </row>
    <row r="7593" spans="1:5" x14ac:dyDescent="0.25">
      <c r="A7593" s="83"/>
      <c r="B7593" s="84"/>
      <c r="C7593" s="84"/>
      <c r="D7593" s="116"/>
      <c r="E7593" s="116"/>
    </row>
    <row r="7594" spans="1:5" x14ac:dyDescent="0.25">
      <c r="A7594" s="83"/>
      <c r="B7594" s="84"/>
      <c r="C7594" s="84"/>
      <c r="D7594" s="116"/>
      <c r="E7594" s="116"/>
    </row>
    <row r="7595" spans="1:5" x14ac:dyDescent="0.25">
      <c r="A7595" s="83"/>
      <c r="B7595" s="84"/>
      <c r="C7595" s="84"/>
      <c r="D7595" s="116"/>
      <c r="E7595" s="116"/>
    </row>
    <row r="7596" spans="1:5" x14ac:dyDescent="0.25">
      <c r="A7596" s="83"/>
      <c r="B7596" s="84"/>
      <c r="C7596" s="84"/>
      <c r="D7596" s="116"/>
      <c r="E7596" s="116"/>
    </row>
    <row r="7597" spans="1:5" x14ac:dyDescent="0.25">
      <c r="A7597" s="83"/>
      <c r="B7597" s="84"/>
      <c r="C7597" s="84"/>
      <c r="D7597" s="116"/>
      <c r="E7597" s="116"/>
    </row>
    <row r="7598" spans="1:5" x14ac:dyDescent="0.25">
      <c r="A7598" s="83"/>
      <c r="B7598" s="84"/>
      <c r="C7598" s="84"/>
      <c r="D7598" s="116"/>
      <c r="E7598" s="116"/>
    </row>
    <row r="7599" spans="1:5" x14ac:dyDescent="0.25">
      <c r="A7599" s="83"/>
      <c r="B7599" s="84"/>
      <c r="C7599" s="84"/>
      <c r="D7599" s="116"/>
      <c r="E7599" s="116"/>
    </row>
    <row r="7600" spans="1:5" x14ac:dyDescent="0.25">
      <c r="A7600" s="83"/>
      <c r="B7600" s="84"/>
      <c r="C7600" s="84"/>
      <c r="D7600" s="116"/>
      <c r="E7600" s="116"/>
    </row>
    <row r="7601" spans="1:5" x14ac:dyDescent="0.25">
      <c r="A7601" s="83"/>
      <c r="B7601" s="84"/>
      <c r="C7601" s="84"/>
      <c r="D7601" s="116"/>
      <c r="E7601" s="116"/>
    </row>
    <row r="7602" spans="1:5" x14ac:dyDescent="0.25">
      <c r="A7602" s="83"/>
      <c r="B7602" s="84"/>
      <c r="C7602" s="84"/>
      <c r="D7602" s="116"/>
      <c r="E7602" s="116"/>
    </row>
    <row r="7603" spans="1:5" x14ac:dyDescent="0.25">
      <c r="A7603" s="83"/>
      <c r="B7603" s="84"/>
      <c r="C7603" s="84"/>
      <c r="D7603" s="116"/>
      <c r="E7603" s="116"/>
    </row>
    <row r="7604" spans="1:5" x14ac:dyDescent="0.25">
      <c r="A7604" s="83"/>
      <c r="B7604" s="84"/>
      <c r="C7604" s="84"/>
      <c r="D7604" s="116"/>
      <c r="E7604" s="116"/>
    </row>
    <row r="7605" spans="1:5" x14ac:dyDescent="0.25">
      <c r="A7605" s="83"/>
      <c r="B7605" s="84"/>
      <c r="C7605" s="84"/>
      <c r="D7605" s="116"/>
      <c r="E7605" s="116"/>
    </row>
    <row r="7606" spans="1:5" x14ac:dyDescent="0.25">
      <c r="A7606" s="83"/>
      <c r="B7606" s="84"/>
      <c r="C7606" s="84"/>
      <c r="D7606" s="116"/>
      <c r="E7606" s="116"/>
    </row>
    <row r="7607" spans="1:5" x14ac:dyDescent="0.25">
      <c r="A7607" s="83"/>
      <c r="B7607" s="84"/>
      <c r="C7607" s="84"/>
      <c r="D7607" s="116"/>
      <c r="E7607" s="116"/>
    </row>
    <row r="7608" spans="1:5" x14ac:dyDescent="0.25">
      <c r="A7608" s="83"/>
      <c r="B7608" s="84"/>
      <c r="C7608" s="84"/>
      <c r="D7608" s="116"/>
      <c r="E7608" s="116"/>
    </row>
    <row r="7609" spans="1:5" x14ac:dyDescent="0.25">
      <c r="A7609" s="83"/>
      <c r="B7609" s="84"/>
      <c r="C7609" s="84"/>
      <c r="D7609" s="116"/>
      <c r="E7609" s="116"/>
    </row>
    <row r="7610" spans="1:5" x14ac:dyDescent="0.25">
      <c r="A7610" s="83"/>
      <c r="B7610" s="84"/>
      <c r="C7610" s="84"/>
      <c r="D7610" s="116"/>
      <c r="E7610" s="116"/>
    </row>
    <row r="7611" spans="1:5" x14ac:dyDescent="0.25">
      <c r="A7611" s="83"/>
      <c r="B7611" s="84"/>
      <c r="C7611" s="84"/>
      <c r="D7611" s="116"/>
      <c r="E7611" s="116"/>
    </row>
    <row r="7612" spans="1:5" x14ac:dyDescent="0.25">
      <c r="A7612" s="83"/>
      <c r="B7612" s="84"/>
      <c r="C7612" s="84"/>
      <c r="D7612" s="116"/>
      <c r="E7612" s="116"/>
    </row>
    <row r="7613" spans="1:5" x14ac:dyDescent="0.25">
      <c r="A7613" s="83"/>
      <c r="B7613" s="84"/>
      <c r="C7613" s="84"/>
      <c r="D7613" s="116"/>
      <c r="E7613" s="116"/>
    </row>
    <row r="7614" spans="1:5" x14ac:dyDescent="0.25">
      <c r="A7614" s="83"/>
      <c r="B7614" s="84"/>
      <c r="C7614" s="84"/>
      <c r="D7614" s="116"/>
      <c r="E7614" s="116"/>
    </row>
    <row r="7615" spans="1:5" x14ac:dyDescent="0.25">
      <c r="A7615" s="83"/>
      <c r="B7615" s="84"/>
      <c r="C7615" s="84"/>
      <c r="D7615" s="116"/>
      <c r="E7615" s="116"/>
    </row>
    <row r="7616" spans="1:5" x14ac:dyDescent="0.25">
      <c r="A7616" s="83"/>
      <c r="B7616" s="84"/>
      <c r="C7616" s="84"/>
      <c r="D7616" s="116"/>
      <c r="E7616" s="116"/>
    </row>
    <row r="7617" spans="1:5" x14ac:dyDescent="0.25">
      <c r="A7617" s="83"/>
      <c r="B7617" s="84"/>
      <c r="C7617" s="84"/>
      <c r="D7617" s="116"/>
      <c r="E7617" s="116"/>
    </row>
    <row r="7618" spans="1:5" x14ac:dyDescent="0.25">
      <c r="A7618" s="83"/>
      <c r="B7618" s="84"/>
      <c r="C7618" s="84"/>
      <c r="D7618" s="116"/>
      <c r="E7618" s="116"/>
    </row>
    <row r="7619" spans="1:5" x14ac:dyDescent="0.25">
      <c r="A7619" s="83"/>
      <c r="B7619" s="84"/>
      <c r="C7619" s="84"/>
      <c r="D7619" s="116"/>
      <c r="E7619" s="116"/>
    </row>
    <row r="7620" spans="1:5" x14ac:dyDescent="0.25">
      <c r="A7620" s="83"/>
      <c r="B7620" s="84"/>
      <c r="C7620" s="84"/>
      <c r="D7620" s="116"/>
      <c r="E7620" s="116"/>
    </row>
    <row r="7621" spans="1:5" x14ac:dyDescent="0.25">
      <c r="A7621" s="83"/>
      <c r="B7621" s="84"/>
      <c r="C7621" s="84"/>
      <c r="D7621" s="116"/>
      <c r="E7621" s="116"/>
    </row>
    <row r="7622" spans="1:5" x14ac:dyDescent="0.25">
      <c r="A7622" s="83"/>
      <c r="B7622" s="84"/>
      <c r="C7622" s="84"/>
      <c r="D7622" s="116"/>
      <c r="E7622" s="116"/>
    </row>
    <row r="7623" spans="1:5" x14ac:dyDescent="0.25">
      <c r="A7623" s="83"/>
      <c r="B7623" s="84"/>
      <c r="C7623" s="84"/>
      <c r="D7623" s="116"/>
      <c r="E7623" s="116"/>
    </row>
    <row r="7624" spans="1:5" x14ac:dyDescent="0.25">
      <c r="A7624" s="83"/>
      <c r="B7624" s="84"/>
      <c r="C7624" s="84"/>
      <c r="D7624" s="116"/>
      <c r="E7624" s="116"/>
    </row>
    <row r="7625" spans="1:5" x14ac:dyDescent="0.25">
      <c r="A7625" s="83"/>
      <c r="B7625" s="84"/>
      <c r="C7625" s="84"/>
      <c r="D7625" s="116"/>
      <c r="E7625" s="116"/>
    </row>
    <row r="7626" spans="1:5" x14ac:dyDescent="0.25">
      <c r="A7626" s="83"/>
      <c r="B7626" s="84"/>
      <c r="C7626" s="84"/>
      <c r="D7626" s="116"/>
      <c r="E7626" s="116"/>
    </row>
    <row r="7627" spans="1:5" x14ac:dyDescent="0.25">
      <c r="A7627" s="83"/>
      <c r="B7627" s="84"/>
      <c r="C7627" s="84"/>
      <c r="D7627" s="116"/>
      <c r="E7627" s="116"/>
    </row>
    <row r="7628" spans="1:5" x14ac:dyDescent="0.25">
      <c r="A7628" s="83"/>
      <c r="B7628" s="84"/>
      <c r="C7628" s="84"/>
      <c r="D7628" s="116"/>
      <c r="E7628" s="116"/>
    </row>
    <row r="7629" spans="1:5" x14ac:dyDescent="0.25">
      <c r="A7629" s="83"/>
      <c r="B7629" s="84"/>
      <c r="C7629" s="84"/>
      <c r="D7629" s="116"/>
      <c r="E7629" s="116"/>
    </row>
    <row r="7630" spans="1:5" x14ac:dyDescent="0.25">
      <c r="A7630" s="83"/>
      <c r="B7630" s="84"/>
      <c r="C7630" s="84"/>
      <c r="D7630" s="116"/>
      <c r="E7630" s="116"/>
    </row>
    <row r="7631" spans="1:5" x14ac:dyDescent="0.25">
      <c r="A7631" s="83"/>
      <c r="B7631" s="84"/>
      <c r="C7631" s="84"/>
      <c r="D7631" s="116"/>
      <c r="E7631" s="116"/>
    </row>
    <row r="7632" spans="1:5" x14ac:dyDescent="0.25">
      <c r="A7632" s="83"/>
      <c r="B7632" s="84"/>
      <c r="C7632" s="84"/>
      <c r="D7632" s="116"/>
      <c r="E7632" s="116"/>
    </row>
    <row r="7633" spans="1:5" x14ac:dyDescent="0.25">
      <c r="A7633" s="83"/>
      <c r="B7633" s="84"/>
      <c r="C7633" s="84"/>
      <c r="D7633" s="116"/>
      <c r="E7633" s="116"/>
    </row>
    <row r="7634" spans="1:5" x14ac:dyDescent="0.25">
      <c r="A7634" s="83"/>
      <c r="B7634" s="84"/>
      <c r="C7634" s="84"/>
      <c r="D7634" s="116"/>
      <c r="E7634" s="116"/>
    </row>
    <row r="7635" spans="1:5" x14ac:dyDescent="0.25">
      <c r="A7635" s="83"/>
      <c r="B7635" s="84"/>
      <c r="C7635" s="84"/>
      <c r="D7635" s="116"/>
      <c r="E7635" s="116"/>
    </row>
    <row r="7636" spans="1:5" x14ac:dyDescent="0.25">
      <c r="A7636" s="83"/>
      <c r="B7636" s="84"/>
      <c r="C7636" s="84"/>
      <c r="D7636" s="116"/>
      <c r="E7636" s="116"/>
    </row>
    <row r="7637" spans="1:5" x14ac:dyDescent="0.25">
      <c r="A7637" s="83"/>
      <c r="B7637" s="84"/>
      <c r="C7637" s="84"/>
      <c r="D7637" s="116"/>
      <c r="E7637" s="116"/>
    </row>
    <row r="7638" spans="1:5" x14ac:dyDescent="0.25">
      <c r="A7638" s="83"/>
      <c r="B7638" s="84"/>
      <c r="C7638" s="84"/>
      <c r="D7638" s="116"/>
      <c r="E7638" s="116"/>
    </row>
    <row r="7639" spans="1:5" x14ac:dyDescent="0.25">
      <c r="A7639" s="83"/>
      <c r="B7639" s="84"/>
      <c r="C7639" s="84"/>
      <c r="D7639" s="116"/>
      <c r="E7639" s="116"/>
    </row>
    <row r="7640" spans="1:5" x14ac:dyDescent="0.25">
      <c r="A7640" s="83"/>
      <c r="B7640" s="84"/>
      <c r="C7640" s="84"/>
      <c r="D7640" s="116"/>
      <c r="E7640" s="116"/>
    </row>
    <row r="7641" spans="1:5" x14ac:dyDescent="0.25">
      <c r="A7641" s="83"/>
      <c r="B7641" s="84"/>
      <c r="C7641" s="84"/>
      <c r="D7641" s="116"/>
      <c r="E7641" s="116"/>
    </row>
    <row r="7642" spans="1:5" x14ac:dyDescent="0.25">
      <c r="A7642" s="83"/>
      <c r="B7642" s="84"/>
      <c r="C7642" s="84"/>
      <c r="D7642" s="116"/>
      <c r="E7642" s="116"/>
    </row>
    <row r="7643" spans="1:5" x14ac:dyDescent="0.25">
      <c r="A7643" s="83"/>
      <c r="B7643" s="84"/>
      <c r="C7643" s="84"/>
      <c r="D7643" s="116"/>
      <c r="E7643" s="116"/>
    </row>
    <row r="7644" spans="1:5" x14ac:dyDescent="0.25">
      <c r="A7644" s="83"/>
      <c r="B7644" s="84"/>
      <c r="C7644" s="84"/>
      <c r="D7644" s="116"/>
      <c r="E7644" s="116"/>
    </row>
    <row r="7645" spans="1:5" x14ac:dyDescent="0.25">
      <c r="A7645" s="83"/>
      <c r="B7645" s="84"/>
      <c r="C7645" s="84"/>
      <c r="D7645" s="116"/>
      <c r="E7645" s="116"/>
    </row>
    <row r="7646" spans="1:5" x14ac:dyDescent="0.25">
      <c r="A7646" s="83"/>
      <c r="B7646" s="84"/>
      <c r="C7646" s="84"/>
      <c r="D7646" s="116"/>
      <c r="E7646" s="116"/>
    </row>
    <row r="7647" spans="1:5" x14ac:dyDescent="0.25">
      <c r="A7647" s="83"/>
      <c r="B7647" s="84"/>
      <c r="C7647" s="84"/>
      <c r="D7647" s="116"/>
      <c r="E7647" s="116"/>
    </row>
    <row r="7648" spans="1:5" x14ac:dyDescent="0.25">
      <c r="A7648" s="83"/>
      <c r="B7648" s="84"/>
      <c r="C7648" s="84"/>
      <c r="D7648" s="116"/>
      <c r="E7648" s="116"/>
    </row>
    <row r="7649" spans="1:5" x14ac:dyDescent="0.25">
      <c r="A7649" s="83"/>
      <c r="B7649" s="84"/>
      <c r="C7649" s="84"/>
      <c r="D7649" s="116"/>
      <c r="E7649" s="116"/>
    </row>
    <row r="7650" spans="1:5" x14ac:dyDescent="0.25">
      <c r="A7650" s="83"/>
      <c r="B7650" s="84"/>
      <c r="C7650" s="84"/>
      <c r="D7650" s="116"/>
      <c r="E7650" s="116"/>
    </row>
    <row r="7651" spans="1:5" x14ac:dyDescent="0.25">
      <c r="A7651" s="83"/>
      <c r="B7651" s="84"/>
      <c r="C7651" s="84"/>
      <c r="D7651" s="116"/>
      <c r="E7651" s="116"/>
    </row>
    <row r="7652" spans="1:5" x14ac:dyDescent="0.25">
      <c r="A7652" s="83"/>
      <c r="B7652" s="84"/>
      <c r="C7652" s="84"/>
      <c r="D7652" s="116"/>
      <c r="E7652" s="116"/>
    </row>
    <row r="7653" spans="1:5" x14ac:dyDescent="0.25">
      <c r="A7653" s="83"/>
      <c r="B7653" s="84"/>
      <c r="C7653" s="84"/>
      <c r="D7653" s="116"/>
      <c r="E7653" s="116"/>
    </row>
    <row r="7654" spans="1:5" x14ac:dyDescent="0.25">
      <c r="A7654" s="83"/>
      <c r="B7654" s="84"/>
      <c r="C7654" s="84"/>
      <c r="D7654" s="116"/>
      <c r="E7654" s="116"/>
    </row>
    <row r="7655" spans="1:5" x14ac:dyDescent="0.25">
      <c r="A7655" s="83"/>
      <c r="B7655" s="84"/>
      <c r="C7655" s="84"/>
      <c r="D7655" s="116"/>
      <c r="E7655" s="116"/>
    </row>
    <row r="7656" spans="1:5" x14ac:dyDescent="0.25">
      <c r="A7656" s="83"/>
      <c r="B7656" s="84"/>
      <c r="C7656" s="84"/>
      <c r="D7656" s="116"/>
      <c r="E7656" s="116"/>
    </row>
    <row r="7657" spans="1:5" x14ac:dyDescent="0.25">
      <c r="A7657" s="83"/>
      <c r="B7657" s="84"/>
      <c r="C7657" s="84"/>
      <c r="D7657" s="116"/>
      <c r="E7657" s="116"/>
    </row>
    <row r="7658" spans="1:5" x14ac:dyDescent="0.25">
      <c r="A7658" s="83"/>
      <c r="B7658" s="84"/>
      <c r="C7658" s="84"/>
      <c r="D7658" s="116"/>
      <c r="E7658" s="116"/>
    </row>
    <row r="7659" spans="1:5" x14ac:dyDescent="0.25">
      <c r="A7659" s="83"/>
      <c r="B7659" s="84"/>
      <c r="C7659" s="84"/>
      <c r="D7659" s="116"/>
      <c r="E7659" s="116"/>
    </row>
    <row r="7660" spans="1:5" x14ac:dyDescent="0.25">
      <c r="A7660" s="83"/>
      <c r="B7660" s="84"/>
      <c r="C7660" s="84"/>
      <c r="D7660" s="116"/>
      <c r="E7660" s="116"/>
    </row>
    <row r="7661" spans="1:5" x14ac:dyDescent="0.25">
      <c r="A7661" s="83"/>
      <c r="B7661" s="84"/>
      <c r="C7661" s="84"/>
      <c r="D7661" s="116"/>
      <c r="E7661" s="116"/>
    </row>
    <row r="7662" spans="1:5" x14ac:dyDescent="0.25">
      <c r="A7662" s="83"/>
      <c r="B7662" s="84"/>
      <c r="C7662" s="84"/>
      <c r="D7662" s="116"/>
      <c r="E7662" s="116"/>
    </row>
    <row r="7663" spans="1:5" x14ac:dyDescent="0.25">
      <c r="A7663" s="83"/>
      <c r="B7663" s="84"/>
      <c r="C7663" s="84"/>
      <c r="D7663" s="116"/>
      <c r="E7663" s="116"/>
    </row>
    <row r="7664" spans="1:5" x14ac:dyDescent="0.25">
      <c r="A7664" s="83"/>
      <c r="B7664" s="84"/>
      <c r="C7664" s="84"/>
      <c r="D7664" s="116"/>
      <c r="E7664" s="116"/>
    </row>
    <row r="7665" spans="1:5" x14ac:dyDescent="0.25">
      <c r="A7665" s="83"/>
      <c r="B7665" s="84"/>
      <c r="C7665" s="84"/>
      <c r="D7665" s="116"/>
      <c r="E7665" s="116"/>
    </row>
    <row r="7666" spans="1:5" x14ac:dyDescent="0.25">
      <c r="A7666" s="83"/>
      <c r="B7666" s="84"/>
      <c r="C7666" s="84"/>
      <c r="D7666" s="116"/>
      <c r="E7666" s="116"/>
    </row>
    <row r="7667" spans="1:5" x14ac:dyDescent="0.25">
      <c r="A7667" s="83"/>
      <c r="B7667" s="84"/>
      <c r="C7667" s="84"/>
      <c r="D7667" s="116"/>
      <c r="E7667" s="116"/>
    </row>
    <row r="7668" spans="1:5" x14ac:dyDescent="0.25">
      <c r="A7668" s="83"/>
      <c r="B7668" s="84"/>
      <c r="C7668" s="84"/>
      <c r="D7668" s="116"/>
      <c r="E7668" s="116"/>
    </row>
    <row r="7669" spans="1:5" x14ac:dyDescent="0.25">
      <c r="A7669" s="83"/>
      <c r="B7669" s="84"/>
      <c r="C7669" s="84"/>
      <c r="D7669" s="116"/>
      <c r="E7669" s="116"/>
    </row>
    <row r="7670" spans="1:5" x14ac:dyDescent="0.25">
      <c r="A7670" s="83"/>
      <c r="B7670" s="84"/>
      <c r="C7670" s="84"/>
      <c r="D7670" s="116"/>
      <c r="E7670" s="116"/>
    </row>
    <row r="7671" spans="1:5" x14ac:dyDescent="0.25">
      <c r="A7671" s="83"/>
      <c r="B7671" s="84"/>
      <c r="C7671" s="84"/>
      <c r="D7671" s="116"/>
      <c r="E7671" s="116"/>
    </row>
    <row r="7672" spans="1:5" x14ac:dyDescent="0.25">
      <c r="A7672" s="83"/>
      <c r="B7672" s="84"/>
      <c r="C7672" s="84"/>
      <c r="D7672" s="116"/>
      <c r="E7672" s="116"/>
    </row>
    <row r="7673" spans="1:5" x14ac:dyDescent="0.25">
      <c r="A7673" s="83"/>
      <c r="B7673" s="84"/>
      <c r="C7673" s="84"/>
      <c r="D7673" s="116"/>
      <c r="E7673" s="116"/>
    </row>
    <row r="7674" spans="1:5" x14ac:dyDescent="0.25">
      <c r="A7674" s="83"/>
      <c r="B7674" s="84"/>
      <c r="C7674" s="84"/>
      <c r="D7674" s="116"/>
      <c r="E7674" s="116"/>
    </row>
    <row r="7675" spans="1:5" x14ac:dyDescent="0.25">
      <c r="A7675" s="83"/>
      <c r="B7675" s="84"/>
      <c r="C7675" s="84"/>
      <c r="D7675" s="116"/>
      <c r="E7675" s="116"/>
    </row>
    <row r="7676" spans="1:5" x14ac:dyDescent="0.25">
      <c r="A7676" s="83"/>
      <c r="B7676" s="84"/>
      <c r="C7676" s="84"/>
      <c r="D7676" s="116"/>
      <c r="E7676" s="116"/>
    </row>
    <row r="7677" spans="1:5" x14ac:dyDescent="0.25">
      <c r="A7677" s="83"/>
      <c r="B7677" s="84"/>
      <c r="C7677" s="84"/>
      <c r="D7677" s="116"/>
      <c r="E7677" s="116"/>
    </row>
    <row r="7678" spans="1:5" x14ac:dyDescent="0.25">
      <c r="A7678" s="83"/>
      <c r="B7678" s="84"/>
      <c r="C7678" s="84"/>
      <c r="D7678" s="116"/>
      <c r="E7678" s="116"/>
    </row>
    <row r="7679" spans="1:5" x14ac:dyDescent="0.25">
      <c r="A7679" s="83"/>
      <c r="B7679" s="84"/>
      <c r="C7679" s="84"/>
      <c r="D7679" s="116"/>
      <c r="E7679" s="116"/>
    </row>
    <row r="7680" spans="1:5" x14ac:dyDescent="0.25">
      <c r="A7680" s="83"/>
      <c r="B7680" s="84"/>
      <c r="C7680" s="84"/>
      <c r="D7680" s="116"/>
      <c r="E7680" s="116"/>
    </row>
    <row r="7681" spans="1:5" x14ac:dyDescent="0.25">
      <c r="A7681" s="83"/>
      <c r="B7681" s="84"/>
      <c r="C7681" s="84"/>
      <c r="D7681" s="116"/>
      <c r="E7681" s="116"/>
    </row>
    <row r="7682" spans="1:5" x14ac:dyDescent="0.25">
      <c r="A7682" s="83"/>
      <c r="B7682" s="84"/>
      <c r="C7682" s="84"/>
      <c r="D7682" s="116"/>
      <c r="E7682" s="116"/>
    </row>
    <row r="7683" spans="1:5" x14ac:dyDescent="0.25">
      <c r="A7683" s="83"/>
      <c r="B7683" s="84"/>
      <c r="C7683" s="84"/>
      <c r="D7683" s="116"/>
      <c r="E7683" s="116"/>
    </row>
    <row r="7684" spans="1:5" x14ac:dyDescent="0.25">
      <c r="A7684" s="83"/>
      <c r="B7684" s="84"/>
      <c r="C7684" s="84"/>
      <c r="D7684" s="116"/>
      <c r="E7684" s="116"/>
    </row>
    <row r="7685" spans="1:5" x14ac:dyDescent="0.25">
      <c r="A7685" s="83"/>
      <c r="B7685" s="84"/>
      <c r="C7685" s="84"/>
      <c r="D7685" s="116"/>
      <c r="E7685" s="116"/>
    </row>
    <row r="7686" spans="1:5" x14ac:dyDescent="0.25">
      <c r="A7686" s="83"/>
      <c r="B7686" s="84"/>
      <c r="C7686" s="84"/>
      <c r="D7686" s="116"/>
      <c r="E7686" s="116"/>
    </row>
    <row r="7687" spans="1:5" x14ac:dyDescent="0.25">
      <c r="A7687" s="83"/>
      <c r="B7687" s="84"/>
      <c r="C7687" s="84"/>
      <c r="D7687" s="116"/>
      <c r="E7687" s="116"/>
    </row>
    <row r="7688" spans="1:5" x14ac:dyDescent="0.25">
      <c r="A7688" s="83"/>
      <c r="B7688" s="84"/>
      <c r="C7688" s="84"/>
      <c r="D7688" s="116"/>
      <c r="E7688" s="116"/>
    </row>
    <row r="7689" spans="1:5" x14ac:dyDescent="0.25">
      <c r="A7689" s="83"/>
      <c r="B7689" s="84"/>
      <c r="C7689" s="84"/>
      <c r="D7689" s="116"/>
      <c r="E7689" s="116"/>
    </row>
    <row r="7690" spans="1:5" x14ac:dyDescent="0.25">
      <c r="A7690" s="83"/>
      <c r="B7690" s="84"/>
      <c r="C7690" s="84"/>
      <c r="D7690" s="116"/>
      <c r="E7690" s="116"/>
    </row>
    <row r="7691" spans="1:5" x14ac:dyDescent="0.25">
      <c r="A7691" s="83"/>
      <c r="B7691" s="84"/>
      <c r="C7691" s="84"/>
      <c r="D7691" s="116"/>
      <c r="E7691" s="116"/>
    </row>
    <row r="7692" spans="1:5" x14ac:dyDescent="0.25">
      <c r="A7692" s="83"/>
      <c r="B7692" s="84"/>
      <c r="C7692" s="84"/>
      <c r="D7692" s="116"/>
      <c r="E7692" s="116"/>
    </row>
    <row r="7693" spans="1:5" x14ac:dyDescent="0.25">
      <c r="A7693" s="83"/>
      <c r="B7693" s="84"/>
      <c r="C7693" s="84"/>
      <c r="D7693" s="116"/>
      <c r="E7693" s="116"/>
    </row>
    <row r="7694" spans="1:5" x14ac:dyDescent="0.25">
      <c r="A7694" s="83"/>
      <c r="B7694" s="84"/>
      <c r="C7694" s="84"/>
      <c r="D7694" s="116"/>
      <c r="E7694" s="116"/>
    </row>
    <row r="7695" spans="1:5" x14ac:dyDescent="0.25">
      <c r="A7695" s="83"/>
      <c r="B7695" s="84"/>
      <c r="C7695" s="84"/>
      <c r="D7695" s="116"/>
      <c r="E7695" s="116"/>
    </row>
    <row r="7696" spans="1:5" x14ac:dyDescent="0.25">
      <c r="A7696" s="83"/>
      <c r="B7696" s="84"/>
      <c r="C7696" s="84"/>
      <c r="D7696" s="116"/>
      <c r="E7696" s="116"/>
    </row>
    <row r="7697" spans="1:5" x14ac:dyDescent="0.25">
      <c r="A7697" s="83"/>
      <c r="B7697" s="84"/>
      <c r="C7697" s="84"/>
      <c r="D7697" s="116"/>
      <c r="E7697" s="116"/>
    </row>
    <row r="7698" spans="1:5" x14ac:dyDescent="0.25">
      <c r="A7698" s="83"/>
      <c r="B7698" s="84"/>
      <c r="C7698" s="84"/>
      <c r="D7698" s="116"/>
      <c r="E7698" s="116"/>
    </row>
    <row r="7699" spans="1:5" x14ac:dyDescent="0.25">
      <c r="A7699" s="83"/>
      <c r="B7699" s="84"/>
      <c r="C7699" s="84"/>
      <c r="D7699" s="116"/>
      <c r="E7699" s="116"/>
    </row>
    <row r="7700" spans="1:5" x14ac:dyDescent="0.25">
      <c r="A7700" s="83"/>
      <c r="B7700" s="84"/>
      <c r="C7700" s="84"/>
      <c r="D7700" s="116"/>
      <c r="E7700" s="116"/>
    </row>
    <row r="7701" spans="1:5" x14ac:dyDescent="0.25">
      <c r="A7701" s="83"/>
      <c r="B7701" s="84"/>
      <c r="C7701" s="84"/>
      <c r="D7701" s="116"/>
      <c r="E7701" s="116"/>
    </row>
    <row r="7702" spans="1:5" x14ac:dyDescent="0.25">
      <c r="A7702" s="83"/>
      <c r="B7702" s="84"/>
      <c r="C7702" s="84"/>
      <c r="D7702" s="116"/>
      <c r="E7702" s="116"/>
    </row>
    <row r="7703" spans="1:5" x14ac:dyDescent="0.25">
      <c r="A7703" s="83"/>
      <c r="B7703" s="84"/>
      <c r="C7703" s="84"/>
      <c r="D7703" s="116"/>
      <c r="E7703" s="116"/>
    </row>
    <row r="7704" spans="1:5" x14ac:dyDescent="0.25">
      <c r="A7704" s="83"/>
      <c r="B7704" s="84"/>
      <c r="C7704" s="84"/>
      <c r="D7704" s="116"/>
      <c r="E7704" s="116"/>
    </row>
    <row r="7705" spans="1:5" x14ac:dyDescent="0.25">
      <c r="A7705" s="83"/>
      <c r="B7705" s="84"/>
      <c r="C7705" s="84"/>
      <c r="D7705" s="116"/>
      <c r="E7705" s="116"/>
    </row>
    <row r="7706" spans="1:5" x14ac:dyDescent="0.25">
      <c r="A7706" s="83"/>
      <c r="B7706" s="84"/>
      <c r="C7706" s="84"/>
      <c r="D7706" s="116"/>
      <c r="E7706" s="116"/>
    </row>
    <row r="7707" spans="1:5" x14ac:dyDescent="0.25">
      <c r="A7707" s="83"/>
      <c r="B7707" s="84"/>
      <c r="C7707" s="84"/>
      <c r="D7707" s="116"/>
      <c r="E7707" s="116"/>
    </row>
    <row r="7708" spans="1:5" x14ac:dyDescent="0.25">
      <c r="A7708" s="83"/>
      <c r="B7708" s="84"/>
      <c r="C7708" s="84"/>
      <c r="D7708" s="116"/>
      <c r="E7708" s="116"/>
    </row>
    <row r="7709" spans="1:5" x14ac:dyDescent="0.25">
      <c r="A7709" s="83"/>
      <c r="B7709" s="84"/>
      <c r="C7709" s="84"/>
      <c r="D7709" s="116"/>
      <c r="E7709" s="116"/>
    </row>
    <row r="7710" spans="1:5" x14ac:dyDescent="0.25">
      <c r="A7710" s="83"/>
      <c r="B7710" s="84"/>
      <c r="C7710" s="84"/>
      <c r="D7710" s="116"/>
      <c r="E7710" s="116"/>
    </row>
    <row r="7711" spans="1:5" x14ac:dyDescent="0.25">
      <c r="A7711" s="83"/>
      <c r="B7711" s="84"/>
      <c r="C7711" s="84"/>
      <c r="D7711" s="116"/>
      <c r="E7711" s="116"/>
    </row>
    <row r="7712" spans="1:5" x14ac:dyDescent="0.25">
      <c r="A7712" s="83"/>
      <c r="B7712" s="84"/>
      <c r="C7712" s="84"/>
      <c r="D7712" s="116"/>
      <c r="E7712" s="116"/>
    </row>
    <row r="7713" spans="1:5" x14ac:dyDescent="0.25">
      <c r="A7713" s="83"/>
      <c r="B7713" s="84"/>
      <c r="C7713" s="84"/>
      <c r="D7713" s="116"/>
      <c r="E7713" s="116"/>
    </row>
    <row r="7714" spans="1:5" x14ac:dyDescent="0.25">
      <c r="A7714" s="83"/>
      <c r="B7714" s="84"/>
      <c r="C7714" s="84"/>
      <c r="D7714" s="116"/>
      <c r="E7714" s="116"/>
    </row>
    <row r="7715" spans="1:5" x14ac:dyDescent="0.25">
      <c r="A7715" s="83"/>
      <c r="B7715" s="84"/>
      <c r="C7715" s="84"/>
      <c r="D7715" s="116"/>
      <c r="E7715" s="116"/>
    </row>
    <row r="7716" spans="1:5" x14ac:dyDescent="0.25">
      <c r="A7716" s="83"/>
      <c r="B7716" s="84"/>
      <c r="C7716" s="84"/>
      <c r="D7716" s="116"/>
      <c r="E7716" s="116"/>
    </row>
    <row r="7717" spans="1:5" x14ac:dyDescent="0.25">
      <c r="A7717" s="83"/>
      <c r="B7717" s="84"/>
      <c r="C7717" s="84"/>
      <c r="D7717" s="116"/>
      <c r="E7717" s="116"/>
    </row>
    <row r="7718" spans="1:5" x14ac:dyDescent="0.25">
      <c r="A7718" s="83"/>
      <c r="B7718" s="84"/>
      <c r="C7718" s="84"/>
      <c r="D7718" s="116"/>
      <c r="E7718" s="116"/>
    </row>
    <row r="7719" spans="1:5" x14ac:dyDescent="0.25">
      <c r="A7719" s="83"/>
      <c r="B7719" s="84"/>
      <c r="C7719" s="84"/>
      <c r="D7719" s="116"/>
      <c r="E7719" s="116"/>
    </row>
    <row r="7720" spans="1:5" x14ac:dyDescent="0.25">
      <c r="A7720" s="83"/>
      <c r="B7720" s="84"/>
      <c r="C7720" s="84"/>
      <c r="D7720" s="116"/>
      <c r="E7720" s="116"/>
    </row>
    <row r="7721" spans="1:5" x14ac:dyDescent="0.25">
      <c r="A7721" s="83"/>
      <c r="B7721" s="84"/>
      <c r="C7721" s="84"/>
      <c r="D7721" s="116"/>
      <c r="E7721" s="116"/>
    </row>
    <row r="7722" spans="1:5" x14ac:dyDescent="0.25">
      <c r="A7722" s="83"/>
      <c r="B7722" s="84"/>
      <c r="C7722" s="84"/>
      <c r="D7722" s="116"/>
      <c r="E7722" s="116"/>
    </row>
    <row r="7723" spans="1:5" x14ac:dyDescent="0.25">
      <c r="A7723" s="83"/>
      <c r="B7723" s="84"/>
      <c r="C7723" s="84"/>
      <c r="D7723" s="116"/>
      <c r="E7723" s="116"/>
    </row>
    <row r="7724" spans="1:5" x14ac:dyDescent="0.25">
      <c r="A7724" s="83"/>
      <c r="B7724" s="84"/>
      <c r="C7724" s="84"/>
      <c r="D7724" s="116"/>
      <c r="E7724" s="116"/>
    </row>
    <row r="7725" spans="1:5" x14ac:dyDescent="0.25">
      <c r="A7725" s="83"/>
      <c r="B7725" s="84"/>
      <c r="C7725" s="84"/>
      <c r="D7725" s="116"/>
      <c r="E7725" s="116"/>
    </row>
    <row r="7726" spans="1:5" x14ac:dyDescent="0.25">
      <c r="A7726" s="83"/>
      <c r="B7726" s="84"/>
      <c r="C7726" s="84"/>
      <c r="D7726" s="116"/>
      <c r="E7726" s="116"/>
    </row>
    <row r="7727" spans="1:5" x14ac:dyDescent="0.25">
      <c r="A7727" s="83"/>
      <c r="B7727" s="84"/>
      <c r="C7727" s="84"/>
      <c r="D7727" s="116"/>
      <c r="E7727" s="116"/>
    </row>
    <row r="7728" spans="1:5" x14ac:dyDescent="0.25">
      <c r="A7728" s="83"/>
      <c r="B7728" s="84"/>
      <c r="C7728" s="84"/>
      <c r="D7728" s="116"/>
      <c r="E7728" s="116"/>
    </row>
    <row r="7729" spans="1:5" x14ac:dyDescent="0.25">
      <c r="A7729" s="83"/>
      <c r="B7729" s="84"/>
      <c r="C7729" s="84"/>
      <c r="D7729" s="116"/>
      <c r="E7729" s="116"/>
    </row>
    <row r="7730" spans="1:5" x14ac:dyDescent="0.25">
      <c r="A7730" s="83"/>
      <c r="B7730" s="84"/>
      <c r="C7730" s="84"/>
      <c r="D7730" s="116"/>
      <c r="E7730" s="116"/>
    </row>
    <row r="7731" spans="1:5" x14ac:dyDescent="0.25">
      <c r="A7731" s="83"/>
      <c r="B7731" s="84"/>
      <c r="C7731" s="84"/>
      <c r="D7731" s="116"/>
      <c r="E7731" s="116"/>
    </row>
    <row r="7732" spans="1:5" x14ac:dyDescent="0.25">
      <c r="A7732" s="83"/>
      <c r="B7732" s="84"/>
      <c r="C7732" s="84"/>
      <c r="D7732" s="116"/>
      <c r="E7732" s="116"/>
    </row>
    <row r="7733" spans="1:5" x14ac:dyDescent="0.25">
      <c r="A7733" s="83"/>
      <c r="B7733" s="84"/>
      <c r="C7733" s="84"/>
      <c r="D7733" s="116"/>
      <c r="E7733" s="116"/>
    </row>
    <row r="7734" spans="1:5" x14ac:dyDescent="0.25">
      <c r="A7734" s="83"/>
      <c r="B7734" s="84"/>
      <c r="C7734" s="84"/>
      <c r="D7734" s="116"/>
      <c r="E7734" s="116"/>
    </row>
    <row r="7735" spans="1:5" x14ac:dyDescent="0.25">
      <c r="A7735" s="83"/>
      <c r="B7735" s="84"/>
      <c r="C7735" s="84"/>
      <c r="D7735" s="116"/>
      <c r="E7735" s="116"/>
    </row>
    <row r="7736" spans="1:5" x14ac:dyDescent="0.25">
      <c r="A7736" s="83"/>
      <c r="B7736" s="84"/>
      <c r="C7736" s="84"/>
      <c r="D7736" s="116"/>
      <c r="E7736" s="116"/>
    </row>
    <row r="7737" spans="1:5" x14ac:dyDescent="0.25">
      <c r="A7737" s="83"/>
      <c r="B7737" s="84"/>
      <c r="C7737" s="84"/>
      <c r="D7737" s="116"/>
      <c r="E7737" s="116"/>
    </row>
    <row r="7738" spans="1:5" x14ac:dyDescent="0.25">
      <c r="A7738" s="83"/>
      <c r="B7738" s="84"/>
      <c r="C7738" s="84"/>
      <c r="D7738" s="116"/>
      <c r="E7738" s="116"/>
    </row>
    <row r="7739" spans="1:5" x14ac:dyDescent="0.25">
      <c r="A7739" s="83"/>
      <c r="B7739" s="84"/>
      <c r="C7739" s="84"/>
      <c r="D7739" s="116"/>
      <c r="E7739" s="116"/>
    </row>
    <row r="7740" spans="1:5" x14ac:dyDescent="0.25">
      <c r="A7740" s="83"/>
      <c r="B7740" s="84"/>
      <c r="C7740" s="84"/>
      <c r="D7740" s="116"/>
      <c r="E7740" s="116"/>
    </row>
    <row r="7741" spans="1:5" x14ac:dyDescent="0.25">
      <c r="A7741" s="83"/>
      <c r="B7741" s="84"/>
      <c r="C7741" s="84"/>
      <c r="D7741" s="116"/>
      <c r="E7741" s="116"/>
    </row>
    <row r="7742" spans="1:5" x14ac:dyDescent="0.25">
      <c r="A7742" s="83"/>
      <c r="B7742" s="84"/>
      <c r="C7742" s="84"/>
      <c r="D7742" s="116"/>
      <c r="E7742" s="116"/>
    </row>
    <row r="7743" spans="1:5" x14ac:dyDescent="0.25">
      <c r="A7743" s="83"/>
      <c r="B7743" s="84"/>
      <c r="C7743" s="84"/>
      <c r="D7743" s="116"/>
      <c r="E7743" s="116"/>
    </row>
    <row r="7744" spans="1:5" x14ac:dyDescent="0.25">
      <c r="A7744" s="83"/>
      <c r="B7744" s="84"/>
      <c r="C7744" s="84"/>
      <c r="D7744" s="116"/>
      <c r="E7744" s="116"/>
    </row>
    <row r="7745" spans="1:5" x14ac:dyDescent="0.25">
      <c r="A7745" s="83"/>
      <c r="B7745" s="84"/>
      <c r="C7745" s="84"/>
      <c r="D7745" s="116"/>
      <c r="E7745" s="116"/>
    </row>
    <row r="7746" spans="1:5" x14ac:dyDescent="0.25">
      <c r="A7746" s="83"/>
      <c r="B7746" s="84"/>
      <c r="C7746" s="84"/>
      <c r="D7746" s="116"/>
      <c r="E7746" s="116"/>
    </row>
    <row r="7747" spans="1:5" x14ac:dyDescent="0.25">
      <c r="A7747" s="83"/>
      <c r="B7747" s="84"/>
      <c r="C7747" s="84"/>
      <c r="D7747" s="116"/>
      <c r="E7747" s="116"/>
    </row>
    <row r="7748" spans="1:5" x14ac:dyDescent="0.25">
      <c r="A7748" s="83"/>
      <c r="B7748" s="84"/>
      <c r="C7748" s="84"/>
      <c r="D7748" s="116"/>
      <c r="E7748" s="116"/>
    </row>
    <row r="7749" spans="1:5" x14ac:dyDescent="0.25">
      <c r="A7749" s="83"/>
      <c r="B7749" s="84"/>
      <c r="C7749" s="84"/>
      <c r="D7749" s="116"/>
      <c r="E7749" s="116"/>
    </row>
    <row r="7750" spans="1:5" x14ac:dyDescent="0.25">
      <c r="A7750" s="83"/>
      <c r="B7750" s="84"/>
      <c r="C7750" s="84"/>
      <c r="D7750" s="116"/>
      <c r="E7750" s="116"/>
    </row>
    <row r="7751" spans="1:5" x14ac:dyDescent="0.25">
      <c r="A7751" s="83"/>
      <c r="B7751" s="84"/>
      <c r="C7751" s="84"/>
      <c r="D7751" s="116"/>
      <c r="E7751" s="116"/>
    </row>
    <row r="7752" spans="1:5" x14ac:dyDescent="0.25">
      <c r="A7752" s="83"/>
      <c r="B7752" s="84"/>
      <c r="C7752" s="84"/>
      <c r="D7752" s="116"/>
      <c r="E7752" s="116"/>
    </row>
    <row r="7753" spans="1:5" x14ac:dyDescent="0.25">
      <c r="A7753" s="83"/>
      <c r="B7753" s="84"/>
      <c r="C7753" s="84"/>
      <c r="D7753" s="116"/>
      <c r="E7753" s="116"/>
    </row>
    <row r="7754" spans="1:5" x14ac:dyDescent="0.25">
      <c r="A7754" s="83"/>
      <c r="B7754" s="84"/>
      <c r="C7754" s="84"/>
      <c r="D7754" s="116"/>
      <c r="E7754" s="116"/>
    </row>
    <row r="7755" spans="1:5" x14ac:dyDescent="0.25">
      <c r="A7755" s="83"/>
      <c r="B7755" s="84"/>
      <c r="C7755" s="84"/>
      <c r="D7755" s="116"/>
      <c r="E7755" s="116"/>
    </row>
    <row r="7756" spans="1:5" x14ac:dyDescent="0.25">
      <c r="A7756" s="83"/>
      <c r="B7756" s="84"/>
      <c r="C7756" s="84"/>
      <c r="D7756" s="116"/>
      <c r="E7756" s="116"/>
    </row>
    <row r="7757" spans="1:5" x14ac:dyDescent="0.25">
      <c r="A7757" s="83"/>
      <c r="B7757" s="84"/>
      <c r="C7757" s="84"/>
      <c r="D7757" s="116"/>
      <c r="E7757" s="116"/>
    </row>
    <row r="7758" spans="1:5" x14ac:dyDescent="0.25">
      <c r="A7758" s="83"/>
      <c r="B7758" s="84"/>
      <c r="C7758" s="84"/>
      <c r="D7758" s="116"/>
      <c r="E7758" s="116"/>
    </row>
    <row r="7759" spans="1:5" x14ac:dyDescent="0.25">
      <c r="A7759" s="83"/>
      <c r="B7759" s="84"/>
      <c r="C7759" s="84"/>
      <c r="D7759" s="116"/>
      <c r="E7759" s="116"/>
    </row>
    <row r="7760" spans="1:5" x14ac:dyDescent="0.25">
      <c r="A7760" s="83"/>
      <c r="B7760" s="84"/>
      <c r="C7760" s="84"/>
      <c r="D7760" s="116"/>
      <c r="E7760" s="116"/>
    </row>
    <row r="7761" spans="1:5" x14ac:dyDescent="0.25">
      <c r="A7761" s="83"/>
      <c r="B7761" s="84"/>
      <c r="C7761" s="84"/>
      <c r="D7761" s="116"/>
      <c r="E7761" s="116"/>
    </row>
    <row r="7762" spans="1:5" x14ac:dyDescent="0.25">
      <c r="A7762" s="83"/>
      <c r="B7762" s="84"/>
      <c r="C7762" s="84"/>
      <c r="D7762" s="116"/>
      <c r="E7762" s="116"/>
    </row>
    <row r="7763" spans="1:5" x14ac:dyDescent="0.25">
      <c r="A7763" s="83"/>
      <c r="B7763" s="84"/>
      <c r="C7763" s="84"/>
      <c r="D7763" s="116"/>
      <c r="E7763" s="116"/>
    </row>
    <row r="7764" spans="1:5" x14ac:dyDescent="0.25">
      <c r="A7764" s="83"/>
      <c r="B7764" s="84"/>
      <c r="C7764" s="84"/>
      <c r="D7764" s="116"/>
      <c r="E7764" s="116"/>
    </row>
    <row r="7765" spans="1:5" x14ac:dyDescent="0.25">
      <c r="A7765" s="83"/>
      <c r="B7765" s="84"/>
      <c r="C7765" s="84"/>
      <c r="D7765" s="116"/>
      <c r="E7765" s="116"/>
    </row>
    <row r="7766" spans="1:5" x14ac:dyDescent="0.25">
      <c r="A7766" s="83"/>
      <c r="B7766" s="84"/>
      <c r="C7766" s="84"/>
      <c r="D7766" s="116"/>
      <c r="E7766" s="116"/>
    </row>
    <row r="7767" spans="1:5" x14ac:dyDescent="0.25">
      <c r="A7767" s="83"/>
      <c r="B7767" s="84"/>
      <c r="C7767" s="84"/>
      <c r="D7767" s="116"/>
      <c r="E7767" s="116"/>
    </row>
    <row r="7768" spans="1:5" x14ac:dyDescent="0.25">
      <c r="A7768" s="83"/>
      <c r="B7768" s="84"/>
      <c r="C7768" s="84"/>
      <c r="D7768" s="116"/>
      <c r="E7768" s="116"/>
    </row>
    <row r="7769" spans="1:5" x14ac:dyDescent="0.25">
      <c r="A7769" s="83"/>
      <c r="B7769" s="84"/>
      <c r="C7769" s="84"/>
      <c r="D7769" s="116"/>
      <c r="E7769" s="116"/>
    </row>
    <row r="7770" spans="1:5" x14ac:dyDescent="0.25">
      <c r="A7770" s="83"/>
      <c r="B7770" s="84"/>
      <c r="C7770" s="84"/>
      <c r="D7770" s="116"/>
      <c r="E7770" s="116"/>
    </row>
    <row r="7771" spans="1:5" x14ac:dyDescent="0.25">
      <c r="A7771" s="83"/>
      <c r="B7771" s="84"/>
      <c r="C7771" s="84"/>
      <c r="D7771" s="116"/>
      <c r="E7771" s="116"/>
    </row>
    <row r="7772" spans="1:5" x14ac:dyDescent="0.25">
      <c r="A7772" s="83"/>
      <c r="B7772" s="84"/>
      <c r="C7772" s="84"/>
      <c r="D7772" s="116"/>
      <c r="E7772" s="116"/>
    </row>
    <row r="7773" spans="1:5" x14ac:dyDescent="0.25">
      <c r="A7773" s="83"/>
      <c r="B7773" s="84"/>
      <c r="C7773" s="84"/>
      <c r="D7773" s="116"/>
      <c r="E7773" s="116"/>
    </row>
    <row r="7774" spans="1:5" x14ac:dyDescent="0.25">
      <c r="A7774" s="83"/>
      <c r="B7774" s="84"/>
      <c r="C7774" s="84"/>
      <c r="D7774" s="116"/>
      <c r="E7774" s="116"/>
    </row>
    <row r="7775" spans="1:5" x14ac:dyDescent="0.25">
      <c r="A7775" s="83"/>
      <c r="B7775" s="84"/>
      <c r="C7775" s="84"/>
      <c r="D7775" s="116"/>
      <c r="E7775" s="116"/>
    </row>
    <row r="7776" spans="1:5" x14ac:dyDescent="0.25">
      <c r="A7776" s="83"/>
      <c r="B7776" s="84"/>
      <c r="C7776" s="84"/>
      <c r="D7776" s="116"/>
      <c r="E7776" s="116"/>
    </row>
    <row r="7777" spans="1:5" x14ac:dyDescent="0.25">
      <c r="A7777" s="83"/>
      <c r="B7777" s="84"/>
      <c r="C7777" s="84"/>
      <c r="D7777" s="116"/>
      <c r="E7777" s="116"/>
    </row>
    <row r="7778" spans="1:5" x14ac:dyDescent="0.25">
      <c r="A7778" s="83"/>
      <c r="B7778" s="84"/>
      <c r="C7778" s="84"/>
      <c r="D7778" s="116"/>
      <c r="E7778" s="116"/>
    </row>
    <row r="7779" spans="1:5" x14ac:dyDescent="0.25">
      <c r="A7779" s="83"/>
      <c r="B7779" s="84"/>
      <c r="C7779" s="84"/>
      <c r="D7779" s="116"/>
      <c r="E7779" s="116"/>
    </row>
    <row r="7780" spans="1:5" x14ac:dyDescent="0.25">
      <c r="A7780" s="83"/>
      <c r="B7780" s="84"/>
      <c r="C7780" s="84"/>
      <c r="D7780" s="116"/>
      <c r="E7780" s="116"/>
    </row>
    <row r="7781" spans="1:5" x14ac:dyDescent="0.25">
      <c r="A7781" s="83"/>
      <c r="B7781" s="84"/>
      <c r="C7781" s="84"/>
      <c r="D7781" s="116"/>
      <c r="E7781" s="116"/>
    </row>
    <row r="7782" spans="1:5" x14ac:dyDescent="0.25">
      <c r="A7782" s="83"/>
      <c r="B7782" s="84"/>
      <c r="C7782" s="84"/>
      <c r="D7782" s="116"/>
      <c r="E7782" s="116"/>
    </row>
    <row r="7783" spans="1:5" x14ac:dyDescent="0.25">
      <c r="A7783" s="83"/>
      <c r="B7783" s="84"/>
      <c r="C7783" s="84"/>
      <c r="D7783" s="116"/>
      <c r="E7783" s="116"/>
    </row>
    <row r="7784" spans="1:5" x14ac:dyDescent="0.25">
      <c r="A7784" s="83"/>
      <c r="B7784" s="84"/>
      <c r="C7784" s="84"/>
      <c r="D7784" s="116"/>
      <c r="E7784" s="116"/>
    </row>
    <row r="7785" spans="1:5" x14ac:dyDescent="0.25">
      <c r="A7785" s="83"/>
      <c r="B7785" s="84"/>
      <c r="C7785" s="84"/>
      <c r="D7785" s="116"/>
      <c r="E7785" s="116"/>
    </row>
    <row r="7786" spans="1:5" x14ac:dyDescent="0.25">
      <c r="A7786" s="83"/>
      <c r="B7786" s="84"/>
      <c r="C7786" s="84"/>
      <c r="D7786" s="116"/>
      <c r="E7786" s="116"/>
    </row>
    <row r="7787" spans="1:5" x14ac:dyDescent="0.25">
      <c r="A7787" s="83"/>
      <c r="B7787" s="84"/>
      <c r="C7787" s="84"/>
      <c r="D7787" s="116"/>
      <c r="E7787" s="116"/>
    </row>
    <row r="7788" spans="1:5" x14ac:dyDescent="0.25">
      <c r="A7788" s="83"/>
      <c r="B7788" s="84"/>
      <c r="C7788" s="84"/>
      <c r="D7788" s="116"/>
      <c r="E7788" s="116"/>
    </row>
    <row r="7789" spans="1:5" x14ac:dyDescent="0.25">
      <c r="A7789" s="83"/>
      <c r="B7789" s="84"/>
      <c r="C7789" s="84"/>
      <c r="D7789" s="116"/>
      <c r="E7789" s="116"/>
    </row>
    <row r="7790" spans="1:5" x14ac:dyDescent="0.25">
      <c r="A7790" s="83"/>
      <c r="B7790" s="84"/>
      <c r="C7790" s="84"/>
      <c r="D7790" s="116"/>
      <c r="E7790" s="116"/>
    </row>
    <row r="7791" spans="1:5" x14ac:dyDescent="0.25">
      <c r="A7791" s="83"/>
      <c r="B7791" s="84"/>
      <c r="C7791" s="84"/>
      <c r="D7791" s="116"/>
      <c r="E7791" s="116"/>
    </row>
    <row r="7792" spans="1:5" x14ac:dyDescent="0.25">
      <c r="A7792" s="83"/>
      <c r="B7792" s="84"/>
      <c r="C7792" s="84"/>
      <c r="D7792" s="116"/>
      <c r="E7792" s="116"/>
    </row>
    <row r="7793" spans="1:5" x14ac:dyDescent="0.25">
      <c r="A7793" s="83"/>
      <c r="B7793" s="84"/>
      <c r="C7793" s="84"/>
      <c r="D7793" s="116"/>
      <c r="E7793" s="116"/>
    </row>
    <row r="7794" spans="1:5" x14ac:dyDescent="0.25">
      <c r="A7794" s="83"/>
      <c r="B7794" s="84"/>
      <c r="C7794" s="84"/>
      <c r="D7794" s="116"/>
      <c r="E7794" s="116"/>
    </row>
    <row r="7795" spans="1:5" x14ac:dyDescent="0.25">
      <c r="A7795" s="83"/>
      <c r="B7795" s="84"/>
      <c r="C7795" s="84"/>
      <c r="D7795" s="116"/>
      <c r="E7795" s="116"/>
    </row>
    <row r="7796" spans="1:5" x14ac:dyDescent="0.25">
      <c r="A7796" s="83"/>
      <c r="B7796" s="84"/>
      <c r="C7796" s="84"/>
      <c r="D7796" s="116"/>
      <c r="E7796" s="116"/>
    </row>
    <row r="7797" spans="1:5" x14ac:dyDescent="0.25">
      <c r="A7797" s="83"/>
      <c r="B7797" s="84"/>
      <c r="C7797" s="84"/>
      <c r="D7797" s="116"/>
      <c r="E7797" s="116"/>
    </row>
    <row r="7798" spans="1:5" x14ac:dyDescent="0.25">
      <c r="A7798" s="83"/>
      <c r="B7798" s="84"/>
      <c r="C7798" s="84"/>
      <c r="D7798" s="116"/>
      <c r="E7798" s="116"/>
    </row>
    <row r="7799" spans="1:5" x14ac:dyDescent="0.25">
      <c r="A7799" s="83"/>
      <c r="B7799" s="84"/>
      <c r="C7799" s="84"/>
      <c r="D7799" s="116"/>
      <c r="E7799" s="116"/>
    </row>
    <row r="7800" spans="1:5" x14ac:dyDescent="0.25">
      <c r="A7800" s="83"/>
      <c r="B7800" s="84"/>
      <c r="C7800" s="84"/>
      <c r="D7800" s="116"/>
      <c r="E7800" s="116"/>
    </row>
    <row r="7801" spans="1:5" x14ac:dyDescent="0.25">
      <c r="A7801" s="83"/>
      <c r="B7801" s="84"/>
      <c r="C7801" s="84"/>
      <c r="D7801" s="116"/>
      <c r="E7801" s="116"/>
    </row>
    <row r="7802" spans="1:5" x14ac:dyDescent="0.25">
      <c r="A7802" s="83"/>
      <c r="B7802" s="84"/>
      <c r="C7802" s="84"/>
      <c r="D7802" s="116"/>
      <c r="E7802" s="116"/>
    </row>
    <row r="7803" spans="1:5" x14ac:dyDescent="0.25">
      <c r="A7803" s="83"/>
      <c r="B7803" s="84"/>
      <c r="C7803" s="84"/>
      <c r="D7803" s="116"/>
      <c r="E7803" s="116"/>
    </row>
    <row r="7804" spans="1:5" x14ac:dyDescent="0.25">
      <c r="A7804" s="83"/>
      <c r="B7804" s="84"/>
      <c r="C7804" s="84"/>
      <c r="D7804" s="116"/>
      <c r="E7804" s="116"/>
    </row>
    <row r="7805" spans="1:5" x14ac:dyDescent="0.25">
      <c r="A7805" s="83"/>
      <c r="B7805" s="84"/>
      <c r="C7805" s="84"/>
      <c r="D7805" s="116"/>
      <c r="E7805" s="116"/>
    </row>
    <row r="7806" spans="1:5" x14ac:dyDescent="0.25">
      <c r="A7806" s="83"/>
      <c r="B7806" s="84"/>
      <c r="C7806" s="84"/>
      <c r="D7806" s="116"/>
      <c r="E7806" s="116"/>
    </row>
    <row r="7807" spans="1:5" x14ac:dyDescent="0.25">
      <c r="A7807" s="83"/>
      <c r="B7807" s="84"/>
      <c r="C7807" s="84"/>
      <c r="D7807" s="116"/>
      <c r="E7807" s="116"/>
    </row>
    <row r="7808" spans="1:5" x14ac:dyDescent="0.25">
      <c r="A7808" s="83"/>
      <c r="B7808" s="84"/>
      <c r="C7808" s="84"/>
      <c r="D7808" s="116"/>
      <c r="E7808" s="116"/>
    </row>
    <row r="7809" spans="1:5" x14ac:dyDescent="0.25">
      <c r="A7809" s="83"/>
      <c r="B7809" s="84"/>
      <c r="C7809" s="84"/>
      <c r="D7809" s="116"/>
      <c r="E7809" s="116"/>
    </row>
    <row r="7810" spans="1:5" x14ac:dyDescent="0.25">
      <c r="A7810" s="83"/>
      <c r="B7810" s="84"/>
      <c r="C7810" s="84"/>
      <c r="D7810" s="116"/>
      <c r="E7810" s="116"/>
    </row>
    <row r="7811" spans="1:5" x14ac:dyDescent="0.25">
      <c r="A7811" s="83"/>
      <c r="B7811" s="84"/>
      <c r="C7811" s="84"/>
      <c r="D7811" s="116"/>
      <c r="E7811" s="116"/>
    </row>
    <row r="7812" spans="1:5" x14ac:dyDescent="0.25">
      <c r="A7812" s="83"/>
      <c r="B7812" s="84"/>
      <c r="C7812" s="84"/>
      <c r="D7812" s="116"/>
      <c r="E7812" s="116"/>
    </row>
    <row r="7813" spans="1:5" x14ac:dyDescent="0.25">
      <c r="A7813" s="83"/>
      <c r="B7813" s="84"/>
      <c r="C7813" s="84"/>
      <c r="D7813" s="116"/>
      <c r="E7813" s="116"/>
    </row>
    <row r="7814" spans="1:5" x14ac:dyDescent="0.25">
      <c r="A7814" s="83"/>
      <c r="B7814" s="84"/>
      <c r="C7814" s="84"/>
      <c r="D7814" s="116"/>
      <c r="E7814" s="116"/>
    </row>
    <row r="7815" spans="1:5" x14ac:dyDescent="0.25">
      <c r="A7815" s="83"/>
      <c r="B7815" s="84"/>
      <c r="C7815" s="84"/>
      <c r="D7815" s="116"/>
      <c r="E7815" s="116"/>
    </row>
    <row r="7816" spans="1:5" x14ac:dyDescent="0.25">
      <c r="A7816" s="83"/>
      <c r="B7816" s="84"/>
      <c r="C7816" s="84"/>
      <c r="D7816" s="116"/>
      <c r="E7816" s="116"/>
    </row>
    <row r="7817" spans="1:5" x14ac:dyDescent="0.25">
      <c r="A7817" s="83"/>
      <c r="B7817" s="84"/>
      <c r="C7817" s="84"/>
      <c r="D7817" s="116"/>
      <c r="E7817" s="116"/>
    </row>
    <row r="7818" spans="1:5" x14ac:dyDescent="0.25">
      <c r="A7818" s="83"/>
      <c r="B7818" s="84"/>
      <c r="C7818" s="84"/>
      <c r="D7818" s="116"/>
      <c r="E7818" s="116"/>
    </row>
    <row r="7819" spans="1:5" x14ac:dyDescent="0.25">
      <c r="A7819" s="83"/>
      <c r="B7819" s="84"/>
      <c r="C7819" s="84"/>
      <c r="D7819" s="116"/>
      <c r="E7819" s="116"/>
    </row>
    <row r="7820" spans="1:5" x14ac:dyDescent="0.25">
      <c r="A7820" s="83"/>
      <c r="B7820" s="84"/>
      <c r="C7820" s="84"/>
      <c r="D7820" s="116"/>
      <c r="E7820" s="116"/>
    </row>
    <row r="7821" spans="1:5" x14ac:dyDescent="0.25">
      <c r="A7821" s="83"/>
      <c r="B7821" s="84"/>
      <c r="C7821" s="84"/>
      <c r="D7821" s="116"/>
      <c r="E7821" s="116"/>
    </row>
    <row r="7822" spans="1:5" x14ac:dyDescent="0.25">
      <c r="A7822" s="83"/>
      <c r="B7822" s="84"/>
      <c r="C7822" s="84"/>
      <c r="D7822" s="116"/>
      <c r="E7822" s="116"/>
    </row>
    <row r="7823" spans="1:5" x14ac:dyDescent="0.25">
      <c r="A7823" s="83"/>
      <c r="B7823" s="84"/>
      <c r="C7823" s="84"/>
      <c r="D7823" s="116"/>
      <c r="E7823" s="116"/>
    </row>
    <row r="7824" spans="1:5" x14ac:dyDescent="0.25">
      <c r="A7824" s="83"/>
      <c r="B7824" s="84"/>
      <c r="C7824" s="84"/>
      <c r="D7824" s="116"/>
      <c r="E7824" s="116"/>
    </row>
    <row r="7825" spans="1:5" x14ac:dyDescent="0.25">
      <c r="A7825" s="83"/>
      <c r="B7825" s="84"/>
      <c r="C7825" s="84"/>
      <c r="D7825" s="116"/>
      <c r="E7825" s="116"/>
    </row>
    <row r="7826" spans="1:5" x14ac:dyDescent="0.25">
      <c r="A7826" s="83"/>
      <c r="B7826" s="84"/>
      <c r="C7826" s="84"/>
      <c r="D7826" s="116"/>
      <c r="E7826" s="116"/>
    </row>
    <row r="7827" spans="1:5" x14ac:dyDescent="0.25">
      <c r="A7827" s="83"/>
      <c r="B7827" s="84"/>
      <c r="C7827" s="84"/>
      <c r="D7827" s="116"/>
      <c r="E7827" s="116"/>
    </row>
    <row r="7828" spans="1:5" x14ac:dyDescent="0.25">
      <c r="A7828" s="83"/>
      <c r="B7828" s="84"/>
      <c r="C7828" s="84"/>
      <c r="D7828" s="116"/>
      <c r="E7828" s="116"/>
    </row>
    <row r="7829" spans="1:5" x14ac:dyDescent="0.25">
      <c r="A7829" s="83"/>
      <c r="B7829" s="84"/>
      <c r="C7829" s="84"/>
      <c r="D7829" s="116"/>
      <c r="E7829" s="116"/>
    </row>
    <row r="7830" spans="1:5" x14ac:dyDescent="0.25">
      <c r="A7830" s="83"/>
      <c r="B7830" s="84"/>
      <c r="C7830" s="84"/>
      <c r="D7830" s="116"/>
      <c r="E7830" s="116"/>
    </row>
    <row r="7831" spans="1:5" x14ac:dyDescent="0.25">
      <c r="A7831" s="83"/>
      <c r="B7831" s="84"/>
      <c r="C7831" s="84"/>
      <c r="D7831" s="116"/>
      <c r="E7831" s="116"/>
    </row>
    <row r="7832" spans="1:5" x14ac:dyDescent="0.25">
      <c r="A7832" s="83"/>
      <c r="B7832" s="84"/>
      <c r="C7832" s="84"/>
      <c r="D7832" s="116"/>
      <c r="E7832" s="116"/>
    </row>
    <row r="7833" spans="1:5" x14ac:dyDescent="0.25">
      <c r="A7833" s="83"/>
      <c r="B7833" s="84"/>
      <c r="C7833" s="84"/>
      <c r="D7833" s="116"/>
      <c r="E7833" s="116"/>
    </row>
    <row r="7834" spans="1:5" x14ac:dyDescent="0.25">
      <c r="A7834" s="83"/>
      <c r="B7834" s="84"/>
      <c r="C7834" s="84"/>
      <c r="D7834" s="116"/>
      <c r="E7834" s="116"/>
    </row>
    <row r="7835" spans="1:5" x14ac:dyDescent="0.25">
      <c r="A7835" s="83"/>
      <c r="B7835" s="84"/>
      <c r="C7835" s="84"/>
      <c r="D7835" s="116"/>
      <c r="E7835" s="116"/>
    </row>
    <row r="7836" spans="1:5" x14ac:dyDescent="0.25">
      <c r="A7836" s="83"/>
      <c r="B7836" s="84"/>
      <c r="C7836" s="84"/>
      <c r="D7836" s="116"/>
      <c r="E7836" s="116"/>
    </row>
    <row r="7837" spans="1:5" x14ac:dyDescent="0.25">
      <c r="A7837" s="83"/>
      <c r="B7837" s="84"/>
      <c r="C7837" s="84"/>
      <c r="D7837" s="116"/>
      <c r="E7837" s="116"/>
    </row>
    <row r="7838" spans="1:5" x14ac:dyDescent="0.25">
      <c r="A7838" s="83"/>
      <c r="B7838" s="84"/>
      <c r="C7838" s="84"/>
      <c r="D7838" s="116"/>
      <c r="E7838" s="116"/>
    </row>
    <row r="7839" spans="1:5" x14ac:dyDescent="0.25">
      <c r="A7839" s="83"/>
      <c r="B7839" s="84"/>
      <c r="C7839" s="84"/>
      <c r="D7839" s="116"/>
      <c r="E7839" s="116"/>
    </row>
    <row r="7840" spans="1:5" x14ac:dyDescent="0.25">
      <c r="A7840" s="83"/>
      <c r="B7840" s="84"/>
      <c r="C7840" s="84"/>
      <c r="D7840" s="116"/>
      <c r="E7840" s="116"/>
    </row>
    <row r="7841" spans="1:5" x14ac:dyDescent="0.25">
      <c r="A7841" s="83"/>
      <c r="B7841" s="84"/>
      <c r="C7841" s="84"/>
      <c r="D7841" s="116"/>
      <c r="E7841" s="116"/>
    </row>
    <row r="7842" spans="1:5" x14ac:dyDescent="0.25">
      <c r="A7842" s="83"/>
      <c r="B7842" s="84"/>
      <c r="C7842" s="84"/>
      <c r="D7842" s="116"/>
      <c r="E7842" s="116"/>
    </row>
    <row r="7843" spans="1:5" x14ac:dyDescent="0.25">
      <c r="A7843" s="83"/>
      <c r="B7843" s="84"/>
      <c r="C7843" s="84"/>
      <c r="D7843" s="116"/>
      <c r="E7843" s="116"/>
    </row>
    <row r="7844" spans="1:5" x14ac:dyDescent="0.25">
      <c r="A7844" s="83"/>
      <c r="B7844" s="84"/>
      <c r="C7844" s="84"/>
      <c r="D7844" s="116"/>
      <c r="E7844" s="116"/>
    </row>
    <row r="7845" spans="1:5" x14ac:dyDescent="0.25">
      <c r="A7845" s="83"/>
      <c r="B7845" s="84"/>
      <c r="C7845" s="84"/>
      <c r="D7845" s="116"/>
      <c r="E7845" s="116"/>
    </row>
    <row r="7846" spans="1:5" x14ac:dyDescent="0.25">
      <c r="A7846" s="83"/>
      <c r="B7846" s="84"/>
      <c r="C7846" s="84"/>
      <c r="D7846" s="116"/>
      <c r="E7846" s="116"/>
    </row>
    <row r="7847" spans="1:5" x14ac:dyDescent="0.25">
      <c r="A7847" s="83"/>
      <c r="B7847" s="84"/>
      <c r="C7847" s="84"/>
      <c r="D7847" s="116"/>
      <c r="E7847" s="116"/>
    </row>
    <row r="7848" spans="1:5" x14ac:dyDescent="0.25">
      <c r="A7848" s="83"/>
      <c r="B7848" s="84"/>
      <c r="C7848" s="84"/>
      <c r="D7848" s="116"/>
      <c r="E7848" s="116"/>
    </row>
    <row r="7849" spans="1:5" x14ac:dyDescent="0.25">
      <c r="A7849" s="83"/>
      <c r="B7849" s="84"/>
      <c r="C7849" s="84"/>
      <c r="D7849" s="116"/>
      <c r="E7849" s="116"/>
    </row>
    <row r="7850" spans="1:5" x14ac:dyDescent="0.25">
      <c r="A7850" s="83"/>
      <c r="B7850" s="84"/>
      <c r="C7850" s="84"/>
      <c r="D7850" s="116"/>
      <c r="E7850" s="116"/>
    </row>
    <row r="7851" spans="1:5" x14ac:dyDescent="0.25">
      <c r="A7851" s="83"/>
      <c r="B7851" s="84"/>
      <c r="C7851" s="84"/>
      <c r="D7851" s="116"/>
      <c r="E7851" s="116"/>
    </row>
    <row r="7852" spans="1:5" x14ac:dyDescent="0.25">
      <c r="A7852" s="83"/>
      <c r="B7852" s="84"/>
      <c r="C7852" s="84"/>
      <c r="D7852" s="116"/>
      <c r="E7852" s="116"/>
    </row>
    <row r="7853" spans="1:5" x14ac:dyDescent="0.25">
      <c r="A7853" s="83"/>
      <c r="B7853" s="84"/>
      <c r="C7853" s="84"/>
      <c r="D7853" s="116"/>
      <c r="E7853" s="116"/>
    </row>
    <row r="7854" spans="1:5" x14ac:dyDescent="0.25">
      <c r="A7854" s="83"/>
      <c r="B7854" s="84"/>
      <c r="C7854" s="84"/>
      <c r="D7854" s="116"/>
      <c r="E7854" s="116"/>
    </row>
    <row r="7855" spans="1:5" x14ac:dyDescent="0.25">
      <c r="A7855" s="83"/>
      <c r="B7855" s="84"/>
      <c r="C7855" s="84"/>
      <c r="D7855" s="116"/>
      <c r="E7855" s="116"/>
    </row>
    <row r="7856" spans="1:5" x14ac:dyDescent="0.25">
      <c r="A7856" s="83"/>
      <c r="B7856" s="84"/>
      <c r="C7856" s="84"/>
      <c r="D7856" s="116"/>
      <c r="E7856" s="116"/>
    </row>
    <row r="7857" spans="1:5" x14ac:dyDescent="0.25">
      <c r="A7857" s="83"/>
      <c r="B7857" s="84"/>
      <c r="C7857" s="84"/>
      <c r="D7857" s="116"/>
      <c r="E7857" s="116"/>
    </row>
    <row r="7858" spans="1:5" x14ac:dyDescent="0.25">
      <c r="A7858" s="83"/>
      <c r="B7858" s="84"/>
      <c r="C7858" s="84"/>
      <c r="D7858" s="116"/>
      <c r="E7858" s="116"/>
    </row>
    <row r="7859" spans="1:5" x14ac:dyDescent="0.25">
      <c r="A7859" s="83"/>
      <c r="B7859" s="84"/>
      <c r="C7859" s="84"/>
      <c r="D7859" s="116"/>
      <c r="E7859" s="116"/>
    </row>
    <row r="7860" spans="1:5" x14ac:dyDescent="0.25">
      <c r="A7860" s="83"/>
      <c r="B7860" s="84"/>
      <c r="C7860" s="84"/>
      <c r="D7860" s="116"/>
      <c r="E7860" s="116"/>
    </row>
    <row r="7861" spans="1:5" x14ac:dyDescent="0.25">
      <c r="A7861" s="83"/>
      <c r="B7861" s="84"/>
      <c r="C7861" s="84"/>
      <c r="D7861" s="116"/>
      <c r="E7861" s="116"/>
    </row>
    <row r="7862" spans="1:5" x14ac:dyDescent="0.25">
      <c r="A7862" s="83"/>
      <c r="B7862" s="84"/>
      <c r="C7862" s="84"/>
      <c r="D7862" s="116"/>
      <c r="E7862" s="116"/>
    </row>
    <row r="7863" spans="1:5" x14ac:dyDescent="0.25">
      <c r="A7863" s="83"/>
      <c r="B7863" s="84"/>
      <c r="C7863" s="84"/>
      <c r="D7863" s="116"/>
      <c r="E7863" s="116"/>
    </row>
    <row r="7864" spans="1:5" x14ac:dyDescent="0.25">
      <c r="A7864" s="83"/>
      <c r="B7864" s="84"/>
      <c r="C7864" s="84"/>
      <c r="D7864" s="116"/>
      <c r="E7864" s="116"/>
    </row>
    <row r="7865" spans="1:5" x14ac:dyDescent="0.25">
      <c r="A7865" s="83"/>
      <c r="B7865" s="84"/>
      <c r="C7865" s="84"/>
      <c r="D7865" s="116"/>
      <c r="E7865" s="116"/>
    </row>
    <row r="7866" spans="1:5" x14ac:dyDescent="0.25">
      <c r="A7866" s="83"/>
      <c r="B7866" s="84"/>
      <c r="C7866" s="84"/>
      <c r="D7866" s="116"/>
      <c r="E7866" s="116"/>
    </row>
    <row r="7867" spans="1:5" x14ac:dyDescent="0.25">
      <c r="A7867" s="83"/>
      <c r="B7867" s="84"/>
      <c r="C7867" s="84"/>
      <c r="D7867" s="116"/>
      <c r="E7867" s="116"/>
    </row>
    <row r="7868" spans="1:5" x14ac:dyDescent="0.25">
      <c r="A7868" s="83"/>
      <c r="B7868" s="84"/>
      <c r="C7868" s="84"/>
      <c r="D7868" s="116"/>
      <c r="E7868" s="116"/>
    </row>
    <row r="7869" spans="1:5" x14ac:dyDescent="0.25">
      <c r="A7869" s="83"/>
      <c r="B7869" s="84"/>
      <c r="C7869" s="84"/>
      <c r="D7869" s="116"/>
      <c r="E7869" s="116"/>
    </row>
    <row r="7870" spans="1:5" x14ac:dyDescent="0.25">
      <c r="A7870" s="83"/>
      <c r="B7870" s="84"/>
      <c r="C7870" s="84"/>
      <c r="D7870" s="116"/>
      <c r="E7870" s="116"/>
    </row>
    <row r="7871" spans="1:5" x14ac:dyDescent="0.25">
      <c r="A7871" s="83"/>
      <c r="B7871" s="84"/>
      <c r="C7871" s="84"/>
      <c r="D7871" s="116"/>
      <c r="E7871" s="116"/>
    </row>
    <row r="7872" spans="1:5" x14ac:dyDescent="0.25">
      <c r="A7872" s="83"/>
      <c r="B7872" s="84"/>
      <c r="C7872" s="84"/>
      <c r="D7872" s="116"/>
      <c r="E7872" s="116"/>
    </row>
    <row r="7873" spans="1:5" x14ac:dyDescent="0.25">
      <c r="A7873" s="83"/>
      <c r="B7873" s="84"/>
      <c r="C7873" s="84"/>
      <c r="D7873" s="116"/>
      <c r="E7873" s="116"/>
    </row>
    <row r="7874" spans="1:5" x14ac:dyDescent="0.25">
      <c r="A7874" s="83"/>
      <c r="B7874" s="84"/>
      <c r="C7874" s="84"/>
      <c r="D7874" s="116"/>
      <c r="E7874" s="116"/>
    </row>
    <row r="7875" spans="1:5" x14ac:dyDescent="0.25">
      <c r="A7875" s="83"/>
      <c r="B7875" s="84"/>
      <c r="C7875" s="84"/>
      <c r="D7875" s="116"/>
      <c r="E7875" s="116"/>
    </row>
    <row r="7876" spans="1:5" x14ac:dyDescent="0.25">
      <c r="A7876" s="83"/>
      <c r="B7876" s="84"/>
      <c r="C7876" s="84"/>
      <c r="D7876" s="116"/>
      <c r="E7876" s="116"/>
    </row>
    <row r="7877" spans="1:5" x14ac:dyDescent="0.25">
      <c r="A7877" s="83"/>
      <c r="B7877" s="84"/>
      <c r="C7877" s="84"/>
      <c r="D7877" s="116"/>
      <c r="E7877" s="116"/>
    </row>
    <row r="7878" spans="1:5" x14ac:dyDescent="0.25">
      <c r="A7878" s="83"/>
      <c r="B7878" s="84"/>
      <c r="C7878" s="84"/>
      <c r="D7878" s="116"/>
      <c r="E7878" s="116"/>
    </row>
    <row r="7879" spans="1:5" x14ac:dyDescent="0.25">
      <c r="A7879" s="83"/>
      <c r="B7879" s="84"/>
      <c r="C7879" s="84"/>
      <c r="D7879" s="116"/>
      <c r="E7879" s="116"/>
    </row>
    <row r="7880" spans="1:5" x14ac:dyDescent="0.25">
      <c r="A7880" s="83"/>
      <c r="B7880" s="84"/>
      <c r="C7880" s="84"/>
      <c r="D7880" s="116"/>
      <c r="E7880" s="116"/>
    </row>
    <row r="7881" spans="1:5" x14ac:dyDescent="0.25">
      <c r="A7881" s="83"/>
      <c r="B7881" s="84"/>
      <c r="C7881" s="84"/>
      <c r="D7881" s="116"/>
      <c r="E7881" s="116"/>
    </row>
    <row r="7882" spans="1:5" x14ac:dyDescent="0.25">
      <c r="A7882" s="83"/>
      <c r="B7882" s="84"/>
      <c r="C7882" s="84"/>
      <c r="D7882" s="116"/>
      <c r="E7882" s="116"/>
    </row>
    <row r="7883" spans="1:5" x14ac:dyDescent="0.25">
      <c r="A7883" s="83"/>
      <c r="B7883" s="84"/>
      <c r="C7883" s="84"/>
      <c r="D7883" s="116"/>
      <c r="E7883" s="116"/>
    </row>
    <row r="7884" spans="1:5" x14ac:dyDescent="0.25">
      <c r="A7884" s="83"/>
      <c r="B7884" s="84"/>
      <c r="C7884" s="84"/>
      <c r="D7884" s="116"/>
      <c r="E7884" s="116"/>
    </row>
    <row r="7885" spans="1:5" x14ac:dyDescent="0.25">
      <c r="A7885" s="83"/>
      <c r="B7885" s="84"/>
      <c r="C7885" s="84"/>
      <c r="D7885" s="116"/>
      <c r="E7885" s="116"/>
    </row>
    <row r="7886" spans="1:5" x14ac:dyDescent="0.25">
      <c r="A7886" s="83"/>
      <c r="B7886" s="84"/>
      <c r="C7886" s="84"/>
      <c r="D7886" s="116"/>
      <c r="E7886" s="116"/>
    </row>
    <row r="7887" spans="1:5" x14ac:dyDescent="0.25">
      <c r="A7887" s="83"/>
      <c r="B7887" s="84"/>
      <c r="C7887" s="84"/>
      <c r="D7887" s="116"/>
      <c r="E7887" s="116"/>
    </row>
    <row r="7888" spans="1:5" x14ac:dyDescent="0.25">
      <c r="A7888" s="83"/>
      <c r="B7888" s="84"/>
      <c r="C7888" s="84"/>
      <c r="D7888" s="116"/>
      <c r="E7888" s="116"/>
    </row>
    <row r="7889" spans="1:5" x14ac:dyDescent="0.25">
      <c r="A7889" s="83"/>
      <c r="B7889" s="84"/>
      <c r="C7889" s="84"/>
      <c r="D7889" s="116"/>
      <c r="E7889" s="116"/>
    </row>
    <row r="7890" spans="1:5" x14ac:dyDescent="0.25">
      <c r="A7890" s="83"/>
      <c r="B7890" s="84"/>
      <c r="C7890" s="84"/>
      <c r="D7890" s="116"/>
      <c r="E7890" s="116"/>
    </row>
    <row r="7891" spans="1:5" x14ac:dyDescent="0.25">
      <c r="A7891" s="83"/>
      <c r="B7891" s="84"/>
      <c r="C7891" s="84"/>
      <c r="D7891" s="116"/>
      <c r="E7891" s="116"/>
    </row>
    <row r="7892" spans="1:5" x14ac:dyDescent="0.25">
      <c r="A7892" s="83"/>
      <c r="B7892" s="84"/>
      <c r="C7892" s="84"/>
      <c r="D7892" s="116"/>
      <c r="E7892" s="116"/>
    </row>
    <row r="7893" spans="1:5" x14ac:dyDescent="0.25">
      <c r="A7893" s="83"/>
      <c r="B7893" s="84"/>
      <c r="C7893" s="84"/>
      <c r="D7893" s="116"/>
      <c r="E7893" s="116"/>
    </row>
    <row r="7894" spans="1:5" x14ac:dyDescent="0.25">
      <c r="A7894" s="83"/>
      <c r="B7894" s="84"/>
      <c r="C7894" s="84"/>
      <c r="D7894" s="116"/>
      <c r="E7894" s="116"/>
    </row>
    <row r="7895" spans="1:5" x14ac:dyDescent="0.25">
      <c r="A7895" s="83"/>
      <c r="B7895" s="84"/>
      <c r="C7895" s="84"/>
      <c r="D7895" s="116"/>
      <c r="E7895" s="116"/>
    </row>
    <row r="7896" spans="1:5" x14ac:dyDescent="0.25">
      <c r="A7896" s="83"/>
      <c r="B7896" s="84"/>
      <c r="C7896" s="84"/>
      <c r="D7896" s="116"/>
      <c r="E7896" s="116"/>
    </row>
    <row r="7897" spans="1:5" x14ac:dyDescent="0.25">
      <c r="A7897" s="83"/>
      <c r="B7897" s="84"/>
      <c r="C7897" s="84"/>
      <c r="D7897" s="116"/>
      <c r="E7897" s="116"/>
    </row>
    <row r="7898" spans="1:5" x14ac:dyDescent="0.25">
      <c r="A7898" s="83"/>
      <c r="B7898" s="84"/>
      <c r="C7898" s="84"/>
      <c r="D7898" s="116"/>
      <c r="E7898" s="116"/>
    </row>
    <row r="7899" spans="1:5" x14ac:dyDescent="0.25">
      <c r="A7899" s="83"/>
      <c r="B7899" s="84"/>
      <c r="C7899" s="84"/>
      <c r="D7899" s="116"/>
      <c r="E7899" s="116"/>
    </row>
    <row r="7900" spans="1:5" x14ac:dyDescent="0.25">
      <c r="A7900" s="83"/>
      <c r="B7900" s="84"/>
      <c r="C7900" s="84"/>
      <c r="D7900" s="116"/>
      <c r="E7900" s="116"/>
    </row>
    <row r="7901" spans="1:5" x14ac:dyDescent="0.25">
      <c r="A7901" s="83"/>
      <c r="B7901" s="84"/>
      <c r="C7901" s="84"/>
      <c r="D7901" s="116"/>
      <c r="E7901" s="116"/>
    </row>
    <row r="7902" spans="1:5" x14ac:dyDescent="0.25">
      <c r="A7902" s="83"/>
      <c r="B7902" s="84"/>
      <c r="C7902" s="84"/>
      <c r="D7902" s="116"/>
      <c r="E7902" s="116"/>
    </row>
    <row r="7903" spans="1:5" x14ac:dyDescent="0.25">
      <c r="A7903" s="83"/>
      <c r="B7903" s="84"/>
      <c r="C7903" s="84"/>
      <c r="D7903" s="116"/>
      <c r="E7903" s="116"/>
    </row>
    <row r="7904" spans="1:5" x14ac:dyDescent="0.25">
      <c r="A7904" s="83"/>
      <c r="B7904" s="84"/>
      <c r="C7904" s="84"/>
      <c r="D7904" s="116"/>
      <c r="E7904" s="116"/>
    </row>
    <row r="7905" spans="1:5" x14ac:dyDescent="0.25">
      <c r="A7905" s="83"/>
      <c r="B7905" s="84"/>
      <c r="C7905" s="84"/>
      <c r="D7905" s="116"/>
      <c r="E7905" s="116"/>
    </row>
    <row r="7906" spans="1:5" x14ac:dyDescent="0.25">
      <c r="A7906" s="83"/>
      <c r="B7906" s="84"/>
      <c r="C7906" s="84"/>
      <c r="D7906" s="116"/>
      <c r="E7906" s="116"/>
    </row>
    <row r="7907" spans="1:5" x14ac:dyDescent="0.25">
      <c r="A7907" s="83"/>
      <c r="B7907" s="84"/>
      <c r="C7907" s="84"/>
      <c r="D7907" s="116"/>
      <c r="E7907" s="116"/>
    </row>
    <row r="7908" spans="1:5" x14ac:dyDescent="0.25">
      <c r="A7908" s="83"/>
      <c r="B7908" s="84"/>
      <c r="C7908" s="84"/>
      <c r="D7908" s="116"/>
      <c r="E7908" s="116"/>
    </row>
    <row r="7909" spans="1:5" x14ac:dyDescent="0.25">
      <c r="A7909" s="83"/>
      <c r="B7909" s="84"/>
      <c r="C7909" s="84"/>
      <c r="D7909" s="116"/>
      <c r="E7909" s="116"/>
    </row>
    <row r="7910" spans="1:5" x14ac:dyDescent="0.25">
      <c r="A7910" s="83"/>
      <c r="B7910" s="84"/>
      <c r="C7910" s="84"/>
      <c r="D7910" s="116"/>
      <c r="E7910" s="116"/>
    </row>
    <row r="7911" spans="1:5" x14ac:dyDescent="0.25">
      <c r="A7911" s="83"/>
      <c r="B7911" s="84"/>
      <c r="C7911" s="84"/>
      <c r="D7911" s="116"/>
      <c r="E7911" s="116"/>
    </row>
    <row r="7912" spans="1:5" x14ac:dyDescent="0.25">
      <c r="A7912" s="83"/>
      <c r="B7912" s="84"/>
      <c r="C7912" s="84"/>
      <c r="D7912" s="116"/>
      <c r="E7912" s="116"/>
    </row>
    <row r="7913" spans="1:5" x14ac:dyDescent="0.25">
      <c r="A7913" s="83"/>
      <c r="B7913" s="84"/>
      <c r="C7913" s="84"/>
      <c r="D7913" s="116"/>
      <c r="E7913" s="116"/>
    </row>
    <row r="7914" spans="1:5" x14ac:dyDescent="0.25">
      <c r="A7914" s="83"/>
      <c r="B7914" s="84"/>
      <c r="C7914" s="84"/>
      <c r="D7914" s="116"/>
      <c r="E7914" s="116"/>
    </row>
    <row r="7915" spans="1:5" x14ac:dyDescent="0.25">
      <c r="A7915" s="83"/>
      <c r="B7915" s="84"/>
      <c r="C7915" s="84"/>
      <c r="D7915" s="116"/>
      <c r="E7915" s="116"/>
    </row>
    <row r="7916" spans="1:5" x14ac:dyDescent="0.25">
      <c r="A7916" s="83"/>
      <c r="B7916" s="84"/>
      <c r="C7916" s="84"/>
      <c r="D7916" s="116"/>
      <c r="E7916" s="116"/>
    </row>
    <row r="7917" spans="1:5" x14ac:dyDescent="0.25">
      <c r="A7917" s="83"/>
      <c r="B7917" s="84"/>
      <c r="C7917" s="84"/>
      <c r="D7917" s="116"/>
      <c r="E7917" s="116"/>
    </row>
    <row r="7918" spans="1:5" x14ac:dyDescent="0.25">
      <c r="A7918" s="83"/>
      <c r="B7918" s="84"/>
      <c r="C7918" s="84"/>
      <c r="D7918" s="116"/>
      <c r="E7918" s="116"/>
    </row>
    <row r="7919" spans="1:5" x14ac:dyDescent="0.25">
      <c r="A7919" s="83"/>
      <c r="B7919" s="84"/>
      <c r="C7919" s="84"/>
      <c r="D7919" s="116"/>
      <c r="E7919" s="116"/>
    </row>
    <row r="7920" spans="1:5" x14ac:dyDescent="0.25">
      <c r="A7920" s="83"/>
      <c r="B7920" s="84"/>
      <c r="C7920" s="84"/>
      <c r="D7920" s="116"/>
      <c r="E7920" s="116"/>
    </row>
    <row r="7921" spans="1:5" x14ac:dyDescent="0.25">
      <c r="A7921" s="83"/>
      <c r="B7921" s="84"/>
      <c r="C7921" s="84"/>
      <c r="D7921" s="116"/>
      <c r="E7921" s="116"/>
    </row>
    <row r="7922" spans="1:5" x14ac:dyDescent="0.25">
      <c r="A7922" s="83"/>
      <c r="B7922" s="84"/>
      <c r="C7922" s="84"/>
      <c r="D7922" s="116"/>
      <c r="E7922" s="116"/>
    </row>
    <row r="7923" spans="1:5" x14ac:dyDescent="0.25">
      <c r="A7923" s="83"/>
      <c r="B7923" s="84"/>
      <c r="C7923" s="84"/>
      <c r="D7923" s="116"/>
      <c r="E7923" s="116"/>
    </row>
    <row r="7924" spans="1:5" x14ac:dyDescent="0.25">
      <c r="A7924" s="83"/>
      <c r="B7924" s="84"/>
      <c r="C7924" s="84"/>
      <c r="D7924" s="116"/>
      <c r="E7924" s="116"/>
    </row>
    <row r="7925" spans="1:5" x14ac:dyDescent="0.25">
      <c r="A7925" s="83"/>
      <c r="B7925" s="84"/>
      <c r="C7925" s="84"/>
      <c r="D7925" s="116"/>
      <c r="E7925" s="116"/>
    </row>
    <row r="7926" spans="1:5" x14ac:dyDescent="0.25">
      <c r="A7926" s="83"/>
      <c r="B7926" s="84"/>
      <c r="C7926" s="84"/>
      <c r="D7926" s="116"/>
      <c r="E7926" s="116"/>
    </row>
    <row r="7927" spans="1:5" x14ac:dyDescent="0.25">
      <c r="A7927" s="83"/>
      <c r="B7927" s="84"/>
      <c r="C7927" s="84"/>
      <c r="D7927" s="116"/>
      <c r="E7927" s="116"/>
    </row>
    <row r="7928" spans="1:5" x14ac:dyDescent="0.25">
      <c r="A7928" s="83"/>
      <c r="B7928" s="84"/>
      <c r="C7928" s="84"/>
      <c r="D7928" s="116"/>
      <c r="E7928" s="116"/>
    </row>
    <row r="7929" spans="1:5" x14ac:dyDescent="0.25">
      <c r="A7929" s="83"/>
      <c r="B7929" s="84"/>
      <c r="C7929" s="84"/>
      <c r="D7929" s="116"/>
      <c r="E7929" s="116"/>
    </row>
    <row r="7930" spans="1:5" x14ac:dyDescent="0.25">
      <c r="A7930" s="83"/>
      <c r="B7930" s="84"/>
      <c r="C7930" s="84"/>
      <c r="D7930" s="116"/>
      <c r="E7930" s="116"/>
    </row>
    <row r="7931" spans="1:5" x14ac:dyDescent="0.25">
      <c r="A7931" s="83"/>
      <c r="B7931" s="84"/>
      <c r="C7931" s="84"/>
      <c r="D7931" s="116"/>
      <c r="E7931" s="116"/>
    </row>
    <row r="7932" spans="1:5" x14ac:dyDescent="0.25">
      <c r="A7932" s="83"/>
      <c r="B7932" s="84"/>
      <c r="C7932" s="84"/>
      <c r="D7932" s="116"/>
      <c r="E7932" s="116"/>
    </row>
    <row r="7933" spans="1:5" x14ac:dyDescent="0.25">
      <c r="A7933" s="83"/>
      <c r="B7933" s="84"/>
      <c r="C7933" s="84"/>
      <c r="D7933" s="116"/>
      <c r="E7933" s="116"/>
    </row>
    <row r="7934" spans="1:5" x14ac:dyDescent="0.25">
      <c r="A7934" s="83"/>
      <c r="B7934" s="84"/>
      <c r="C7934" s="84"/>
      <c r="D7934" s="116"/>
      <c r="E7934" s="116"/>
    </row>
    <row r="7935" spans="1:5" x14ac:dyDescent="0.25">
      <c r="A7935" s="83"/>
      <c r="B7935" s="84"/>
      <c r="C7935" s="84"/>
      <c r="D7935" s="116"/>
      <c r="E7935" s="116"/>
    </row>
    <row r="7936" spans="1:5" x14ac:dyDescent="0.25">
      <c r="A7936" s="83"/>
      <c r="B7936" s="84"/>
      <c r="C7936" s="84"/>
      <c r="D7936" s="116"/>
      <c r="E7936" s="116"/>
    </row>
    <row r="7937" spans="1:5" x14ac:dyDescent="0.25">
      <c r="A7937" s="83"/>
      <c r="B7937" s="84"/>
      <c r="C7937" s="84"/>
      <c r="D7937" s="116"/>
      <c r="E7937" s="116"/>
    </row>
    <row r="7938" spans="1:5" x14ac:dyDescent="0.25">
      <c r="A7938" s="83"/>
      <c r="B7938" s="84"/>
      <c r="C7938" s="84"/>
      <c r="D7938" s="116"/>
      <c r="E7938" s="116"/>
    </row>
    <row r="7939" spans="1:5" x14ac:dyDescent="0.25">
      <c r="A7939" s="83"/>
      <c r="B7939" s="84"/>
      <c r="C7939" s="84"/>
      <c r="D7939" s="116"/>
      <c r="E7939" s="116"/>
    </row>
    <row r="7940" spans="1:5" x14ac:dyDescent="0.25">
      <c r="A7940" s="83"/>
      <c r="B7940" s="84"/>
      <c r="C7940" s="84"/>
      <c r="D7940" s="116"/>
      <c r="E7940" s="116"/>
    </row>
    <row r="7941" spans="1:5" x14ac:dyDescent="0.25">
      <c r="A7941" s="83"/>
      <c r="B7941" s="84"/>
      <c r="C7941" s="84"/>
      <c r="D7941" s="116"/>
      <c r="E7941" s="116"/>
    </row>
    <row r="7942" spans="1:5" x14ac:dyDescent="0.25">
      <c r="A7942" s="83"/>
      <c r="B7942" s="84"/>
      <c r="C7942" s="84"/>
      <c r="D7942" s="116"/>
      <c r="E7942" s="116"/>
    </row>
    <row r="7943" spans="1:5" x14ac:dyDescent="0.25">
      <c r="A7943" s="83"/>
      <c r="B7943" s="84"/>
      <c r="C7943" s="84"/>
      <c r="D7943" s="116"/>
      <c r="E7943" s="116"/>
    </row>
    <row r="7944" spans="1:5" x14ac:dyDescent="0.25">
      <c r="A7944" s="83"/>
      <c r="B7944" s="84"/>
      <c r="C7944" s="84"/>
      <c r="D7944" s="116"/>
      <c r="E7944" s="116"/>
    </row>
    <row r="7945" spans="1:5" x14ac:dyDescent="0.25">
      <c r="A7945" s="83"/>
      <c r="B7945" s="84"/>
      <c r="C7945" s="84"/>
      <c r="D7945" s="116"/>
      <c r="E7945" s="116"/>
    </row>
    <row r="7946" spans="1:5" x14ac:dyDescent="0.25">
      <c r="A7946" s="83"/>
      <c r="B7946" s="84"/>
      <c r="C7946" s="84"/>
      <c r="D7946" s="116"/>
      <c r="E7946" s="116"/>
    </row>
    <row r="7947" spans="1:5" x14ac:dyDescent="0.25">
      <c r="A7947" s="83"/>
      <c r="B7947" s="84"/>
      <c r="C7947" s="84"/>
      <c r="D7947" s="116"/>
      <c r="E7947" s="116"/>
    </row>
    <row r="7948" spans="1:5" x14ac:dyDescent="0.25">
      <c r="A7948" s="83"/>
      <c r="B7948" s="84"/>
      <c r="C7948" s="84"/>
      <c r="D7948" s="116"/>
      <c r="E7948" s="116"/>
    </row>
    <row r="7949" spans="1:5" x14ac:dyDescent="0.25">
      <c r="A7949" s="83"/>
      <c r="B7949" s="84"/>
      <c r="C7949" s="84"/>
      <c r="D7949" s="116"/>
      <c r="E7949" s="116"/>
    </row>
    <row r="7950" spans="1:5" x14ac:dyDescent="0.25">
      <c r="A7950" s="83"/>
      <c r="B7950" s="84"/>
      <c r="C7950" s="84"/>
      <c r="D7950" s="116"/>
      <c r="E7950" s="116"/>
    </row>
    <row r="7951" spans="1:5" x14ac:dyDescent="0.25">
      <c r="A7951" s="83"/>
      <c r="B7951" s="84"/>
      <c r="C7951" s="84"/>
      <c r="D7951" s="116"/>
      <c r="E7951" s="116"/>
    </row>
    <row r="7952" spans="1:5" x14ac:dyDescent="0.25">
      <c r="A7952" s="83"/>
      <c r="B7952" s="84"/>
      <c r="C7952" s="84"/>
      <c r="D7952" s="116"/>
      <c r="E7952" s="116"/>
    </row>
    <row r="7953" spans="1:5" x14ac:dyDescent="0.25">
      <c r="A7953" s="83"/>
      <c r="B7953" s="84"/>
      <c r="C7953" s="84"/>
      <c r="D7953" s="116"/>
      <c r="E7953" s="116"/>
    </row>
    <row r="7954" spans="1:5" x14ac:dyDescent="0.25">
      <c r="A7954" s="83"/>
      <c r="B7954" s="84"/>
      <c r="C7954" s="84"/>
      <c r="D7954" s="116"/>
      <c r="E7954" s="116"/>
    </row>
    <row r="7955" spans="1:5" x14ac:dyDescent="0.25">
      <c r="A7955" s="83"/>
      <c r="B7955" s="84"/>
      <c r="C7955" s="84"/>
      <c r="D7955" s="116"/>
      <c r="E7955" s="116"/>
    </row>
    <row r="7956" spans="1:5" x14ac:dyDescent="0.25">
      <c r="A7956" s="83"/>
      <c r="B7956" s="84"/>
      <c r="C7956" s="84"/>
      <c r="D7956" s="116"/>
      <c r="E7956" s="116"/>
    </row>
    <row r="7957" spans="1:5" x14ac:dyDescent="0.25">
      <c r="A7957" s="83"/>
      <c r="B7957" s="84"/>
      <c r="C7957" s="84"/>
      <c r="D7957" s="116"/>
      <c r="E7957" s="116"/>
    </row>
    <row r="7958" spans="1:5" x14ac:dyDescent="0.25">
      <c r="A7958" s="83"/>
      <c r="B7958" s="84"/>
      <c r="C7958" s="84"/>
      <c r="D7958" s="116"/>
      <c r="E7958" s="116"/>
    </row>
    <row r="7959" spans="1:5" x14ac:dyDescent="0.25">
      <c r="A7959" s="83"/>
      <c r="B7959" s="84"/>
      <c r="C7959" s="84"/>
      <c r="D7959" s="116"/>
      <c r="E7959" s="116"/>
    </row>
    <row r="7960" spans="1:5" x14ac:dyDescent="0.25">
      <c r="A7960" s="83"/>
      <c r="B7960" s="84"/>
      <c r="C7960" s="84"/>
      <c r="D7960" s="116"/>
      <c r="E7960" s="116"/>
    </row>
    <row r="7961" spans="1:5" x14ac:dyDescent="0.25">
      <c r="A7961" s="83"/>
      <c r="B7961" s="84"/>
      <c r="C7961" s="84"/>
      <c r="D7961" s="116"/>
      <c r="E7961" s="116"/>
    </row>
    <row r="7962" spans="1:5" x14ac:dyDescent="0.25">
      <c r="A7962" s="83"/>
      <c r="B7962" s="84"/>
      <c r="C7962" s="84"/>
      <c r="D7962" s="116"/>
      <c r="E7962" s="116"/>
    </row>
    <row r="7963" spans="1:5" x14ac:dyDescent="0.25">
      <c r="A7963" s="83"/>
      <c r="B7963" s="84"/>
      <c r="C7963" s="84"/>
      <c r="D7963" s="116"/>
      <c r="E7963" s="116"/>
    </row>
    <row r="7964" spans="1:5" x14ac:dyDescent="0.25">
      <c r="A7964" s="83"/>
      <c r="B7964" s="84"/>
      <c r="C7964" s="84"/>
      <c r="D7964" s="116"/>
      <c r="E7964" s="116"/>
    </row>
    <row r="7965" spans="1:5" x14ac:dyDescent="0.25">
      <c r="A7965" s="83"/>
      <c r="B7965" s="84"/>
      <c r="C7965" s="84"/>
      <c r="D7965" s="116"/>
      <c r="E7965" s="116"/>
    </row>
    <row r="7966" spans="1:5" x14ac:dyDescent="0.25">
      <c r="A7966" s="83"/>
      <c r="B7966" s="84"/>
      <c r="C7966" s="84"/>
      <c r="D7966" s="116"/>
      <c r="E7966" s="116"/>
    </row>
    <row r="7967" spans="1:5" x14ac:dyDescent="0.25">
      <c r="A7967" s="83"/>
      <c r="B7967" s="84"/>
      <c r="C7967" s="84"/>
      <c r="D7967" s="116"/>
      <c r="E7967" s="116"/>
    </row>
    <row r="7968" spans="1:5" x14ac:dyDescent="0.25">
      <c r="A7968" s="83"/>
      <c r="B7968" s="84"/>
      <c r="C7968" s="84"/>
      <c r="D7968" s="116"/>
      <c r="E7968" s="116"/>
    </row>
    <row r="7969" spans="1:5" x14ac:dyDescent="0.25">
      <c r="A7969" s="83"/>
      <c r="B7969" s="84"/>
      <c r="C7969" s="84"/>
      <c r="D7969" s="116"/>
      <c r="E7969" s="116"/>
    </row>
    <row r="7970" spans="1:5" x14ac:dyDescent="0.25">
      <c r="A7970" s="83"/>
      <c r="B7970" s="84"/>
      <c r="C7970" s="84"/>
      <c r="D7970" s="116"/>
      <c r="E7970" s="116"/>
    </row>
    <row r="7971" spans="1:5" x14ac:dyDescent="0.25">
      <c r="A7971" s="83"/>
      <c r="B7971" s="84"/>
      <c r="C7971" s="84"/>
      <c r="D7971" s="116"/>
      <c r="E7971" s="116"/>
    </row>
    <row r="7972" spans="1:5" x14ac:dyDescent="0.25">
      <c r="A7972" s="83"/>
      <c r="B7972" s="84"/>
      <c r="C7972" s="84"/>
      <c r="D7972" s="116"/>
      <c r="E7972" s="116"/>
    </row>
    <row r="7973" spans="1:5" x14ac:dyDescent="0.25">
      <c r="A7973" s="83"/>
      <c r="B7973" s="84"/>
      <c r="C7973" s="84"/>
      <c r="D7973" s="116"/>
      <c r="E7973" s="116"/>
    </row>
    <row r="7974" spans="1:5" x14ac:dyDescent="0.25">
      <c r="A7974" s="83"/>
      <c r="B7974" s="84"/>
      <c r="C7974" s="84"/>
      <c r="D7974" s="116"/>
      <c r="E7974" s="116"/>
    </row>
    <row r="7975" spans="1:5" x14ac:dyDescent="0.25">
      <c r="A7975" s="83"/>
      <c r="B7975" s="84"/>
      <c r="C7975" s="84"/>
      <c r="D7975" s="116"/>
      <c r="E7975" s="116"/>
    </row>
    <row r="7976" spans="1:5" x14ac:dyDescent="0.25">
      <c r="A7976" s="83"/>
      <c r="B7976" s="84"/>
      <c r="C7976" s="84"/>
      <c r="D7976" s="116"/>
      <c r="E7976" s="116"/>
    </row>
    <row r="7977" spans="1:5" x14ac:dyDescent="0.25">
      <c r="A7977" s="83"/>
      <c r="B7977" s="84"/>
      <c r="C7977" s="84"/>
      <c r="D7977" s="116"/>
      <c r="E7977" s="116"/>
    </row>
    <row r="7978" spans="1:5" x14ac:dyDescent="0.25">
      <c r="A7978" s="83"/>
      <c r="B7978" s="84"/>
      <c r="C7978" s="84"/>
      <c r="D7978" s="116"/>
      <c r="E7978" s="116"/>
    </row>
    <row r="7979" spans="1:5" x14ac:dyDescent="0.25">
      <c r="A7979" s="83"/>
      <c r="B7979" s="84"/>
      <c r="C7979" s="84"/>
      <c r="D7979" s="116"/>
      <c r="E7979" s="116"/>
    </row>
    <row r="7980" spans="1:5" x14ac:dyDescent="0.25">
      <c r="A7980" s="83"/>
      <c r="B7980" s="84"/>
      <c r="C7980" s="84"/>
      <c r="D7980" s="116"/>
      <c r="E7980" s="116"/>
    </row>
    <row r="7981" spans="1:5" x14ac:dyDescent="0.25">
      <c r="A7981" s="83"/>
      <c r="B7981" s="84"/>
      <c r="C7981" s="84"/>
      <c r="D7981" s="116"/>
      <c r="E7981" s="116"/>
    </row>
    <row r="7982" spans="1:5" x14ac:dyDescent="0.25">
      <c r="A7982" s="83"/>
      <c r="B7982" s="84"/>
      <c r="C7982" s="84"/>
      <c r="D7982" s="116"/>
      <c r="E7982" s="116"/>
    </row>
    <row r="7983" spans="1:5" x14ac:dyDescent="0.25">
      <c r="A7983" s="83"/>
      <c r="B7983" s="84"/>
      <c r="C7983" s="84"/>
      <c r="D7983" s="116"/>
      <c r="E7983" s="116"/>
    </row>
    <row r="7984" spans="1:5" x14ac:dyDescent="0.25">
      <c r="A7984" s="83"/>
      <c r="B7984" s="84"/>
      <c r="C7984" s="84"/>
      <c r="D7984" s="116"/>
      <c r="E7984" s="116"/>
    </row>
    <row r="7985" spans="1:5" x14ac:dyDescent="0.25">
      <c r="A7985" s="83"/>
      <c r="B7985" s="84"/>
      <c r="C7985" s="84"/>
      <c r="D7985" s="116"/>
      <c r="E7985" s="116"/>
    </row>
    <row r="7986" spans="1:5" x14ac:dyDescent="0.25">
      <c r="A7986" s="83"/>
      <c r="B7986" s="84"/>
      <c r="C7986" s="84"/>
      <c r="D7986" s="116"/>
      <c r="E7986" s="116"/>
    </row>
    <row r="7987" spans="1:5" x14ac:dyDescent="0.25">
      <c r="A7987" s="83"/>
      <c r="B7987" s="84"/>
      <c r="C7987" s="84"/>
      <c r="D7987" s="116"/>
      <c r="E7987" s="116"/>
    </row>
    <row r="7988" spans="1:5" x14ac:dyDescent="0.25">
      <c r="A7988" s="83"/>
      <c r="B7988" s="84"/>
      <c r="C7988" s="84"/>
      <c r="D7988" s="116"/>
      <c r="E7988" s="116"/>
    </row>
    <row r="7989" spans="1:5" x14ac:dyDescent="0.25">
      <c r="A7989" s="83"/>
      <c r="B7989" s="84"/>
      <c r="C7989" s="84"/>
      <c r="D7989" s="116"/>
      <c r="E7989" s="116"/>
    </row>
    <row r="7990" spans="1:5" x14ac:dyDescent="0.25">
      <c r="A7990" s="83"/>
      <c r="B7990" s="84"/>
      <c r="C7990" s="84"/>
      <c r="D7990" s="116"/>
      <c r="E7990" s="116"/>
    </row>
    <row r="7991" spans="1:5" x14ac:dyDescent="0.25">
      <c r="A7991" s="83"/>
      <c r="B7991" s="84"/>
      <c r="C7991" s="84"/>
      <c r="D7991" s="116"/>
      <c r="E7991" s="116"/>
    </row>
    <row r="7992" spans="1:5" x14ac:dyDescent="0.25">
      <c r="A7992" s="83"/>
      <c r="B7992" s="84"/>
      <c r="C7992" s="84"/>
      <c r="D7992" s="116"/>
      <c r="E7992" s="116"/>
    </row>
    <row r="7993" spans="1:5" x14ac:dyDescent="0.25">
      <c r="A7993" s="83"/>
      <c r="B7993" s="84"/>
      <c r="C7993" s="84"/>
      <c r="D7993" s="116"/>
      <c r="E7993" s="116"/>
    </row>
    <row r="7994" spans="1:5" x14ac:dyDescent="0.25">
      <c r="A7994" s="83"/>
      <c r="B7994" s="84"/>
      <c r="C7994" s="84"/>
      <c r="D7994" s="116"/>
      <c r="E7994" s="116"/>
    </row>
    <row r="7995" spans="1:5" x14ac:dyDescent="0.25">
      <c r="A7995" s="83"/>
      <c r="B7995" s="84"/>
      <c r="C7995" s="84"/>
      <c r="D7995" s="116"/>
      <c r="E7995" s="116"/>
    </row>
    <row r="7996" spans="1:5" x14ac:dyDescent="0.25">
      <c r="A7996" s="83"/>
      <c r="B7996" s="84"/>
      <c r="C7996" s="84"/>
      <c r="D7996" s="116"/>
      <c r="E7996" s="116"/>
    </row>
    <row r="7997" spans="1:5" x14ac:dyDescent="0.25">
      <c r="A7997" s="83"/>
      <c r="B7997" s="84"/>
      <c r="C7997" s="84"/>
      <c r="D7997" s="116"/>
      <c r="E7997" s="116"/>
    </row>
    <row r="7998" spans="1:5" x14ac:dyDescent="0.25">
      <c r="A7998" s="83"/>
      <c r="B7998" s="84"/>
      <c r="C7998" s="84"/>
      <c r="D7998" s="116"/>
      <c r="E7998" s="116"/>
    </row>
    <row r="7999" spans="1:5" x14ac:dyDescent="0.25">
      <c r="A7999" s="83"/>
      <c r="B7999" s="84"/>
      <c r="C7999" s="84"/>
      <c r="D7999" s="116"/>
      <c r="E7999" s="116"/>
    </row>
    <row r="8000" spans="1:5" x14ac:dyDescent="0.25">
      <c r="A8000" s="83"/>
      <c r="B8000" s="84"/>
      <c r="C8000" s="84"/>
      <c r="D8000" s="116"/>
      <c r="E8000" s="116"/>
    </row>
    <row r="8001" spans="1:5" x14ac:dyDescent="0.25">
      <c r="A8001" s="83"/>
      <c r="B8001" s="84"/>
      <c r="C8001" s="84"/>
      <c r="D8001" s="116"/>
      <c r="E8001" s="116"/>
    </row>
    <row r="8002" spans="1:5" x14ac:dyDescent="0.25">
      <c r="A8002" s="83"/>
      <c r="B8002" s="84"/>
      <c r="C8002" s="84"/>
      <c r="D8002" s="116"/>
      <c r="E8002" s="116"/>
    </row>
    <row r="8003" spans="1:5" x14ac:dyDescent="0.25">
      <c r="A8003" s="83"/>
      <c r="B8003" s="84"/>
      <c r="C8003" s="84"/>
      <c r="D8003" s="116"/>
      <c r="E8003" s="116"/>
    </row>
    <row r="8004" spans="1:5" x14ac:dyDescent="0.25">
      <c r="A8004" s="83"/>
      <c r="B8004" s="84"/>
      <c r="C8004" s="84"/>
      <c r="D8004" s="116"/>
      <c r="E8004" s="116"/>
    </row>
    <row r="8005" spans="1:5" x14ac:dyDescent="0.25">
      <c r="A8005" s="83"/>
      <c r="B8005" s="84"/>
      <c r="C8005" s="84"/>
      <c r="D8005" s="116"/>
      <c r="E8005" s="116"/>
    </row>
    <row r="8006" spans="1:5" x14ac:dyDescent="0.25">
      <c r="A8006" s="83"/>
      <c r="B8006" s="84"/>
      <c r="C8006" s="84"/>
      <c r="D8006" s="116"/>
      <c r="E8006" s="116"/>
    </row>
    <row r="8007" spans="1:5" x14ac:dyDescent="0.25">
      <c r="A8007" s="83"/>
      <c r="B8007" s="84"/>
      <c r="C8007" s="84"/>
      <c r="D8007" s="116"/>
      <c r="E8007" s="116"/>
    </row>
    <row r="8008" spans="1:5" x14ac:dyDescent="0.25">
      <c r="A8008" s="83"/>
      <c r="B8008" s="84"/>
      <c r="C8008" s="84"/>
      <c r="D8008" s="116"/>
      <c r="E8008" s="116"/>
    </row>
    <row r="8009" spans="1:5" x14ac:dyDescent="0.25">
      <c r="A8009" s="83"/>
      <c r="B8009" s="84"/>
      <c r="C8009" s="84"/>
      <c r="D8009" s="116"/>
      <c r="E8009" s="116"/>
    </row>
    <row r="8010" spans="1:5" x14ac:dyDescent="0.25">
      <c r="A8010" s="83"/>
      <c r="B8010" s="84"/>
      <c r="C8010" s="84"/>
      <c r="D8010" s="116"/>
      <c r="E8010" s="116"/>
    </row>
    <row r="8011" spans="1:5" x14ac:dyDescent="0.25">
      <c r="A8011" s="83"/>
      <c r="B8011" s="84"/>
      <c r="C8011" s="84"/>
      <c r="D8011" s="116"/>
      <c r="E8011" s="116"/>
    </row>
    <row r="8012" spans="1:5" x14ac:dyDescent="0.25">
      <c r="A8012" s="83"/>
      <c r="B8012" s="84"/>
      <c r="C8012" s="84"/>
      <c r="D8012" s="116"/>
      <c r="E8012" s="116"/>
    </row>
    <row r="8013" spans="1:5" x14ac:dyDescent="0.25">
      <c r="A8013" s="83"/>
      <c r="B8013" s="84"/>
      <c r="C8013" s="84"/>
      <c r="D8013" s="116"/>
      <c r="E8013" s="116"/>
    </row>
    <row r="8014" spans="1:5" x14ac:dyDescent="0.25">
      <c r="A8014" s="83"/>
      <c r="B8014" s="84"/>
      <c r="C8014" s="84"/>
      <c r="D8014" s="116"/>
      <c r="E8014" s="116"/>
    </row>
    <row r="8015" spans="1:5" x14ac:dyDescent="0.25">
      <c r="A8015" s="83"/>
      <c r="B8015" s="84"/>
      <c r="C8015" s="84"/>
      <c r="D8015" s="116"/>
      <c r="E8015" s="116"/>
    </row>
    <row r="8016" spans="1:5" x14ac:dyDescent="0.25">
      <c r="A8016" s="83"/>
      <c r="B8016" s="84"/>
      <c r="C8016" s="84"/>
      <c r="D8016" s="116"/>
      <c r="E8016" s="116"/>
    </row>
    <row r="8017" spans="1:5" x14ac:dyDescent="0.25">
      <c r="A8017" s="83"/>
      <c r="B8017" s="84"/>
      <c r="C8017" s="84"/>
      <c r="D8017" s="116"/>
      <c r="E8017" s="116"/>
    </row>
    <row r="8018" spans="1:5" x14ac:dyDescent="0.25">
      <c r="A8018" s="83"/>
      <c r="B8018" s="84"/>
      <c r="C8018" s="84"/>
      <c r="D8018" s="116"/>
      <c r="E8018" s="116"/>
    </row>
    <row r="8019" spans="1:5" x14ac:dyDescent="0.25">
      <c r="A8019" s="83"/>
      <c r="B8019" s="84"/>
      <c r="C8019" s="84"/>
      <c r="D8019" s="116"/>
      <c r="E8019" s="116"/>
    </row>
    <row r="8020" spans="1:5" x14ac:dyDescent="0.25">
      <c r="A8020" s="83"/>
      <c r="B8020" s="84"/>
      <c r="C8020" s="84"/>
      <c r="D8020" s="116"/>
      <c r="E8020" s="116"/>
    </row>
    <row r="8021" spans="1:5" x14ac:dyDescent="0.25">
      <c r="A8021" s="83"/>
      <c r="B8021" s="84"/>
      <c r="C8021" s="84"/>
      <c r="D8021" s="116"/>
      <c r="E8021" s="116"/>
    </row>
    <row r="8022" spans="1:5" x14ac:dyDescent="0.25">
      <c r="A8022" s="83"/>
      <c r="B8022" s="84"/>
      <c r="C8022" s="84"/>
      <c r="D8022" s="116"/>
      <c r="E8022" s="116"/>
    </row>
    <row r="8023" spans="1:5" x14ac:dyDescent="0.25">
      <c r="A8023" s="83"/>
      <c r="B8023" s="84"/>
      <c r="C8023" s="84"/>
      <c r="D8023" s="116"/>
      <c r="E8023" s="116"/>
    </row>
    <row r="8024" spans="1:5" x14ac:dyDescent="0.25">
      <c r="A8024" s="83"/>
      <c r="B8024" s="84"/>
      <c r="C8024" s="84"/>
      <c r="D8024" s="116"/>
      <c r="E8024" s="116"/>
    </row>
    <row r="8025" spans="1:5" x14ac:dyDescent="0.25">
      <c r="A8025" s="83"/>
      <c r="B8025" s="84"/>
      <c r="C8025" s="84"/>
      <c r="D8025" s="116"/>
      <c r="E8025" s="116"/>
    </row>
    <row r="8026" spans="1:5" x14ac:dyDescent="0.25">
      <c r="A8026" s="83"/>
      <c r="B8026" s="84"/>
      <c r="C8026" s="84"/>
      <c r="D8026" s="116"/>
      <c r="E8026" s="116"/>
    </row>
    <row r="8027" spans="1:5" x14ac:dyDescent="0.25">
      <c r="A8027" s="83"/>
      <c r="B8027" s="84"/>
      <c r="C8027" s="84"/>
      <c r="D8027" s="116"/>
      <c r="E8027" s="116"/>
    </row>
    <row r="8028" spans="1:5" x14ac:dyDescent="0.25">
      <c r="A8028" s="83"/>
      <c r="B8028" s="84"/>
      <c r="C8028" s="84"/>
      <c r="D8028" s="116"/>
      <c r="E8028" s="116"/>
    </row>
    <row r="8029" spans="1:5" x14ac:dyDescent="0.25">
      <c r="A8029" s="83"/>
      <c r="B8029" s="84"/>
      <c r="C8029" s="84"/>
      <c r="D8029" s="116"/>
      <c r="E8029" s="116"/>
    </row>
    <row r="8030" spans="1:5" x14ac:dyDescent="0.25">
      <c r="A8030" s="83"/>
      <c r="B8030" s="84"/>
      <c r="C8030" s="84"/>
      <c r="D8030" s="116"/>
      <c r="E8030" s="116"/>
    </row>
    <row r="8031" spans="1:5" x14ac:dyDescent="0.25">
      <c r="A8031" s="83"/>
      <c r="B8031" s="84"/>
      <c r="C8031" s="84"/>
      <c r="D8031" s="116"/>
      <c r="E8031" s="116"/>
    </row>
    <row r="8032" spans="1:5" x14ac:dyDescent="0.25">
      <c r="A8032" s="83"/>
      <c r="B8032" s="84"/>
      <c r="C8032" s="84"/>
      <c r="D8032" s="116"/>
      <c r="E8032" s="116"/>
    </row>
    <row r="8033" spans="1:5" x14ac:dyDescent="0.25">
      <c r="A8033" s="83"/>
      <c r="B8033" s="84"/>
      <c r="C8033" s="84"/>
      <c r="D8033" s="116"/>
      <c r="E8033" s="116"/>
    </row>
    <row r="8034" spans="1:5" x14ac:dyDescent="0.25">
      <c r="A8034" s="83"/>
      <c r="B8034" s="84"/>
      <c r="C8034" s="84"/>
      <c r="D8034" s="116"/>
      <c r="E8034" s="116"/>
    </row>
    <row r="8035" spans="1:5" x14ac:dyDescent="0.25">
      <c r="A8035" s="83"/>
      <c r="B8035" s="84"/>
      <c r="C8035" s="84"/>
      <c r="D8035" s="116"/>
      <c r="E8035" s="116"/>
    </row>
    <row r="8036" spans="1:5" x14ac:dyDescent="0.25">
      <c r="A8036" s="83"/>
      <c r="B8036" s="84"/>
      <c r="C8036" s="84"/>
      <c r="D8036" s="116"/>
      <c r="E8036" s="116"/>
    </row>
    <row r="8037" spans="1:5" x14ac:dyDescent="0.25">
      <c r="A8037" s="83"/>
      <c r="B8037" s="84"/>
      <c r="C8037" s="84"/>
      <c r="D8037" s="116"/>
      <c r="E8037" s="116"/>
    </row>
    <row r="8038" spans="1:5" x14ac:dyDescent="0.25">
      <c r="A8038" s="83"/>
      <c r="B8038" s="84"/>
      <c r="C8038" s="84"/>
      <c r="D8038" s="116"/>
      <c r="E8038" s="116"/>
    </row>
    <row r="8039" spans="1:5" x14ac:dyDescent="0.25">
      <c r="A8039" s="83"/>
      <c r="B8039" s="84"/>
      <c r="C8039" s="84"/>
      <c r="D8039" s="116"/>
      <c r="E8039" s="116"/>
    </row>
    <row r="8040" spans="1:5" x14ac:dyDescent="0.25">
      <c r="A8040" s="83"/>
      <c r="B8040" s="84"/>
      <c r="C8040" s="84"/>
      <c r="D8040" s="116"/>
      <c r="E8040" s="116"/>
    </row>
    <row r="8041" spans="1:5" x14ac:dyDescent="0.25">
      <c r="A8041" s="83"/>
      <c r="B8041" s="84"/>
      <c r="C8041" s="84"/>
      <c r="D8041" s="116"/>
      <c r="E8041" s="116"/>
    </row>
    <row r="8042" spans="1:5" x14ac:dyDescent="0.25">
      <c r="A8042" s="83"/>
      <c r="B8042" s="84"/>
      <c r="C8042" s="84"/>
      <c r="D8042" s="116"/>
      <c r="E8042" s="116"/>
    </row>
    <row r="8043" spans="1:5" x14ac:dyDescent="0.25">
      <c r="A8043" s="83"/>
      <c r="B8043" s="84"/>
      <c r="C8043" s="84"/>
      <c r="D8043" s="116"/>
      <c r="E8043" s="116"/>
    </row>
    <row r="8044" spans="1:5" x14ac:dyDescent="0.25">
      <c r="A8044" s="83"/>
      <c r="B8044" s="84"/>
      <c r="C8044" s="84"/>
      <c r="D8044" s="116"/>
      <c r="E8044" s="116"/>
    </row>
    <row r="8045" spans="1:5" x14ac:dyDescent="0.25">
      <c r="A8045" s="83"/>
      <c r="B8045" s="84"/>
      <c r="C8045" s="84"/>
      <c r="D8045" s="116"/>
      <c r="E8045" s="116"/>
    </row>
    <row r="8046" spans="1:5" x14ac:dyDescent="0.25">
      <c r="A8046" s="83"/>
      <c r="B8046" s="84"/>
      <c r="C8046" s="84"/>
      <c r="D8046" s="116"/>
      <c r="E8046" s="116"/>
    </row>
    <row r="8047" spans="1:5" x14ac:dyDescent="0.25">
      <c r="A8047" s="83"/>
      <c r="B8047" s="84"/>
      <c r="C8047" s="84"/>
      <c r="D8047" s="116"/>
      <c r="E8047" s="116"/>
    </row>
    <row r="8048" spans="1:5" x14ac:dyDescent="0.25">
      <c r="A8048" s="83"/>
      <c r="B8048" s="84"/>
      <c r="C8048" s="84"/>
      <c r="D8048" s="116"/>
      <c r="E8048" s="116"/>
    </row>
    <row r="8049" spans="1:5" x14ac:dyDescent="0.25">
      <c r="A8049" s="83"/>
      <c r="B8049" s="84"/>
      <c r="C8049" s="84"/>
      <c r="D8049" s="116"/>
      <c r="E8049" s="116"/>
    </row>
    <row r="8050" spans="1:5" x14ac:dyDescent="0.25">
      <c r="A8050" s="83"/>
      <c r="B8050" s="84"/>
      <c r="C8050" s="84"/>
      <c r="D8050" s="116"/>
      <c r="E8050" s="116"/>
    </row>
    <row r="8051" spans="1:5" x14ac:dyDescent="0.25">
      <c r="A8051" s="83"/>
      <c r="B8051" s="84"/>
      <c r="C8051" s="84"/>
      <c r="D8051" s="116"/>
      <c r="E8051" s="116"/>
    </row>
    <row r="8052" spans="1:5" x14ac:dyDescent="0.25">
      <c r="A8052" s="83"/>
      <c r="B8052" s="84"/>
      <c r="C8052" s="84"/>
      <c r="D8052" s="116"/>
      <c r="E8052" s="116"/>
    </row>
    <row r="8053" spans="1:5" x14ac:dyDescent="0.25">
      <c r="A8053" s="83"/>
      <c r="B8053" s="84"/>
      <c r="C8053" s="84"/>
      <c r="D8053" s="116"/>
      <c r="E8053" s="116"/>
    </row>
    <row r="8054" spans="1:5" x14ac:dyDescent="0.25">
      <c r="A8054" s="83"/>
      <c r="B8054" s="84"/>
      <c r="C8054" s="84"/>
      <c r="D8054" s="116"/>
      <c r="E8054" s="116"/>
    </row>
    <row r="8055" spans="1:5" x14ac:dyDescent="0.25">
      <c r="A8055" s="83"/>
      <c r="B8055" s="84"/>
      <c r="C8055" s="84"/>
      <c r="D8055" s="116"/>
      <c r="E8055" s="116"/>
    </row>
    <row r="8056" spans="1:5" x14ac:dyDescent="0.25">
      <c r="A8056" s="83"/>
      <c r="B8056" s="84"/>
      <c r="C8056" s="84"/>
      <c r="D8056" s="116"/>
      <c r="E8056" s="116"/>
    </row>
    <row r="8057" spans="1:5" x14ac:dyDescent="0.25">
      <c r="A8057" s="83"/>
      <c r="B8057" s="84"/>
      <c r="C8057" s="84"/>
      <c r="D8057" s="116"/>
      <c r="E8057" s="116"/>
    </row>
    <row r="8058" spans="1:5" x14ac:dyDescent="0.25">
      <c r="A8058" s="83"/>
      <c r="B8058" s="84"/>
      <c r="C8058" s="84"/>
      <c r="D8058" s="116"/>
      <c r="E8058" s="116"/>
    </row>
    <row r="8059" spans="1:5" x14ac:dyDescent="0.25">
      <c r="A8059" s="83"/>
      <c r="B8059" s="84"/>
      <c r="C8059" s="84"/>
      <c r="D8059" s="116"/>
      <c r="E8059" s="116"/>
    </row>
    <row r="8060" spans="1:5" x14ac:dyDescent="0.25">
      <c r="A8060" s="83"/>
      <c r="B8060" s="84"/>
      <c r="C8060" s="84"/>
      <c r="D8060" s="116"/>
      <c r="E8060" s="116"/>
    </row>
    <row r="8061" spans="1:5" x14ac:dyDescent="0.25">
      <c r="A8061" s="83"/>
      <c r="B8061" s="84"/>
      <c r="C8061" s="84"/>
      <c r="D8061" s="116"/>
      <c r="E8061" s="116"/>
    </row>
    <row r="8062" spans="1:5" x14ac:dyDescent="0.25">
      <c r="A8062" s="83"/>
      <c r="B8062" s="84"/>
      <c r="C8062" s="84"/>
      <c r="D8062" s="116"/>
      <c r="E8062" s="116"/>
    </row>
    <row r="8063" spans="1:5" x14ac:dyDescent="0.25">
      <c r="A8063" s="83"/>
      <c r="B8063" s="84"/>
      <c r="C8063" s="84"/>
      <c r="D8063" s="116"/>
      <c r="E8063" s="116"/>
    </row>
    <row r="8064" spans="1:5" x14ac:dyDescent="0.25">
      <c r="A8064" s="83"/>
      <c r="B8064" s="84"/>
      <c r="C8064" s="84"/>
      <c r="D8064" s="116"/>
      <c r="E8064" s="116"/>
    </row>
    <row r="8065" spans="1:5" x14ac:dyDescent="0.25">
      <c r="A8065" s="83"/>
      <c r="B8065" s="84"/>
      <c r="C8065" s="84"/>
      <c r="D8065" s="116"/>
      <c r="E8065" s="116"/>
    </row>
    <row r="8066" spans="1:5" x14ac:dyDescent="0.25">
      <c r="A8066" s="83"/>
      <c r="B8066" s="84"/>
      <c r="C8066" s="84"/>
      <c r="D8066" s="116"/>
      <c r="E8066" s="116"/>
    </row>
    <row r="8067" spans="1:5" x14ac:dyDescent="0.25">
      <c r="A8067" s="83"/>
      <c r="B8067" s="84"/>
      <c r="C8067" s="84"/>
      <c r="D8067" s="116"/>
      <c r="E8067" s="116"/>
    </row>
    <row r="8068" spans="1:5" x14ac:dyDescent="0.25">
      <c r="A8068" s="83"/>
      <c r="B8068" s="84"/>
      <c r="C8068" s="84"/>
      <c r="D8068" s="116"/>
      <c r="E8068" s="116"/>
    </row>
    <row r="8069" spans="1:5" x14ac:dyDescent="0.25">
      <c r="A8069" s="83"/>
      <c r="B8069" s="84"/>
      <c r="C8069" s="84"/>
      <c r="D8069" s="116"/>
      <c r="E8069" s="116"/>
    </row>
    <row r="8070" spans="1:5" x14ac:dyDescent="0.25">
      <c r="A8070" s="83"/>
      <c r="B8070" s="84"/>
      <c r="C8070" s="84"/>
      <c r="D8070" s="116"/>
      <c r="E8070" s="116"/>
    </row>
    <row r="8071" spans="1:5" x14ac:dyDescent="0.25">
      <c r="A8071" s="83"/>
      <c r="B8071" s="84"/>
      <c r="C8071" s="84"/>
      <c r="D8071" s="116"/>
      <c r="E8071" s="116"/>
    </row>
    <row r="8072" spans="1:5" x14ac:dyDescent="0.25">
      <c r="A8072" s="83"/>
      <c r="B8072" s="84"/>
      <c r="C8072" s="84"/>
      <c r="D8072" s="116"/>
      <c r="E8072" s="116"/>
    </row>
    <row r="8073" spans="1:5" x14ac:dyDescent="0.25">
      <c r="A8073" s="83"/>
      <c r="B8073" s="84"/>
      <c r="C8073" s="84"/>
      <c r="D8073" s="116"/>
      <c r="E8073" s="116"/>
    </row>
    <row r="8074" spans="1:5" x14ac:dyDescent="0.25">
      <c r="A8074" s="83"/>
      <c r="B8074" s="84"/>
      <c r="C8074" s="84"/>
      <c r="D8074" s="116"/>
      <c r="E8074" s="116"/>
    </row>
    <row r="8075" spans="1:5" x14ac:dyDescent="0.25">
      <c r="A8075" s="83"/>
      <c r="B8075" s="84"/>
      <c r="C8075" s="84"/>
      <c r="D8075" s="116"/>
      <c r="E8075" s="116"/>
    </row>
    <row r="8076" spans="1:5" x14ac:dyDescent="0.25">
      <c r="A8076" s="83"/>
      <c r="B8076" s="84"/>
      <c r="C8076" s="84"/>
      <c r="D8076" s="116"/>
      <c r="E8076" s="116"/>
    </row>
    <row r="8077" spans="1:5" x14ac:dyDescent="0.25">
      <c r="A8077" s="83"/>
      <c r="B8077" s="84"/>
      <c r="C8077" s="84"/>
      <c r="D8077" s="116"/>
      <c r="E8077" s="116"/>
    </row>
    <row r="8078" spans="1:5" x14ac:dyDescent="0.25">
      <c r="A8078" s="83"/>
      <c r="B8078" s="84"/>
      <c r="C8078" s="84"/>
      <c r="D8078" s="116"/>
      <c r="E8078" s="116"/>
    </row>
    <row r="8079" spans="1:5" x14ac:dyDescent="0.25">
      <c r="A8079" s="83"/>
      <c r="B8079" s="84"/>
      <c r="C8079" s="84"/>
      <c r="D8079" s="116"/>
      <c r="E8079" s="116"/>
    </row>
    <row r="8080" spans="1:5" x14ac:dyDescent="0.25">
      <c r="A8080" s="83"/>
      <c r="B8080" s="84"/>
      <c r="C8080" s="84"/>
      <c r="D8080" s="116"/>
      <c r="E8080" s="116"/>
    </row>
    <row r="8081" spans="1:5" x14ac:dyDescent="0.25">
      <c r="A8081" s="83"/>
      <c r="B8081" s="84"/>
      <c r="C8081" s="84"/>
      <c r="D8081" s="116"/>
      <c r="E8081" s="116"/>
    </row>
    <row r="8082" spans="1:5" x14ac:dyDescent="0.25">
      <c r="A8082" s="83"/>
      <c r="B8082" s="84"/>
      <c r="C8082" s="84"/>
      <c r="D8082" s="116"/>
      <c r="E8082" s="116"/>
    </row>
    <row r="8083" spans="1:5" x14ac:dyDescent="0.25">
      <c r="A8083" s="83"/>
      <c r="B8083" s="84"/>
      <c r="C8083" s="84"/>
      <c r="D8083" s="116"/>
      <c r="E8083" s="116"/>
    </row>
    <row r="8084" spans="1:5" x14ac:dyDescent="0.25">
      <c r="A8084" s="83"/>
      <c r="B8084" s="84"/>
      <c r="C8084" s="84"/>
      <c r="D8084" s="116"/>
      <c r="E8084" s="116"/>
    </row>
    <row r="8085" spans="1:5" x14ac:dyDescent="0.25">
      <c r="A8085" s="83"/>
      <c r="B8085" s="84"/>
      <c r="C8085" s="84"/>
      <c r="D8085" s="116"/>
      <c r="E8085" s="116"/>
    </row>
    <row r="8086" spans="1:5" x14ac:dyDescent="0.25">
      <c r="A8086" s="83"/>
      <c r="B8086" s="84"/>
      <c r="C8086" s="84"/>
      <c r="D8086" s="116"/>
      <c r="E8086" s="116"/>
    </row>
    <row r="8087" spans="1:5" x14ac:dyDescent="0.25">
      <c r="A8087" s="83"/>
      <c r="B8087" s="84"/>
      <c r="C8087" s="84"/>
      <c r="D8087" s="116"/>
      <c r="E8087" s="116"/>
    </row>
    <row r="8088" spans="1:5" x14ac:dyDescent="0.25">
      <c r="A8088" s="83"/>
      <c r="B8088" s="84"/>
      <c r="C8088" s="84"/>
      <c r="D8088" s="116"/>
      <c r="E8088" s="116"/>
    </row>
    <row r="8089" spans="1:5" x14ac:dyDescent="0.25">
      <c r="A8089" s="83"/>
      <c r="B8089" s="84"/>
      <c r="C8089" s="84"/>
      <c r="D8089" s="116"/>
      <c r="E8089" s="116"/>
    </row>
    <row r="8090" spans="1:5" x14ac:dyDescent="0.25">
      <c r="A8090" s="83"/>
      <c r="B8090" s="84"/>
      <c r="C8090" s="84"/>
      <c r="D8090" s="116"/>
      <c r="E8090" s="116"/>
    </row>
    <row r="8091" spans="1:5" x14ac:dyDescent="0.25">
      <c r="A8091" s="83"/>
      <c r="B8091" s="84"/>
      <c r="C8091" s="84"/>
      <c r="D8091" s="116"/>
      <c r="E8091" s="116"/>
    </row>
    <row r="8092" spans="1:5" x14ac:dyDescent="0.25">
      <c r="A8092" s="83"/>
      <c r="B8092" s="84"/>
      <c r="C8092" s="84"/>
      <c r="D8092" s="116"/>
      <c r="E8092" s="116"/>
    </row>
    <row r="8093" spans="1:5" x14ac:dyDescent="0.25">
      <c r="A8093" s="83"/>
      <c r="B8093" s="84"/>
      <c r="C8093" s="84"/>
      <c r="D8093" s="116"/>
      <c r="E8093" s="116"/>
    </row>
    <row r="8094" spans="1:5" x14ac:dyDescent="0.25">
      <c r="A8094" s="83"/>
      <c r="B8094" s="84"/>
      <c r="C8094" s="84"/>
      <c r="D8094" s="116"/>
      <c r="E8094" s="116"/>
    </row>
    <row r="8095" spans="1:5" x14ac:dyDescent="0.25">
      <c r="A8095" s="83"/>
      <c r="B8095" s="84"/>
      <c r="C8095" s="84"/>
      <c r="D8095" s="116"/>
      <c r="E8095" s="116"/>
    </row>
    <row r="8096" spans="1:5" x14ac:dyDescent="0.25">
      <c r="A8096" s="83"/>
      <c r="B8096" s="84"/>
      <c r="C8096" s="84"/>
      <c r="D8096" s="116"/>
      <c r="E8096" s="116"/>
    </row>
    <row r="8097" spans="1:5" x14ac:dyDescent="0.25">
      <c r="A8097" s="83"/>
      <c r="B8097" s="84"/>
      <c r="C8097" s="84"/>
      <c r="D8097" s="116"/>
      <c r="E8097" s="116"/>
    </row>
    <row r="8098" spans="1:5" x14ac:dyDescent="0.25">
      <c r="A8098" s="83"/>
      <c r="B8098" s="84"/>
      <c r="C8098" s="84"/>
      <c r="D8098" s="116"/>
      <c r="E8098" s="116"/>
    </row>
    <row r="8099" spans="1:5" x14ac:dyDescent="0.25">
      <c r="A8099" s="83"/>
      <c r="B8099" s="84"/>
      <c r="C8099" s="84"/>
      <c r="D8099" s="116"/>
      <c r="E8099" s="116"/>
    </row>
    <row r="8100" spans="1:5" x14ac:dyDescent="0.25">
      <c r="A8100" s="83"/>
      <c r="B8100" s="84"/>
      <c r="C8100" s="84"/>
      <c r="D8100" s="116"/>
      <c r="E8100" s="116"/>
    </row>
    <row r="8101" spans="1:5" x14ac:dyDescent="0.25">
      <c r="A8101" s="83"/>
      <c r="B8101" s="84"/>
      <c r="C8101" s="84"/>
      <c r="D8101" s="116"/>
      <c r="E8101" s="116"/>
    </row>
    <row r="8102" spans="1:5" x14ac:dyDescent="0.25">
      <c r="A8102" s="83"/>
      <c r="B8102" s="84"/>
      <c r="C8102" s="84"/>
      <c r="D8102" s="116"/>
      <c r="E8102" s="116"/>
    </row>
    <row r="8103" spans="1:5" x14ac:dyDescent="0.25">
      <c r="A8103" s="83"/>
      <c r="B8103" s="84"/>
      <c r="C8103" s="84"/>
      <c r="D8103" s="116"/>
      <c r="E8103" s="116"/>
    </row>
    <row r="8104" spans="1:5" x14ac:dyDescent="0.25">
      <c r="A8104" s="83"/>
      <c r="B8104" s="84"/>
      <c r="C8104" s="84"/>
      <c r="D8104" s="116"/>
      <c r="E8104" s="116"/>
    </row>
    <row r="8105" spans="1:5" x14ac:dyDescent="0.25">
      <c r="A8105" s="83"/>
      <c r="B8105" s="84"/>
      <c r="C8105" s="84"/>
      <c r="D8105" s="116"/>
      <c r="E8105" s="116"/>
    </row>
    <row r="8106" spans="1:5" x14ac:dyDescent="0.25">
      <c r="A8106" s="83"/>
      <c r="B8106" s="84"/>
      <c r="C8106" s="84"/>
      <c r="D8106" s="116"/>
      <c r="E8106" s="116"/>
    </row>
    <row r="8107" spans="1:5" x14ac:dyDescent="0.25">
      <c r="A8107" s="83"/>
      <c r="B8107" s="84"/>
      <c r="C8107" s="84"/>
      <c r="D8107" s="116"/>
      <c r="E8107" s="116"/>
    </row>
    <row r="8108" spans="1:5" x14ac:dyDescent="0.25">
      <c r="A8108" s="83"/>
      <c r="B8108" s="84"/>
      <c r="C8108" s="84"/>
      <c r="D8108" s="116"/>
      <c r="E8108" s="116"/>
    </row>
    <row r="8109" spans="1:5" x14ac:dyDescent="0.25">
      <c r="A8109" s="83"/>
      <c r="B8109" s="84"/>
      <c r="C8109" s="84"/>
      <c r="D8109" s="116"/>
      <c r="E8109" s="116"/>
    </row>
    <row r="8110" spans="1:5" x14ac:dyDescent="0.25">
      <c r="A8110" s="83"/>
      <c r="B8110" s="84"/>
      <c r="C8110" s="84"/>
      <c r="D8110" s="116"/>
      <c r="E8110" s="116"/>
    </row>
    <row r="8111" spans="1:5" x14ac:dyDescent="0.25">
      <c r="A8111" s="83"/>
      <c r="B8111" s="84"/>
      <c r="C8111" s="84"/>
      <c r="D8111" s="116"/>
      <c r="E8111" s="116"/>
    </row>
    <row r="8112" spans="1:5" x14ac:dyDescent="0.25">
      <c r="A8112" s="83"/>
      <c r="B8112" s="84"/>
      <c r="C8112" s="84"/>
      <c r="D8112" s="116"/>
      <c r="E8112" s="116"/>
    </row>
    <row r="8113" spans="1:5" x14ac:dyDescent="0.25">
      <c r="A8113" s="83"/>
      <c r="B8113" s="84"/>
      <c r="C8113" s="84"/>
      <c r="D8113" s="116"/>
      <c r="E8113" s="116"/>
    </row>
    <row r="8114" spans="1:5" x14ac:dyDescent="0.25">
      <c r="A8114" s="83"/>
      <c r="B8114" s="84"/>
      <c r="C8114" s="84"/>
      <c r="D8114" s="116"/>
      <c r="E8114" s="116"/>
    </row>
    <row r="8115" spans="1:5" x14ac:dyDescent="0.25">
      <c r="A8115" s="83"/>
      <c r="B8115" s="84"/>
      <c r="C8115" s="84"/>
      <c r="D8115" s="116"/>
      <c r="E8115" s="116"/>
    </row>
    <row r="8116" spans="1:5" x14ac:dyDescent="0.25">
      <c r="A8116" s="83"/>
      <c r="B8116" s="84"/>
      <c r="C8116" s="84"/>
      <c r="D8116" s="116"/>
      <c r="E8116" s="116"/>
    </row>
    <row r="8117" spans="1:5" x14ac:dyDescent="0.25">
      <c r="A8117" s="83"/>
      <c r="B8117" s="84"/>
      <c r="C8117" s="84"/>
      <c r="D8117" s="116"/>
      <c r="E8117" s="116"/>
    </row>
    <row r="8118" spans="1:5" x14ac:dyDescent="0.25">
      <c r="A8118" s="83"/>
      <c r="B8118" s="84"/>
      <c r="C8118" s="84"/>
      <c r="D8118" s="116"/>
      <c r="E8118" s="116"/>
    </row>
    <row r="8119" spans="1:5" x14ac:dyDescent="0.25">
      <c r="A8119" s="83"/>
      <c r="B8119" s="84"/>
      <c r="C8119" s="84"/>
      <c r="D8119" s="116"/>
      <c r="E8119" s="116"/>
    </row>
    <row r="8120" spans="1:5" x14ac:dyDescent="0.25">
      <c r="A8120" s="83"/>
      <c r="B8120" s="84"/>
      <c r="C8120" s="84"/>
      <c r="D8120" s="116"/>
      <c r="E8120" s="116"/>
    </row>
    <row r="8121" spans="1:5" x14ac:dyDescent="0.25">
      <c r="A8121" s="83"/>
      <c r="B8121" s="84"/>
      <c r="C8121" s="84"/>
      <c r="D8121" s="116"/>
      <c r="E8121" s="116"/>
    </row>
    <row r="8122" spans="1:5" x14ac:dyDescent="0.25">
      <c r="A8122" s="83"/>
      <c r="B8122" s="84"/>
      <c r="C8122" s="84"/>
      <c r="D8122" s="116"/>
      <c r="E8122" s="116"/>
    </row>
    <row r="8123" spans="1:5" x14ac:dyDescent="0.25">
      <c r="A8123" s="83"/>
      <c r="B8123" s="84"/>
      <c r="C8123" s="84"/>
      <c r="D8123" s="116"/>
      <c r="E8123" s="116"/>
    </row>
    <row r="8124" spans="1:5" x14ac:dyDescent="0.25">
      <c r="A8124" s="83"/>
      <c r="B8124" s="84"/>
      <c r="C8124" s="84"/>
      <c r="D8124" s="116"/>
      <c r="E8124" s="116"/>
    </row>
    <row r="8125" spans="1:5" x14ac:dyDescent="0.25">
      <c r="A8125" s="83"/>
      <c r="B8125" s="84"/>
      <c r="C8125" s="84"/>
      <c r="D8125" s="116"/>
      <c r="E8125" s="116"/>
    </row>
    <row r="8126" spans="1:5" x14ac:dyDescent="0.25">
      <c r="A8126" s="83"/>
      <c r="B8126" s="84"/>
      <c r="C8126" s="84"/>
      <c r="D8126" s="116"/>
      <c r="E8126" s="116"/>
    </row>
    <row r="8127" spans="1:5" x14ac:dyDescent="0.25">
      <c r="A8127" s="83"/>
      <c r="B8127" s="84"/>
      <c r="C8127" s="84"/>
      <c r="D8127" s="116"/>
      <c r="E8127" s="116"/>
    </row>
    <row r="8128" spans="1:5" x14ac:dyDescent="0.25">
      <c r="A8128" s="83"/>
      <c r="B8128" s="84"/>
      <c r="C8128" s="84"/>
      <c r="D8128" s="116"/>
      <c r="E8128" s="116"/>
    </row>
    <row r="8129" spans="1:5" x14ac:dyDescent="0.25">
      <c r="A8129" s="83"/>
      <c r="B8129" s="84"/>
      <c r="C8129" s="84"/>
      <c r="D8129" s="116"/>
      <c r="E8129" s="116"/>
    </row>
    <row r="8130" spans="1:5" x14ac:dyDescent="0.25">
      <c r="A8130" s="83"/>
      <c r="B8130" s="84"/>
      <c r="C8130" s="84"/>
      <c r="D8130" s="116"/>
      <c r="E8130" s="116"/>
    </row>
    <row r="8131" spans="1:5" x14ac:dyDescent="0.25">
      <c r="A8131" s="83"/>
      <c r="B8131" s="84"/>
      <c r="C8131" s="84"/>
      <c r="D8131" s="116"/>
      <c r="E8131" s="116"/>
    </row>
    <row r="8132" spans="1:5" x14ac:dyDescent="0.25">
      <c r="A8132" s="83"/>
      <c r="B8132" s="84"/>
      <c r="C8132" s="84"/>
      <c r="D8132" s="116"/>
      <c r="E8132" s="116"/>
    </row>
    <row r="8133" spans="1:5" x14ac:dyDescent="0.25">
      <c r="A8133" s="83"/>
      <c r="B8133" s="84"/>
      <c r="C8133" s="84"/>
      <c r="D8133" s="116"/>
      <c r="E8133" s="116"/>
    </row>
    <row r="8134" spans="1:5" x14ac:dyDescent="0.25">
      <c r="A8134" s="83"/>
      <c r="B8134" s="84"/>
      <c r="C8134" s="84"/>
      <c r="D8134" s="116"/>
      <c r="E8134" s="116"/>
    </row>
    <row r="8135" spans="1:5" x14ac:dyDescent="0.25">
      <c r="A8135" s="83"/>
      <c r="B8135" s="84"/>
      <c r="C8135" s="84"/>
      <c r="D8135" s="116"/>
      <c r="E8135" s="116"/>
    </row>
    <row r="8136" spans="1:5" x14ac:dyDescent="0.25">
      <c r="A8136" s="83"/>
      <c r="B8136" s="84"/>
      <c r="C8136" s="84"/>
      <c r="D8136" s="116"/>
      <c r="E8136" s="116"/>
    </row>
    <row r="8137" spans="1:5" x14ac:dyDescent="0.25">
      <c r="A8137" s="83"/>
      <c r="B8137" s="84"/>
      <c r="C8137" s="84"/>
      <c r="D8137" s="116"/>
      <c r="E8137" s="116"/>
    </row>
    <row r="8138" spans="1:5" x14ac:dyDescent="0.25">
      <c r="A8138" s="83"/>
      <c r="B8138" s="84"/>
      <c r="C8138" s="84"/>
      <c r="D8138" s="116"/>
      <c r="E8138" s="116"/>
    </row>
    <row r="8139" spans="1:5" x14ac:dyDescent="0.25">
      <c r="A8139" s="83"/>
      <c r="B8139" s="84"/>
      <c r="C8139" s="84"/>
      <c r="D8139" s="116"/>
      <c r="E8139" s="116"/>
    </row>
    <row r="8140" spans="1:5" x14ac:dyDescent="0.25">
      <c r="A8140" s="83"/>
      <c r="B8140" s="84"/>
      <c r="C8140" s="84"/>
      <c r="D8140" s="116"/>
      <c r="E8140" s="116"/>
    </row>
    <row r="8141" spans="1:5" x14ac:dyDescent="0.25">
      <c r="A8141" s="83"/>
      <c r="B8141" s="84"/>
      <c r="C8141" s="84"/>
      <c r="D8141" s="116"/>
      <c r="E8141" s="116"/>
    </row>
    <row r="8142" spans="1:5" x14ac:dyDescent="0.25">
      <c r="A8142" s="83"/>
      <c r="B8142" s="84"/>
      <c r="C8142" s="84"/>
      <c r="D8142" s="116"/>
      <c r="E8142" s="116"/>
    </row>
    <row r="8143" spans="1:5" x14ac:dyDescent="0.25">
      <c r="A8143" s="83"/>
      <c r="B8143" s="84"/>
      <c r="C8143" s="84"/>
      <c r="D8143" s="116"/>
      <c r="E8143" s="116"/>
    </row>
    <row r="8144" spans="1:5" x14ac:dyDescent="0.25">
      <c r="A8144" s="83"/>
      <c r="B8144" s="84"/>
      <c r="C8144" s="84"/>
      <c r="D8144" s="116"/>
      <c r="E8144" s="116"/>
    </row>
    <row r="8145" spans="1:5" x14ac:dyDescent="0.25">
      <c r="A8145" s="83"/>
      <c r="B8145" s="84"/>
      <c r="C8145" s="84"/>
      <c r="D8145" s="116"/>
      <c r="E8145" s="116"/>
    </row>
    <row r="8146" spans="1:5" x14ac:dyDescent="0.25">
      <c r="A8146" s="83"/>
      <c r="B8146" s="84"/>
      <c r="C8146" s="84"/>
      <c r="D8146" s="116"/>
      <c r="E8146" s="116"/>
    </row>
    <row r="8147" spans="1:5" x14ac:dyDescent="0.25">
      <c r="A8147" s="83"/>
      <c r="B8147" s="84"/>
      <c r="C8147" s="84"/>
      <c r="D8147" s="116"/>
      <c r="E8147" s="116"/>
    </row>
    <row r="8148" spans="1:5" x14ac:dyDescent="0.25">
      <c r="A8148" s="83"/>
      <c r="B8148" s="84"/>
      <c r="C8148" s="84"/>
      <c r="D8148" s="116"/>
      <c r="E8148" s="116"/>
    </row>
    <row r="8149" spans="1:5" x14ac:dyDescent="0.25">
      <c r="A8149" s="83"/>
      <c r="B8149" s="84"/>
      <c r="C8149" s="84"/>
      <c r="D8149" s="116"/>
      <c r="E8149" s="116"/>
    </row>
    <row r="8150" spans="1:5" x14ac:dyDescent="0.25">
      <c r="A8150" s="83"/>
      <c r="B8150" s="84"/>
      <c r="C8150" s="84"/>
      <c r="D8150" s="116"/>
      <c r="E8150" s="116"/>
    </row>
    <row r="8151" spans="1:5" x14ac:dyDescent="0.25">
      <c r="A8151" s="83"/>
      <c r="B8151" s="84"/>
      <c r="C8151" s="84"/>
      <c r="D8151" s="116"/>
      <c r="E8151" s="116"/>
    </row>
    <row r="8152" spans="1:5" x14ac:dyDescent="0.25">
      <c r="A8152" s="83"/>
      <c r="B8152" s="84"/>
      <c r="C8152" s="84"/>
      <c r="D8152" s="116"/>
      <c r="E8152" s="116"/>
    </row>
    <row r="8153" spans="1:5" x14ac:dyDescent="0.25">
      <c r="A8153" s="83"/>
      <c r="B8153" s="84"/>
      <c r="C8153" s="84"/>
      <c r="D8153" s="116"/>
      <c r="E8153" s="116"/>
    </row>
    <row r="8154" spans="1:5" x14ac:dyDescent="0.25">
      <c r="A8154" s="83"/>
      <c r="B8154" s="84"/>
      <c r="C8154" s="84"/>
      <c r="D8154" s="116"/>
      <c r="E8154" s="116"/>
    </row>
    <row r="8155" spans="1:5" x14ac:dyDescent="0.25">
      <c r="A8155" s="83"/>
      <c r="B8155" s="84"/>
      <c r="C8155" s="84"/>
      <c r="D8155" s="116"/>
      <c r="E8155" s="116"/>
    </row>
    <row r="8156" spans="1:5" x14ac:dyDescent="0.25">
      <c r="A8156" s="83"/>
      <c r="B8156" s="84"/>
      <c r="C8156" s="84"/>
      <c r="D8156" s="116"/>
      <c r="E8156" s="116"/>
    </row>
    <row r="8157" spans="1:5" x14ac:dyDescent="0.25">
      <c r="A8157" s="83"/>
      <c r="B8157" s="84"/>
      <c r="C8157" s="84"/>
      <c r="D8157" s="116"/>
      <c r="E8157" s="116"/>
    </row>
    <row r="8158" spans="1:5" x14ac:dyDescent="0.25">
      <c r="A8158" s="83"/>
      <c r="B8158" s="84"/>
      <c r="C8158" s="84"/>
      <c r="D8158" s="116"/>
      <c r="E8158" s="116"/>
    </row>
    <row r="8159" spans="1:5" x14ac:dyDescent="0.25">
      <c r="A8159" s="83"/>
      <c r="B8159" s="84"/>
      <c r="C8159" s="84"/>
      <c r="D8159" s="116"/>
      <c r="E8159" s="116"/>
    </row>
    <row r="8160" spans="1:5" x14ac:dyDescent="0.25">
      <c r="A8160" s="83"/>
      <c r="B8160" s="84"/>
      <c r="C8160" s="84"/>
      <c r="D8160" s="116"/>
      <c r="E8160" s="116"/>
    </row>
    <row r="8161" spans="1:5" x14ac:dyDescent="0.25">
      <c r="A8161" s="83"/>
      <c r="B8161" s="84"/>
      <c r="C8161" s="84"/>
      <c r="D8161" s="116"/>
      <c r="E8161" s="116"/>
    </row>
    <row r="8162" spans="1:5" x14ac:dyDescent="0.25">
      <c r="A8162" s="83"/>
      <c r="B8162" s="84"/>
      <c r="C8162" s="84"/>
      <c r="D8162" s="116"/>
      <c r="E8162" s="116"/>
    </row>
    <row r="8163" spans="1:5" x14ac:dyDescent="0.25">
      <c r="A8163" s="83"/>
      <c r="B8163" s="84"/>
      <c r="C8163" s="84"/>
      <c r="D8163" s="116"/>
      <c r="E8163" s="116"/>
    </row>
    <row r="8164" spans="1:5" x14ac:dyDescent="0.25">
      <c r="A8164" s="83"/>
      <c r="B8164" s="84"/>
      <c r="C8164" s="84"/>
      <c r="D8164" s="116"/>
      <c r="E8164" s="116"/>
    </row>
    <row r="8165" spans="1:5" x14ac:dyDescent="0.25">
      <c r="A8165" s="83"/>
      <c r="B8165" s="84"/>
      <c r="C8165" s="84"/>
      <c r="D8165" s="116"/>
      <c r="E8165" s="116"/>
    </row>
    <row r="8166" spans="1:5" x14ac:dyDescent="0.25">
      <c r="A8166" s="83"/>
      <c r="B8166" s="84"/>
      <c r="C8166" s="84"/>
      <c r="D8166" s="116"/>
      <c r="E8166" s="116"/>
    </row>
    <row r="8167" spans="1:5" x14ac:dyDescent="0.25">
      <c r="A8167" s="83"/>
      <c r="B8167" s="84"/>
      <c r="C8167" s="84"/>
      <c r="D8167" s="116"/>
      <c r="E8167" s="116"/>
    </row>
    <row r="8168" spans="1:5" x14ac:dyDescent="0.25">
      <c r="A8168" s="83"/>
      <c r="B8168" s="84"/>
      <c r="C8168" s="84"/>
      <c r="D8168" s="116"/>
      <c r="E8168" s="116"/>
    </row>
    <row r="8169" spans="1:5" x14ac:dyDescent="0.25">
      <c r="A8169" s="83"/>
      <c r="B8169" s="84"/>
      <c r="C8169" s="84"/>
      <c r="D8169" s="116"/>
      <c r="E8169" s="116"/>
    </row>
    <row r="8170" spans="1:5" x14ac:dyDescent="0.25">
      <c r="A8170" s="83"/>
      <c r="B8170" s="84"/>
      <c r="C8170" s="84"/>
      <c r="D8170" s="116"/>
      <c r="E8170" s="116"/>
    </row>
    <row r="8171" spans="1:5" x14ac:dyDescent="0.25">
      <c r="A8171" s="83"/>
      <c r="B8171" s="84"/>
      <c r="C8171" s="84"/>
      <c r="D8171" s="116"/>
      <c r="E8171" s="116"/>
    </row>
    <row r="8172" spans="1:5" x14ac:dyDescent="0.25">
      <c r="A8172" s="83"/>
      <c r="B8172" s="84"/>
      <c r="C8172" s="84"/>
      <c r="D8172" s="116"/>
      <c r="E8172" s="116"/>
    </row>
    <row r="8173" spans="1:5" x14ac:dyDescent="0.25">
      <c r="A8173" s="83"/>
      <c r="B8173" s="84"/>
      <c r="C8173" s="84"/>
      <c r="D8173" s="116"/>
      <c r="E8173" s="116"/>
    </row>
    <row r="8174" spans="1:5" x14ac:dyDescent="0.25">
      <c r="A8174" s="83"/>
      <c r="B8174" s="84"/>
      <c r="C8174" s="84"/>
      <c r="D8174" s="116"/>
      <c r="E8174" s="116"/>
    </row>
    <row r="8175" spans="1:5" x14ac:dyDescent="0.25">
      <c r="A8175" s="83"/>
      <c r="B8175" s="84"/>
      <c r="C8175" s="84"/>
      <c r="D8175" s="116"/>
      <c r="E8175" s="116"/>
    </row>
    <row r="8176" spans="1:5" x14ac:dyDescent="0.25">
      <c r="A8176" s="83"/>
      <c r="B8176" s="84"/>
      <c r="C8176" s="84"/>
      <c r="D8176" s="116"/>
      <c r="E8176" s="116"/>
    </row>
    <row r="8177" spans="1:5" x14ac:dyDescent="0.25">
      <c r="A8177" s="83"/>
      <c r="B8177" s="84"/>
      <c r="C8177" s="84"/>
      <c r="D8177" s="116"/>
      <c r="E8177" s="116"/>
    </row>
    <row r="8178" spans="1:5" x14ac:dyDescent="0.25">
      <c r="A8178" s="83"/>
      <c r="B8178" s="84"/>
      <c r="C8178" s="84"/>
      <c r="D8178" s="116"/>
      <c r="E8178" s="116"/>
    </row>
    <row r="8179" spans="1:5" x14ac:dyDescent="0.25">
      <c r="A8179" s="83"/>
      <c r="B8179" s="84"/>
      <c r="C8179" s="84"/>
      <c r="D8179" s="116"/>
      <c r="E8179" s="116"/>
    </row>
    <row r="8180" spans="1:5" x14ac:dyDescent="0.25">
      <c r="A8180" s="83"/>
      <c r="B8180" s="84"/>
      <c r="C8180" s="84"/>
      <c r="D8180" s="116"/>
      <c r="E8180" s="116"/>
    </row>
    <row r="8181" spans="1:5" x14ac:dyDescent="0.25">
      <c r="A8181" s="83"/>
      <c r="B8181" s="84"/>
      <c r="C8181" s="84"/>
      <c r="D8181" s="116"/>
      <c r="E8181" s="116"/>
    </row>
    <row r="8182" spans="1:5" x14ac:dyDescent="0.25">
      <c r="A8182" s="83"/>
      <c r="B8182" s="84"/>
      <c r="C8182" s="84"/>
      <c r="D8182" s="116"/>
      <c r="E8182" s="116"/>
    </row>
    <row r="8183" spans="1:5" x14ac:dyDescent="0.25">
      <c r="A8183" s="83"/>
      <c r="B8183" s="84"/>
      <c r="C8183" s="84"/>
      <c r="D8183" s="116"/>
      <c r="E8183" s="116"/>
    </row>
    <row r="8184" spans="1:5" x14ac:dyDescent="0.25">
      <c r="A8184" s="83"/>
      <c r="B8184" s="84"/>
      <c r="C8184" s="84"/>
      <c r="D8184" s="116"/>
      <c r="E8184" s="116"/>
    </row>
    <row r="8185" spans="1:5" x14ac:dyDescent="0.25">
      <c r="A8185" s="83"/>
      <c r="B8185" s="84"/>
      <c r="C8185" s="84"/>
      <c r="D8185" s="116"/>
      <c r="E8185" s="116"/>
    </row>
    <row r="8186" spans="1:5" x14ac:dyDescent="0.25">
      <c r="A8186" s="83"/>
      <c r="B8186" s="84"/>
      <c r="C8186" s="84"/>
      <c r="D8186" s="116"/>
      <c r="E8186" s="116"/>
    </row>
    <row r="8187" spans="1:5" x14ac:dyDescent="0.25">
      <c r="A8187" s="83"/>
      <c r="B8187" s="84"/>
      <c r="C8187" s="84"/>
      <c r="D8187" s="116"/>
      <c r="E8187" s="116"/>
    </row>
    <row r="8188" spans="1:5" x14ac:dyDescent="0.25">
      <c r="A8188" s="83"/>
      <c r="B8188" s="84"/>
      <c r="C8188" s="84"/>
      <c r="D8188" s="116"/>
      <c r="E8188" s="116"/>
    </row>
    <row r="8189" spans="1:5" x14ac:dyDescent="0.25">
      <c r="A8189" s="83"/>
      <c r="B8189" s="84"/>
      <c r="C8189" s="84"/>
      <c r="D8189" s="116"/>
      <c r="E8189" s="116"/>
    </row>
    <row r="8190" spans="1:5" x14ac:dyDescent="0.25">
      <c r="A8190" s="83"/>
      <c r="B8190" s="84"/>
      <c r="C8190" s="84"/>
      <c r="D8190" s="116"/>
      <c r="E8190" s="116"/>
    </row>
    <row r="8191" spans="1:5" x14ac:dyDescent="0.25">
      <c r="A8191" s="83"/>
      <c r="B8191" s="84"/>
      <c r="C8191" s="84"/>
      <c r="D8191" s="116"/>
      <c r="E8191" s="116"/>
    </row>
    <row r="8192" spans="1:5" x14ac:dyDescent="0.25">
      <c r="A8192" s="83"/>
      <c r="B8192" s="84"/>
      <c r="C8192" s="84"/>
      <c r="D8192" s="116"/>
      <c r="E8192" s="116"/>
    </row>
    <row r="8193" spans="1:5" x14ac:dyDescent="0.25">
      <c r="A8193" s="83"/>
      <c r="B8193" s="84"/>
      <c r="C8193" s="84"/>
      <c r="D8193" s="116"/>
      <c r="E8193" s="116"/>
    </row>
    <row r="8194" spans="1:5" x14ac:dyDescent="0.25">
      <c r="A8194" s="83"/>
      <c r="B8194" s="84"/>
      <c r="C8194" s="84"/>
      <c r="D8194" s="116"/>
      <c r="E8194" s="116"/>
    </row>
    <row r="8195" spans="1:5" x14ac:dyDescent="0.25">
      <c r="A8195" s="83"/>
      <c r="B8195" s="84"/>
      <c r="C8195" s="84"/>
      <c r="D8195" s="116"/>
      <c r="E8195" s="116"/>
    </row>
    <row r="8196" spans="1:5" x14ac:dyDescent="0.25">
      <c r="A8196" s="83"/>
      <c r="B8196" s="84"/>
      <c r="C8196" s="84"/>
      <c r="D8196" s="116"/>
      <c r="E8196" s="116"/>
    </row>
    <row r="8197" spans="1:5" x14ac:dyDescent="0.25">
      <c r="A8197" s="83"/>
      <c r="B8197" s="84"/>
      <c r="C8197" s="84"/>
      <c r="D8197" s="116"/>
      <c r="E8197" s="116"/>
    </row>
    <row r="8198" spans="1:5" x14ac:dyDescent="0.25">
      <c r="A8198" s="83"/>
      <c r="B8198" s="84"/>
      <c r="C8198" s="84"/>
      <c r="D8198" s="116"/>
      <c r="E8198" s="116"/>
    </row>
    <row r="8199" spans="1:5" x14ac:dyDescent="0.25">
      <c r="A8199" s="83"/>
      <c r="B8199" s="84"/>
      <c r="C8199" s="84"/>
      <c r="D8199" s="116"/>
      <c r="E8199" s="116"/>
    </row>
    <row r="8200" spans="1:5" x14ac:dyDescent="0.25">
      <c r="A8200" s="83"/>
      <c r="B8200" s="84"/>
      <c r="C8200" s="84"/>
      <c r="D8200" s="116"/>
      <c r="E8200" s="116"/>
    </row>
    <row r="8201" spans="1:5" x14ac:dyDescent="0.25">
      <c r="A8201" s="83"/>
      <c r="B8201" s="84"/>
      <c r="C8201" s="84"/>
      <c r="D8201" s="116"/>
      <c r="E8201" s="116"/>
    </row>
    <row r="8202" spans="1:5" x14ac:dyDescent="0.25">
      <c r="A8202" s="83"/>
      <c r="B8202" s="84"/>
      <c r="C8202" s="84"/>
      <c r="D8202" s="116"/>
      <c r="E8202" s="116"/>
    </row>
    <row r="8203" spans="1:5" x14ac:dyDescent="0.25">
      <c r="A8203" s="83"/>
      <c r="B8203" s="84"/>
      <c r="C8203" s="84"/>
      <c r="D8203" s="116"/>
      <c r="E8203" s="116"/>
    </row>
    <row r="8204" spans="1:5" x14ac:dyDescent="0.25">
      <c r="A8204" s="83"/>
      <c r="B8204" s="84"/>
      <c r="C8204" s="84"/>
      <c r="D8204" s="116"/>
      <c r="E8204" s="116"/>
    </row>
    <row r="8205" spans="1:5" x14ac:dyDescent="0.25">
      <c r="A8205" s="83"/>
      <c r="B8205" s="84"/>
      <c r="C8205" s="84"/>
      <c r="D8205" s="116"/>
      <c r="E8205" s="116"/>
    </row>
    <row r="8206" spans="1:5" x14ac:dyDescent="0.25">
      <c r="A8206" s="83"/>
      <c r="B8206" s="84"/>
      <c r="C8206" s="84"/>
      <c r="D8206" s="116"/>
      <c r="E8206" s="116"/>
    </row>
    <row r="8207" spans="1:5" x14ac:dyDescent="0.25">
      <c r="A8207" s="83"/>
      <c r="B8207" s="84"/>
      <c r="C8207" s="84"/>
      <c r="D8207" s="116"/>
      <c r="E8207" s="116"/>
    </row>
    <row r="8208" spans="1:5" x14ac:dyDescent="0.25">
      <c r="A8208" s="83"/>
      <c r="B8208" s="84"/>
      <c r="C8208" s="84"/>
      <c r="D8208" s="116"/>
      <c r="E8208" s="116"/>
    </row>
    <row r="8209" spans="1:5" x14ac:dyDescent="0.25">
      <c r="A8209" s="83"/>
      <c r="B8209" s="84"/>
      <c r="C8209" s="84"/>
      <c r="D8209" s="116"/>
      <c r="E8209" s="116"/>
    </row>
    <row r="8210" spans="1:5" x14ac:dyDescent="0.25">
      <c r="A8210" s="83"/>
      <c r="B8210" s="84"/>
      <c r="C8210" s="84"/>
      <c r="D8210" s="116"/>
      <c r="E8210" s="116"/>
    </row>
    <row r="8211" spans="1:5" x14ac:dyDescent="0.25">
      <c r="A8211" s="83"/>
      <c r="B8211" s="84"/>
      <c r="C8211" s="84"/>
      <c r="D8211" s="116"/>
      <c r="E8211" s="116"/>
    </row>
    <row r="8212" spans="1:5" x14ac:dyDescent="0.25">
      <c r="A8212" s="83"/>
      <c r="B8212" s="84"/>
      <c r="C8212" s="84"/>
      <c r="D8212" s="116"/>
      <c r="E8212" s="116"/>
    </row>
    <row r="8213" spans="1:5" x14ac:dyDescent="0.25">
      <c r="A8213" s="83"/>
      <c r="B8213" s="84"/>
      <c r="C8213" s="84"/>
      <c r="D8213" s="116"/>
      <c r="E8213" s="116"/>
    </row>
    <row r="8214" spans="1:5" x14ac:dyDescent="0.25">
      <c r="A8214" s="83"/>
      <c r="B8214" s="84"/>
      <c r="C8214" s="84"/>
      <c r="D8214" s="116"/>
      <c r="E8214" s="116"/>
    </row>
    <row r="8215" spans="1:5" x14ac:dyDescent="0.25">
      <c r="A8215" s="83"/>
      <c r="B8215" s="84"/>
      <c r="C8215" s="84"/>
      <c r="D8215" s="116"/>
      <c r="E8215" s="116"/>
    </row>
    <row r="8216" spans="1:5" x14ac:dyDescent="0.25">
      <c r="A8216" s="83"/>
      <c r="B8216" s="84"/>
      <c r="C8216" s="84"/>
      <c r="D8216" s="116"/>
      <c r="E8216" s="116"/>
    </row>
    <row r="8217" spans="1:5" x14ac:dyDescent="0.25">
      <c r="A8217" s="83"/>
      <c r="B8217" s="84"/>
      <c r="C8217" s="84"/>
      <c r="D8217" s="116"/>
      <c r="E8217" s="116"/>
    </row>
    <row r="8218" spans="1:5" x14ac:dyDescent="0.25">
      <c r="A8218" s="83"/>
      <c r="B8218" s="84"/>
      <c r="C8218" s="84"/>
      <c r="D8218" s="116"/>
      <c r="E8218" s="116"/>
    </row>
    <row r="8219" spans="1:5" x14ac:dyDescent="0.25">
      <c r="A8219" s="83"/>
      <c r="B8219" s="84"/>
      <c r="C8219" s="84"/>
      <c r="D8219" s="116"/>
      <c r="E8219" s="116"/>
    </row>
    <row r="8220" spans="1:5" x14ac:dyDescent="0.25">
      <c r="A8220" s="83"/>
      <c r="B8220" s="84"/>
      <c r="C8220" s="84"/>
      <c r="D8220" s="116"/>
      <c r="E8220" s="116"/>
    </row>
    <row r="8221" spans="1:5" x14ac:dyDescent="0.25">
      <c r="A8221" s="83"/>
      <c r="B8221" s="84"/>
      <c r="C8221" s="84"/>
      <c r="D8221" s="116"/>
      <c r="E8221" s="116"/>
    </row>
    <row r="8222" spans="1:5" x14ac:dyDescent="0.25">
      <c r="A8222" s="83"/>
      <c r="B8222" s="84"/>
      <c r="C8222" s="84"/>
      <c r="D8222" s="116"/>
      <c r="E8222" s="116"/>
    </row>
    <row r="8223" spans="1:5" x14ac:dyDescent="0.25">
      <c r="A8223" s="83"/>
      <c r="B8223" s="84"/>
      <c r="C8223" s="84"/>
      <c r="D8223" s="116"/>
      <c r="E8223" s="116"/>
    </row>
    <row r="8224" spans="1:5" x14ac:dyDescent="0.25">
      <c r="A8224" s="83"/>
      <c r="B8224" s="84"/>
      <c r="C8224" s="84"/>
      <c r="D8224" s="116"/>
      <c r="E8224" s="116"/>
    </row>
    <row r="8225" spans="1:5" x14ac:dyDescent="0.25">
      <c r="A8225" s="83"/>
      <c r="B8225" s="84"/>
      <c r="C8225" s="84"/>
      <c r="D8225" s="116"/>
      <c r="E8225" s="116"/>
    </row>
    <row r="8226" spans="1:5" x14ac:dyDescent="0.25">
      <c r="A8226" s="83"/>
      <c r="B8226" s="84"/>
      <c r="C8226" s="84"/>
      <c r="D8226" s="116"/>
      <c r="E8226" s="116"/>
    </row>
    <row r="8227" spans="1:5" x14ac:dyDescent="0.25">
      <c r="A8227" s="83"/>
      <c r="B8227" s="84"/>
      <c r="C8227" s="84"/>
      <c r="D8227" s="116"/>
      <c r="E8227" s="116"/>
    </row>
    <row r="8228" spans="1:5" x14ac:dyDescent="0.25">
      <c r="A8228" s="83"/>
      <c r="B8228" s="84"/>
      <c r="C8228" s="84"/>
      <c r="D8228" s="116"/>
      <c r="E8228" s="116"/>
    </row>
    <row r="8229" spans="1:5" x14ac:dyDescent="0.25">
      <c r="A8229" s="83"/>
      <c r="B8229" s="84"/>
      <c r="C8229" s="84"/>
      <c r="D8229" s="116"/>
      <c r="E8229" s="116"/>
    </row>
    <row r="8230" spans="1:5" x14ac:dyDescent="0.25">
      <c r="A8230" s="83"/>
      <c r="B8230" s="84"/>
      <c r="C8230" s="84"/>
      <c r="D8230" s="116"/>
      <c r="E8230" s="116"/>
    </row>
    <row r="8231" spans="1:5" x14ac:dyDescent="0.25">
      <c r="A8231" s="83"/>
      <c r="B8231" s="84"/>
      <c r="C8231" s="84"/>
      <c r="D8231" s="116"/>
      <c r="E8231" s="116"/>
    </row>
    <row r="8232" spans="1:5" x14ac:dyDescent="0.25">
      <c r="A8232" s="83"/>
      <c r="B8232" s="84"/>
      <c r="C8232" s="84"/>
      <c r="D8232" s="116"/>
      <c r="E8232" s="116"/>
    </row>
    <row r="8233" spans="1:5" x14ac:dyDescent="0.25">
      <c r="A8233" s="83"/>
      <c r="B8233" s="84"/>
      <c r="C8233" s="84"/>
      <c r="D8233" s="116"/>
      <c r="E8233" s="116"/>
    </row>
    <row r="8234" spans="1:5" x14ac:dyDescent="0.25">
      <c r="A8234" s="83"/>
      <c r="B8234" s="84"/>
      <c r="C8234" s="84"/>
      <c r="D8234" s="116"/>
      <c r="E8234" s="116"/>
    </row>
    <row r="8235" spans="1:5" x14ac:dyDescent="0.25">
      <c r="A8235" s="83"/>
      <c r="B8235" s="84"/>
      <c r="C8235" s="84"/>
      <c r="D8235" s="116"/>
      <c r="E8235" s="116"/>
    </row>
    <row r="8236" spans="1:5" x14ac:dyDescent="0.25">
      <c r="A8236" s="83"/>
      <c r="B8236" s="84"/>
      <c r="C8236" s="84"/>
      <c r="D8236" s="116"/>
      <c r="E8236" s="116"/>
    </row>
    <row r="8237" spans="1:5" x14ac:dyDescent="0.25">
      <c r="A8237" s="83"/>
      <c r="B8237" s="84"/>
      <c r="C8237" s="84"/>
      <c r="D8237" s="116"/>
      <c r="E8237" s="116"/>
    </row>
    <row r="8238" spans="1:5" x14ac:dyDescent="0.25">
      <c r="A8238" s="83"/>
      <c r="B8238" s="84"/>
      <c r="C8238" s="84"/>
      <c r="D8238" s="116"/>
      <c r="E8238" s="116"/>
    </row>
    <row r="8239" spans="1:5" x14ac:dyDescent="0.25">
      <c r="A8239" s="83"/>
      <c r="B8239" s="84"/>
      <c r="C8239" s="84"/>
      <c r="D8239" s="116"/>
      <c r="E8239" s="116"/>
    </row>
    <row r="8240" spans="1:5" x14ac:dyDescent="0.25">
      <c r="A8240" s="83"/>
      <c r="B8240" s="84"/>
      <c r="C8240" s="84"/>
      <c r="D8240" s="116"/>
      <c r="E8240" s="116"/>
    </row>
    <row r="8241" spans="1:5" x14ac:dyDescent="0.25">
      <c r="A8241" s="83"/>
      <c r="B8241" s="84"/>
      <c r="C8241" s="84"/>
      <c r="D8241" s="116"/>
      <c r="E8241" s="116"/>
    </row>
    <row r="8242" spans="1:5" x14ac:dyDescent="0.25">
      <c r="A8242" s="83"/>
      <c r="B8242" s="84"/>
      <c r="C8242" s="84"/>
      <c r="D8242" s="116"/>
      <c r="E8242" s="116"/>
    </row>
    <row r="8243" spans="1:5" x14ac:dyDescent="0.25">
      <c r="A8243" s="83"/>
      <c r="B8243" s="84"/>
      <c r="C8243" s="84"/>
      <c r="D8243" s="116"/>
      <c r="E8243" s="116"/>
    </row>
    <row r="8244" spans="1:5" x14ac:dyDescent="0.25">
      <c r="A8244" s="83"/>
      <c r="B8244" s="84"/>
      <c r="C8244" s="84"/>
      <c r="D8244" s="116"/>
      <c r="E8244" s="116"/>
    </row>
    <row r="8245" spans="1:5" x14ac:dyDescent="0.25">
      <c r="A8245" s="83"/>
      <c r="B8245" s="84"/>
      <c r="C8245" s="84"/>
      <c r="D8245" s="116"/>
      <c r="E8245" s="116"/>
    </row>
    <row r="8246" spans="1:5" x14ac:dyDescent="0.25">
      <c r="A8246" s="83"/>
      <c r="B8246" s="84"/>
      <c r="C8246" s="84"/>
      <c r="D8246" s="116"/>
      <c r="E8246" s="116"/>
    </row>
    <row r="8247" spans="1:5" x14ac:dyDescent="0.25">
      <c r="A8247" s="83"/>
      <c r="B8247" s="84"/>
      <c r="C8247" s="84"/>
      <c r="D8247" s="116"/>
      <c r="E8247" s="116"/>
    </row>
    <row r="8248" spans="1:5" x14ac:dyDescent="0.25">
      <c r="A8248" s="83"/>
      <c r="B8248" s="84"/>
      <c r="C8248" s="84"/>
      <c r="D8248" s="116"/>
      <c r="E8248" s="116"/>
    </row>
    <row r="8249" spans="1:5" x14ac:dyDescent="0.25">
      <c r="A8249" s="83"/>
      <c r="B8249" s="84"/>
      <c r="C8249" s="84"/>
      <c r="D8249" s="116"/>
      <c r="E8249" s="116"/>
    </row>
    <row r="8250" spans="1:5" x14ac:dyDescent="0.25">
      <c r="A8250" s="83"/>
      <c r="B8250" s="84"/>
      <c r="C8250" s="84"/>
      <c r="D8250" s="116"/>
      <c r="E8250" s="116"/>
    </row>
    <row r="8251" spans="1:5" x14ac:dyDescent="0.25">
      <c r="A8251" s="83"/>
      <c r="B8251" s="84"/>
      <c r="C8251" s="84"/>
      <c r="D8251" s="116"/>
      <c r="E8251" s="116"/>
    </row>
    <row r="8252" spans="1:5" x14ac:dyDescent="0.25">
      <c r="A8252" s="83"/>
      <c r="B8252" s="84"/>
      <c r="C8252" s="84"/>
      <c r="D8252" s="116"/>
      <c r="E8252" s="116"/>
    </row>
    <row r="8253" spans="1:5" x14ac:dyDescent="0.25">
      <c r="A8253" s="83"/>
      <c r="B8253" s="84"/>
      <c r="C8253" s="84"/>
      <c r="D8253" s="116"/>
      <c r="E8253" s="116"/>
    </row>
    <row r="8254" spans="1:5" x14ac:dyDescent="0.25">
      <c r="A8254" s="83"/>
      <c r="B8254" s="84"/>
      <c r="C8254" s="84"/>
      <c r="D8254" s="116"/>
      <c r="E8254" s="116"/>
    </row>
    <row r="8255" spans="1:5" x14ac:dyDescent="0.25">
      <c r="A8255" s="83"/>
      <c r="B8255" s="84"/>
      <c r="C8255" s="84"/>
      <c r="D8255" s="116"/>
      <c r="E8255" s="116"/>
    </row>
    <row r="8256" spans="1:5" x14ac:dyDescent="0.25">
      <c r="A8256" s="83"/>
      <c r="B8256" s="84"/>
      <c r="C8256" s="84"/>
      <c r="D8256" s="116"/>
      <c r="E8256" s="116"/>
    </row>
    <row r="8257" spans="1:5" x14ac:dyDescent="0.25">
      <c r="A8257" s="83"/>
      <c r="B8257" s="84"/>
      <c r="C8257" s="84"/>
      <c r="D8257" s="116"/>
      <c r="E8257" s="116"/>
    </row>
    <row r="8258" spans="1:5" x14ac:dyDescent="0.25">
      <c r="A8258" s="83"/>
      <c r="B8258" s="84"/>
      <c r="C8258" s="84"/>
      <c r="D8258" s="116"/>
      <c r="E8258" s="116"/>
    </row>
    <row r="8259" spans="1:5" x14ac:dyDescent="0.25">
      <c r="A8259" s="83"/>
      <c r="B8259" s="84"/>
      <c r="C8259" s="84"/>
      <c r="D8259" s="116"/>
      <c r="E8259" s="116"/>
    </row>
    <row r="8260" spans="1:5" x14ac:dyDescent="0.25">
      <c r="A8260" s="83"/>
      <c r="B8260" s="84"/>
      <c r="C8260" s="84"/>
      <c r="D8260" s="116"/>
      <c r="E8260" s="116"/>
    </row>
    <row r="8261" spans="1:5" x14ac:dyDescent="0.25">
      <c r="A8261" s="83"/>
      <c r="B8261" s="84"/>
      <c r="C8261" s="84"/>
      <c r="D8261" s="116"/>
      <c r="E8261" s="116"/>
    </row>
    <row r="8262" spans="1:5" x14ac:dyDescent="0.25">
      <c r="A8262" s="83"/>
      <c r="B8262" s="84"/>
      <c r="C8262" s="84"/>
      <c r="D8262" s="116"/>
      <c r="E8262" s="116"/>
    </row>
    <row r="8263" spans="1:5" x14ac:dyDescent="0.25">
      <c r="A8263" s="83"/>
      <c r="B8263" s="84"/>
      <c r="C8263" s="84"/>
      <c r="D8263" s="116"/>
      <c r="E8263" s="116"/>
    </row>
    <row r="8264" spans="1:5" x14ac:dyDescent="0.25">
      <c r="A8264" s="83"/>
      <c r="B8264" s="84"/>
      <c r="C8264" s="84"/>
      <c r="D8264" s="116"/>
      <c r="E8264" s="116"/>
    </row>
    <row r="8265" spans="1:5" x14ac:dyDescent="0.25">
      <c r="A8265" s="83"/>
      <c r="B8265" s="84"/>
      <c r="C8265" s="84"/>
      <c r="D8265" s="116"/>
      <c r="E8265" s="116"/>
    </row>
    <row r="8266" spans="1:5" x14ac:dyDescent="0.25">
      <c r="A8266" s="83"/>
      <c r="B8266" s="84"/>
      <c r="C8266" s="84"/>
      <c r="D8266" s="116"/>
      <c r="E8266" s="116"/>
    </row>
    <row r="8267" spans="1:5" x14ac:dyDescent="0.25">
      <c r="A8267" s="83"/>
      <c r="B8267" s="84"/>
      <c r="C8267" s="84"/>
      <c r="D8267" s="116"/>
      <c r="E8267" s="116"/>
    </row>
    <row r="8268" spans="1:5" x14ac:dyDescent="0.25">
      <c r="A8268" s="83"/>
      <c r="B8268" s="84"/>
      <c r="C8268" s="84"/>
      <c r="D8268" s="116"/>
      <c r="E8268" s="116"/>
    </row>
    <row r="8269" spans="1:5" x14ac:dyDescent="0.25">
      <c r="A8269" s="83"/>
      <c r="B8269" s="84"/>
      <c r="C8269" s="84"/>
      <c r="D8269" s="116"/>
      <c r="E8269" s="116"/>
    </row>
    <row r="8270" spans="1:5" x14ac:dyDescent="0.25">
      <c r="A8270" s="83"/>
      <c r="B8270" s="84"/>
      <c r="C8270" s="84"/>
      <c r="D8270" s="116"/>
      <c r="E8270" s="116"/>
    </row>
    <row r="8271" spans="1:5" x14ac:dyDescent="0.25">
      <c r="A8271" s="83"/>
      <c r="B8271" s="84"/>
      <c r="C8271" s="84"/>
      <c r="D8271" s="116"/>
      <c r="E8271" s="116"/>
    </row>
    <row r="8272" spans="1:5" x14ac:dyDescent="0.25">
      <c r="A8272" s="83"/>
      <c r="B8272" s="84"/>
      <c r="C8272" s="84"/>
      <c r="D8272" s="116"/>
      <c r="E8272" s="116"/>
    </row>
    <row r="8273" spans="1:5" x14ac:dyDescent="0.25">
      <c r="A8273" s="83"/>
      <c r="B8273" s="84"/>
      <c r="C8273" s="84"/>
      <c r="D8273" s="116"/>
      <c r="E8273" s="116"/>
    </row>
    <row r="8274" spans="1:5" x14ac:dyDescent="0.25">
      <c r="A8274" s="83"/>
      <c r="B8274" s="84"/>
      <c r="C8274" s="84"/>
      <c r="D8274" s="116"/>
      <c r="E8274" s="116"/>
    </row>
    <row r="8275" spans="1:5" x14ac:dyDescent="0.25">
      <c r="A8275" s="83"/>
      <c r="B8275" s="84"/>
      <c r="C8275" s="84"/>
      <c r="D8275" s="116"/>
      <c r="E8275" s="116"/>
    </row>
    <row r="8276" spans="1:5" x14ac:dyDescent="0.25">
      <c r="A8276" s="83"/>
      <c r="B8276" s="84"/>
      <c r="C8276" s="84"/>
      <c r="D8276" s="116"/>
      <c r="E8276" s="116"/>
    </row>
    <row r="8277" spans="1:5" x14ac:dyDescent="0.25">
      <c r="A8277" s="83"/>
      <c r="B8277" s="84"/>
      <c r="C8277" s="84"/>
      <c r="D8277" s="116"/>
      <c r="E8277" s="116"/>
    </row>
    <row r="8278" spans="1:5" x14ac:dyDescent="0.25">
      <c r="A8278" s="83"/>
      <c r="B8278" s="84"/>
      <c r="C8278" s="84"/>
      <c r="D8278" s="116"/>
      <c r="E8278" s="116"/>
    </row>
    <row r="8279" spans="1:5" x14ac:dyDescent="0.25">
      <c r="A8279" s="83"/>
      <c r="B8279" s="84"/>
      <c r="C8279" s="84"/>
      <c r="D8279" s="116"/>
      <c r="E8279" s="116"/>
    </row>
    <row r="8280" spans="1:5" x14ac:dyDescent="0.25">
      <c r="A8280" s="83"/>
      <c r="B8280" s="84"/>
      <c r="C8280" s="84"/>
      <c r="D8280" s="116"/>
      <c r="E8280" s="116"/>
    </row>
    <row r="8281" spans="1:5" x14ac:dyDescent="0.25">
      <c r="A8281" s="83"/>
      <c r="B8281" s="84"/>
      <c r="C8281" s="84"/>
      <c r="D8281" s="116"/>
      <c r="E8281" s="116"/>
    </row>
    <row r="8282" spans="1:5" x14ac:dyDescent="0.25">
      <c r="A8282" s="83"/>
      <c r="B8282" s="84"/>
      <c r="C8282" s="84"/>
      <c r="D8282" s="116"/>
      <c r="E8282" s="116"/>
    </row>
    <row r="8283" spans="1:5" x14ac:dyDescent="0.25">
      <c r="A8283" s="83"/>
      <c r="B8283" s="84"/>
      <c r="C8283" s="84"/>
      <c r="D8283" s="116"/>
      <c r="E8283" s="116"/>
    </row>
    <row r="8284" spans="1:5" x14ac:dyDescent="0.25">
      <c r="A8284" s="83"/>
      <c r="B8284" s="84"/>
      <c r="C8284" s="84"/>
      <c r="D8284" s="116"/>
      <c r="E8284" s="116"/>
    </row>
    <row r="8285" spans="1:5" x14ac:dyDescent="0.25">
      <c r="A8285" s="83"/>
      <c r="B8285" s="84"/>
      <c r="C8285" s="84"/>
      <c r="D8285" s="116"/>
      <c r="E8285" s="116"/>
    </row>
    <row r="8286" spans="1:5" x14ac:dyDescent="0.25">
      <c r="A8286" s="83"/>
      <c r="B8286" s="84"/>
      <c r="C8286" s="84"/>
      <c r="D8286" s="116"/>
      <c r="E8286" s="116"/>
    </row>
    <row r="8287" spans="1:5" x14ac:dyDescent="0.25">
      <c r="A8287" s="83"/>
      <c r="B8287" s="84"/>
      <c r="C8287" s="84"/>
      <c r="D8287" s="116"/>
      <c r="E8287" s="116"/>
    </row>
    <row r="8288" spans="1:5" x14ac:dyDescent="0.25">
      <c r="A8288" s="83"/>
      <c r="B8288" s="84"/>
      <c r="C8288" s="84"/>
      <c r="D8288" s="116"/>
      <c r="E8288" s="116"/>
    </row>
    <row r="8289" spans="1:5" x14ac:dyDescent="0.25">
      <c r="A8289" s="83"/>
      <c r="B8289" s="84"/>
      <c r="C8289" s="84"/>
      <c r="D8289" s="116"/>
      <c r="E8289" s="116"/>
    </row>
    <row r="8290" spans="1:5" x14ac:dyDescent="0.25">
      <c r="A8290" s="83"/>
      <c r="B8290" s="84"/>
      <c r="C8290" s="84"/>
      <c r="D8290" s="116"/>
      <c r="E8290" s="116"/>
    </row>
    <row r="8291" spans="1:5" x14ac:dyDescent="0.25">
      <c r="A8291" s="83"/>
      <c r="B8291" s="84"/>
      <c r="C8291" s="84"/>
      <c r="D8291" s="116"/>
      <c r="E8291" s="116"/>
    </row>
    <row r="8292" spans="1:5" x14ac:dyDescent="0.25">
      <c r="A8292" s="83"/>
      <c r="B8292" s="84"/>
      <c r="C8292" s="84"/>
      <c r="D8292" s="116"/>
      <c r="E8292" s="116"/>
    </row>
    <row r="8293" spans="1:5" x14ac:dyDescent="0.25">
      <c r="A8293" s="83"/>
      <c r="B8293" s="84"/>
      <c r="C8293" s="84"/>
      <c r="D8293" s="116"/>
      <c r="E8293" s="116"/>
    </row>
    <row r="8294" spans="1:5" x14ac:dyDescent="0.25">
      <c r="A8294" s="83"/>
      <c r="B8294" s="84"/>
      <c r="C8294" s="84"/>
      <c r="D8294" s="116"/>
      <c r="E8294" s="116"/>
    </row>
    <row r="8295" spans="1:5" x14ac:dyDescent="0.25">
      <c r="A8295" s="83"/>
      <c r="B8295" s="84"/>
      <c r="C8295" s="84"/>
      <c r="D8295" s="116"/>
      <c r="E8295" s="116"/>
    </row>
    <row r="8296" spans="1:5" x14ac:dyDescent="0.25">
      <c r="A8296" s="83"/>
      <c r="B8296" s="84"/>
      <c r="C8296" s="84"/>
      <c r="D8296" s="116"/>
      <c r="E8296" s="116"/>
    </row>
    <row r="8297" spans="1:5" x14ac:dyDescent="0.25">
      <c r="A8297" s="83"/>
      <c r="B8297" s="84"/>
      <c r="C8297" s="84"/>
      <c r="D8297" s="116"/>
      <c r="E8297" s="116"/>
    </row>
    <row r="8298" spans="1:5" x14ac:dyDescent="0.25">
      <c r="A8298" s="83"/>
      <c r="B8298" s="84"/>
      <c r="C8298" s="84"/>
      <c r="D8298" s="116"/>
      <c r="E8298" s="116"/>
    </row>
    <row r="8299" spans="1:5" x14ac:dyDescent="0.25">
      <c r="A8299" s="83"/>
      <c r="B8299" s="84"/>
      <c r="C8299" s="84"/>
      <c r="D8299" s="116"/>
      <c r="E8299" s="116"/>
    </row>
    <row r="8300" spans="1:5" x14ac:dyDescent="0.25">
      <c r="A8300" s="83"/>
      <c r="B8300" s="84"/>
      <c r="C8300" s="84"/>
      <c r="D8300" s="116"/>
      <c r="E8300" s="116"/>
    </row>
    <row r="8301" spans="1:5" x14ac:dyDescent="0.25">
      <c r="A8301" s="83"/>
      <c r="B8301" s="84"/>
      <c r="C8301" s="84"/>
      <c r="D8301" s="116"/>
      <c r="E8301" s="116"/>
    </row>
    <row r="8302" spans="1:5" x14ac:dyDescent="0.25">
      <c r="A8302" s="83"/>
      <c r="B8302" s="84"/>
      <c r="C8302" s="84"/>
      <c r="D8302" s="116"/>
      <c r="E8302" s="116"/>
    </row>
    <row r="8303" spans="1:5" x14ac:dyDescent="0.25">
      <c r="A8303" s="83"/>
      <c r="B8303" s="84"/>
      <c r="C8303" s="84"/>
      <c r="D8303" s="116"/>
      <c r="E8303" s="116"/>
    </row>
    <row r="8304" spans="1:5" x14ac:dyDescent="0.25">
      <c r="A8304" s="83"/>
      <c r="B8304" s="84"/>
      <c r="C8304" s="84"/>
      <c r="D8304" s="116"/>
      <c r="E8304" s="116"/>
    </row>
    <row r="8305" spans="1:5" x14ac:dyDescent="0.25">
      <c r="A8305" s="83"/>
      <c r="B8305" s="84"/>
      <c r="C8305" s="84"/>
      <c r="D8305" s="116"/>
      <c r="E8305" s="116"/>
    </row>
    <row r="8306" spans="1:5" x14ac:dyDescent="0.25">
      <c r="A8306" s="83"/>
      <c r="B8306" s="84"/>
      <c r="C8306" s="84"/>
      <c r="D8306" s="116"/>
      <c r="E8306" s="116"/>
    </row>
    <row r="8307" spans="1:5" x14ac:dyDescent="0.25">
      <c r="A8307" s="83"/>
      <c r="B8307" s="84"/>
      <c r="C8307" s="84"/>
      <c r="D8307" s="116"/>
      <c r="E8307" s="116"/>
    </row>
    <row r="8308" spans="1:5" x14ac:dyDescent="0.25">
      <c r="A8308" s="83"/>
      <c r="B8308" s="84"/>
      <c r="C8308" s="84"/>
      <c r="D8308" s="116"/>
      <c r="E8308" s="116"/>
    </row>
    <row r="8309" spans="1:5" x14ac:dyDescent="0.25">
      <c r="A8309" s="83"/>
      <c r="B8309" s="84"/>
      <c r="C8309" s="84"/>
      <c r="D8309" s="116"/>
      <c r="E8309" s="116"/>
    </row>
    <row r="8310" spans="1:5" x14ac:dyDescent="0.25">
      <c r="A8310" s="83"/>
      <c r="B8310" s="84"/>
      <c r="C8310" s="84"/>
      <c r="D8310" s="116"/>
      <c r="E8310" s="116"/>
    </row>
    <row r="8311" spans="1:5" x14ac:dyDescent="0.25">
      <c r="A8311" s="83"/>
      <c r="B8311" s="84"/>
      <c r="C8311" s="84"/>
      <c r="D8311" s="116"/>
      <c r="E8311" s="116"/>
    </row>
    <row r="8312" spans="1:5" x14ac:dyDescent="0.25">
      <c r="A8312" s="83"/>
      <c r="B8312" s="84"/>
      <c r="C8312" s="84"/>
      <c r="D8312" s="116"/>
      <c r="E8312" s="116"/>
    </row>
    <row r="8313" spans="1:5" x14ac:dyDescent="0.25">
      <c r="A8313" s="83"/>
      <c r="B8313" s="84"/>
      <c r="C8313" s="84"/>
      <c r="D8313" s="116"/>
      <c r="E8313" s="116"/>
    </row>
    <row r="8314" spans="1:5" x14ac:dyDescent="0.25">
      <c r="A8314" s="83"/>
      <c r="B8314" s="84"/>
      <c r="C8314" s="84"/>
      <c r="D8314" s="116"/>
      <c r="E8314" s="116"/>
    </row>
    <row r="8315" spans="1:5" x14ac:dyDescent="0.25">
      <c r="A8315" s="83"/>
      <c r="B8315" s="84"/>
      <c r="C8315" s="84"/>
      <c r="D8315" s="116"/>
      <c r="E8315" s="116"/>
    </row>
    <row r="8316" spans="1:5" x14ac:dyDescent="0.25">
      <c r="A8316" s="83"/>
      <c r="B8316" s="84"/>
      <c r="C8316" s="84"/>
      <c r="D8316" s="116"/>
      <c r="E8316" s="116"/>
    </row>
    <row r="8317" spans="1:5" x14ac:dyDescent="0.25">
      <c r="A8317" s="83"/>
      <c r="B8317" s="84"/>
      <c r="C8317" s="84"/>
      <c r="D8317" s="116"/>
      <c r="E8317" s="116"/>
    </row>
    <row r="8318" spans="1:5" x14ac:dyDescent="0.25">
      <c r="A8318" s="83"/>
      <c r="B8318" s="84"/>
      <c r="C8318" s="84"/>
      <c r="D8318" s="116"/>
      <c r="E8318" s="116"/>
    </row>
    <row r="8319" spans="1:5" x14ac:dyDescent="0.25">
      <c r="A8319" s="83"/>
      <c r="B8319" s="84"/>
      <c r="C8319" s="84"/>
      <c r="D8319" s="116"/>
      <c r="E8319" s="116"/>
    </row>
    <row r="8320" spans="1:5" x14ac:dyDescent="0.25">
      <c r="A8320" s="83"/>
      <c r="B8320" s="84"/>
      <c r="C8320" s="84"/>
      <c r="D8320" s="116"/>
      <c r="E8320" s="116"/>
    </row>
    <row r="8321" spans="1:5" x14ac:dyDescent="0.25">
      <c r="A8321" s="83"/>
      <c r="B8321" s="84"/>
      <c r="C8321" s="84"/>
      <c r="D8321" s="116"/>
      <c r="E8321" s="116"/>
    </row>
    <row r="8322" spans="1:5" x14ac:dyDescent="0.25">
      <c r="A8322" s="83"/>
      <c r="B8322" s="84"/>
      <c r="C8322" s="84"/>
      <c r="D8322" s="116"/>
      <c r="E8322" s="116"/>
    </row>
    <row r="8323" spans="1:5" x14ac:dyDescent="0.25">
      <c r="A8323" s="83"/>
      <c r="B8323" s="84"/>
      <c r="C8323" s="84"/>
      <c r="D8323" s="116"/>
      <c r="E8323" s="116"/>
    </row>
    <row r="8324" spans="1:5" x14ac:dyDescent="0.25">
      <c r="A8324" s="83"/>
      <c r="B8324" s="84"/>
      <c r="C8324" s="84"/>
      <c r="D8324" s="116"/>
      <c r="E8324" s="116"/>
    </row>
    <row r="8325" spans="1:5" x14ac:dyDescent="0.25">
      <c r="A8325" s="83"/>
      <c r="B8325" s="84"/>
      <c r="C8325" s="84"/>
      <c r="D8325" s="116"/>
      <c r="E8325" s="116"/>
    </row>
    <row r="8326" spans="1:5" x14ac:dyDescent="0.25">
      <c r="A8326" s="83"/>
      <c r="B8326" s="84"/>
      <c r="C8326" s="84"/>
      <c r="D8326" s="116"/>
      <c r="E8326" s="116"/>
    </row>
    <row r="8327" spans="1:5" x14ac:dyDescent="0.25">
      <c r="A8327" s="83"/>
      <c r="B8327" s="84"/>
      <c r="C8327" s="84"/>
      <c r="D8327" s="116"/>
      <c r="E8327" s="116"/>
    </row>
    <row r="8328" spans="1:5" x14ac:dyDescent="0.25">
      <c r="A8328" s="83"/>
      <c r="B8328" s="84"/>
      <c r="C8328" s="84"/>
      <c r="D8328" s="116"/>
      <c r="E8328" s="116"/>
    </row>
    <row r="8329" spans="1:5" x14ac:dyDescent="0.25">
      <c r="A8329" s="83"/>
      <c r="B8329" s="84"/>
      <c r="C8329" s="84"/>
      <c r="D8329" s="116"/>
      <c r="E8329" s="116"/>
    </row>
    <row r="8330" spans="1:5" x14ac:dyDescent="0.25">
      <c r="A8330" s="83"/>
      <c r="B8330" s="84"/>
      <c r="C8330" s="84"/>
      <c r="D8330" s="116"/>
      <c r="E8330" s="116"/>
    </row>
    <row r="8331" spans="1:5" x14ac:dyDescent="0.25">
      <c r="A8331" s="83"/>
      <c r="B8331" s="84"/>
      <c r="C8331" s="84"/>
      <c r="D8331" s="116"/>
      <c r="E8331" s="116"/>
    </row>
    <row r="8332" spans="1:5" x14ac:dyDescent="0.25">
      <c r="A8332" s="83"/>
      <c r="B8332" s="84"/>
      <c r="C8332" s="84"/>
      <c r="D8332" s="116"/>
      <c r="E8332" s="116"/>
    </row>
    <row r="8333" spans="1:5" x14ac:dyDescent="0.25">
      <c r="A8333" s="83"/>
      <c r="B8333" s="84"/>
      <c r="C8333" s="84"/>
      <c r="D8333" s="116"/>
      <c r="E8333" s="116"/>
    </row>
    <row r="8334" spans="1:5" x14ac:dyDescent="0.25">
      <c r="A8334" s="83"/>
      <c r="B8334" s="84"/>
      <c r="C8334" s="84"/>
      <c r="D8334" s="116"/>
      <c r="E8334" s="116"/>
    </row>
    <row r="8335" spans="1:5" x14ac:dyDescent="0.25">
      <c r="A8335" s="83"/>
      <c r="B8335" s="84"/>
      <c r="C8335" s="84"/>
      <c r="D8335" s="116"/>
      <c r="E8335" s="116"/>
    </row>
    <row r="8336" spans="1:5" x14ac:dyDescent="0.25">
      <c r="A8336" s="83"/>
      <c r="B8336" s="84"/>
      <c r="C8336" s="84"/>
      <c r="D8336" s="116"/>
      <c r="E8336" s="116"/>
    </row>
    <row r="8337" spans="1:5" x14ac:dyDescent="0.25">
      <c r="A8337" s="83"/>
      <c r="B8337" s="84"/>
      <c r="C8337" s="84"/>
      <c r="D8337" s="116"/>
      <c r="E8337" s="116"/>
    </row>
    <row r="8338" spans="1:5" x14ac:dyDescent="0.25">
      <c r="A8338" s="83"/>
      <c r="B8338" s="84"/>
      <c r="C8338" s="84"/>
      <c r="D8338" s="116"/>
      <c r="E8338" s="116"/>
    </row>
    <row r="8339" spans="1:5" x14ac:dyDescent="0.25">
      <c r="A8339" s="83"/>
      <c r="B8339" s="84"/>
      <c r="C8339" s="84"/>
      <c r="D8339" s="116"/>
      <c r="E8339" s="116"/>
    </row>
    <row r="8340" spans="1:5" x14ac:dyDescent="0.25">
      <c r="A8340" s="83"/>
      <c r="B8340" s="84"/>
      <c r="C8340" s="84"/>
      <c r="D8340" s="116"/>
      <c r="E8340" s="116"/>
    </row>
    <row r="8341" spans="1:5" x14ac:dyDescent="0.25">
      <c r="A8341" s="83"/>
      <c r="B8341" s="84"/>
      <c r="C8341" s="84"/>
      <c r="D8341" s="116"/>
      <c r="E8341" s="116"/>
    </row>
    <row r="8342" spans="1:5" x14ac:dyDescent="0.25">
      <c r="A8342" s="83"/>
      <c r="B8342" s="84"/>
      <c r="C8342" s="84"/>
      <c r="D8342" s="116"/>
      <c r="E8342" s="116"/>
    </row>
    <row r="8343" spans="1:5" x14ac:dyDescent="0.25">
      <c r="A8343" s="83"/>
      <c r="B8343" s="84"/>
      <c r="C8343" s="84"/>
      <c r="D8343" s="116"/>
      <c r="E8343" s="116"/>
    </row>
    <row r="8344" spans="1:5" x14ac:dyDescent="0.25">
      <c r="A8344" s="83"/>
      <c r="B8344" s="84"/>
      <c r="C8344" s="84"/>
      <c r="D8344" s="116"/>
      <c r="E8344" s="116"/>
    </row>
    <row r="8345" spans="1:5" x14ac:dyDescent="0.25">
      <c r="A8345" s="83"/>
      <c r="B8345" s="84"/>
      <c r="C8345" s="84"/>
      <c r="D8345" s="116"/>
      <c r="E8345" s="116"/>
    </row>
    <row r="8346" spans="1:5" x14ac:dyDescent="0.25">
      <c r="A8346" s="83"/>
      <c r="B8346" s="84"/>
      <c r="C8346" s="84"/>
      <c r="D8346" s="116"/>
      <c r="E8346" s="116"/>
    </row>
    <row r="8347" spans="1:5" x14ac:dyDescent="0.25">
      <c r="A8347" s="83"/>
      <c r="B8347" s="84"/>
      <c r="C8347" s="84"/>
      <c r="D8347" s="116"/>
      <c r="E8347" s="116"/>
    </row>
    <row r="8348" spans="1:5" x14ac:dyDescent="0.25">
      <c r="A8348" s="83"/>
      <c r="B8348" s="84"/>
      <c r="C8348" s="84"/>
      <c r="D8348" s="116"/>
      <c r="E8348" s="116"/>
    </row>
    <row r="8349" spans="1:5" x14ac:dyDescent="0.25">
      <c r="A8349" s="83"/>
      <c r="B8349" s="84"/>
      <c r="C8349" s="84"/>
      <c r="D8349" s="116"/>
      <c r="E8349" s="116"/>
    </row>
    <row r="8350" spans="1:5" x14ac:dyDescent="0.25">
      <c r="A8350" s="83"/>
      <c r="B8350" s="84"/>
      <c r="C8350" s="84"/>
      <c r="D8350" s="116"/>
      <c r="E8350" s="116"/>
    </row>
    <row r="8351" spans="1:5" x14ac:dyDescent="0.25">
      <c r="A8351" s="83"/>
      <c r="B8351" s="84"/>
      <c r="C8351" s="84"/>
      <c r="D8351" s="116"/>
      <c r="E8351" s="116"/>
    </row>
    <row r="8352" spans="1:5" x14ac:dyDescent="0.25">
      <c r="A8352" s="83"/>
      <c r="B8352" s="84"/>
      <c r="C8352" s="84"/>
      <c r="D8352" s="116"/>
      <c r="E8352" s="116"/>
    </row>
    <row r="8353" spans="1:5" x14ac:dyDescent="0.25">
      <c r="A8353" s="83"/>
      <c r="B8353" s="84"/>
      <c r="C8353" s="84"/>
      <c r="D8353" s="116"/>
      <c r="E8353" s="116"/>
    </row>
    <row r="8354" spans="1:5" x14ac:dyDescent="0.25">
      <c r="A8354" s="83"/>
      <c r="B8354" s="84"/>
      <c r="C8354" s="84"/>
      <c r="D8354" s="116"/>
      <c r="E8354" s="116"/>
    </row>
    <row r="8355" spans="1:5" x14ac:dyDescent="0.25">
      <c r="A8355" s="83"/>
      <c r="B8355" s="84"/>
      <c r="C8355" s="84"/>
      <c r="D8355" s="116"/>
      <c r="E8355" s="116"/>
    </row>
    <row r="8356" spans="1:5" x14ac:dyDescent="0.25">
      <c r="A8356" s="83"/>
      <c r="B8356" s="84"/>
      <c r="C8356" s="84"/>
      <c r="D8356" s="116"/>
      <c r="E8356" s="116"/>
    </row>
    <row r="8357" spans="1:5" x14ac:dyDescent="0.25">
      <c r="A8357" s="83"/>
      <c r="B8357" s="84"/>
      <c r="C8357" s="84"/>
      <c r="D8357" s="116"/>
      <c r="E8357" s="116"/>
    </row>
    <row r="8358" spans="1:5" x14ac:dyDescent="0.25">
      <c r="A8358" s="83"/>
      <c r="B8358" s="84"/>
      <c r="C8358" s="84"/>
      <c r="D8358" s="116"/>
      <c r="E8358" s="116"/>
    </row>
    <row r="8359" spans="1:5" x14ac:dyDescent="0.25">
      <c r="A8359" s="83"/>
      <c r="B8359" s="84"/>
      <c r="C8359" s="84"/>
      <c r="D8359" s="116"/>
      <c r="E8359" s="116"/>
    </row>
    <row r="8360" spans="1:5" x14ac:dyDescent="0.25">
      <c r="A8360" s="83"/>
      <c r="B8360" s="84"/>
      <c r="C8360" s="84"/>
      <c r="D8360" s="116"/>
      <c r="E8360" s="116"/>
    </row>
    <row r="8361" spans="1:5" x14ac:dyDescent="0.25">
      <c r="A8361" s="83"/>
      <c r="B8361" s="84"/>
      <c r="C8361" s="84"/>
      <c r="D8361" s="116"/>
      <c r="E8361" s="116"/>
    </row>
    <row r="8362" spans="1:5" x14ac:dyDescent="0.25">
      <c r="A8362" s="83"/>
      <c r="B8362" s="84"/>
      <c r="C8362" s="84"/>
      <c r="D8362" s="116"/>
      <c r="E8362" s="116"/>
    </row>
    <row r="8363" spans="1:5" x14ac:dyDescent="0.25">
      <c r="A8363" s="83"/>
      <c r="B8363" s="84"/>
      <c r="C8363" s="84"/>
      <c r="D8363" s="116"/>
      <c r="E8363" s="116"/>
    </row>
    <row r="8364" spans="1:5" x14ac:dyDescent="0.25">
      <c r="A8364" s="83"/>
      <c r="B8364" s="84"/>
      <c r="C8364" s="84"/>
      <c r="D8364" s="116"/>
      <c r="E8364" s="116"/>
    </row>
    <row r="8365" spans="1:5" x14ac:dyDescent="0.25">
      <c r="A8365" s="83"/>
      <c r="B8365" s="84"/>
      <c r="C8365" s="84"/>
      <c r="D8365" s="116"/>
      <c r="E8365" s="116"/>
    </row>
    <row r="8366" spans="1:5" x14ac:dyDescent="0.25">
      <c r="A8366" s="83"/>
      <c r="B8366" s="84"/>
      <c r="C8366" s="84"/>
      <c r="D8366" s="116"/>
      <c r="E8366" s="116"/>
    </row>
    <row r="8367" spans="1:5" x14ac:dyDescent="0.25">
      <c r="A8367" s="83"/>
      <c r="B8367" s="84"/>
      <c r="C8367" s="84"/>
      <c r="D8367" s="116"/>
      <c r="E8367" s="116"/>
    </row>
    <row r="8368" spans="1:5" x14ac:dyDescent="0.25">
      <c r="A8368" s="83"/>
      <c r="B8368" s="84"/>
      <c r="C8368" s="84"/>
      <c r="D8368" s="116"/>
      <c r="E8368" s="116"/>
    </row>
    <row r="8369" spans="1:5" x14ac:dyDescent="0.25">
      <c r="A8369" s="83"/>
      <c r="B8369" s="84"/>
      <c r="C8369" s="84"/>
      <c r="D8369" s="116"/>
      <c r="E8369" s="116"/>
    </row>
    <row r="8370" spans="1:5" x14ac:dyDescent="0.25">
      <c r="A8370" s="83"/>
      <c r="B8370" s="84"/>
      <c r="C8370" s="84"/>
      <c r="D8370" s="116"/>
      <c r="E8370" s="116"/>
    </row>
    <row r="8371" spans="1:5" x14ac:dyDescent="0.25">
      <c r="A8371" s="83"/>
      <c r="B8371" s="84"/>
      <c r="C8371" s="84"/>
      <c r="D8371" s="116"/>
      <c r="E8371" s="116"/>
    </row>
    <row r="8372" spans="1:5" x14ac:dyDescent="0.25">
      <c r="A8372" s="83"/>
      <c r="B8372" s="84"/>
      <c r="C8372" s="84"/>
      <c r="D8372" s="116"/>
      <c r="E8372" s="116"/>
    </row>
    <row r="8373" spans="1:5" x14ac:dyDescent="0.25">
      <c r="A8373" s="83"/>
      <c r="B8373" s="84"/>
      <c r="C8373" s="84"/>
      <c r="D8373" s="116"/>
      <c r="E8373" s="116"/>
    </row>
    <row r="8374" spans="1:5" x14ac:dyDescent="0.25">
      <c r="A8374" s="83"/>
      <c r="B8374" s="84"/>
      <c r="C8374" s="84"/>
      <c r="D8374" s="116"/>
      <c r="E8374" s="116"/>
    </row>
    <row r="8375" spans="1:5" x14ac:dyDescent="0.25">
      <c r="A8375" s="83"/>
      <c r="B8375" s="84"/>
      <c r="C8375" s="84"/>
      <c r="D8375" s="116"/>
      <c r="E8375" s="116"/>
    </row>
    <row r="8376" spans="1:5" x14ac:dyDescent="0.25">
      <c r="A8376" s="83"/>
      <c r="B8376" s="84"/>
      <c r="C8376" s="84"/>
      <c r="D8376" s="116"/>
      <c r="E8376" s="116"/>
    </row>
    <row r="8377" spans="1:5" x14ac:dyDescent="0.25">
      <c r="A8377" s="83"/>
      <c r="B8377" s="84"/>
      <c r="C8377" s="84"/>
      <c r="D8377" s="116"/>
      <c r="E8377" s="116"/>
    </row>
    <row r="8378" spans="1:5" x14ac:dyDescent="0.25">
      <c r="A8378" s="83"/>
      <c r="B8378" s="84"/>
      <c r="C8378" s="84"/>
      <c r="D8378" s="116"/>
      <c r="E8378" s="116"/>
    </row>
    <row r="8379" spans="1:5" x14ac:dyDescent="0.25">
      <c r="A8379" s="83"/>
      <c r="B8379" s="84"/>
      <c r="C8379" s="84"/>
      <c r="D8379" s="116"/>
      <c r="E8379" s="116"/>
    </row>
    <row r="8380" spans="1:5" x14ac:dyDescent="0.25">
      <c r="A8380" s="83"/>
      <c r="B8380" s="84"/>
      <c r="C8380" s="84"/>
      <c r="D8380" s="116"/>
      <c r="E8380" s="116"/>
    </row>
    <row r="8381" spans="1:5" x14ac:dyDescent="0.25">
      <c r="A8381" s="83"/>
      <c r="B8381" s="84"/>
      <c r="C8381" s="84"/>
      <c r="D8381" s="116"/>
      <c r="E8381" s="116"/>
    </row>
    <row r="8382" spans="1:5" x14ac:dyDescent="0.25">
      <c r="A8382" s="83"/>
      <c r="B8382" s="84"/>
      <c r="C8382" s="84"/>
      <c r="D8382" s="116"/>
      <c r="E8382" s="116"/>
    </row>
    <row r="8383" spans="1:5" x14ac:dyDescent="0.25">
      <c r="A8383" s="83"/>
      <c r="B8383" s="84"/>
      <c r="C8383" s="84"/>
      <c r="D8383" s="116"/>
      <c r="E8383" s="116"/>
    </row>
    <row r="8384" spans="1:5" x14ac:dyDescent="0.25">
      <c r="A8384" s="83"/>
      <c r="B8384" s="84"/>
      <c r="C8384" s="84"/>
      <c r="D8384" s="116"/>
      <c r="E8384" s="116"/>
    </row>
    <row r="8385" spans="1:5" x14ac:dyDescent="0.25">
      <c r="A8385" s="83"/>
      <c r="B8385" s="84"/>
      <c r="C8385" s="84"/>
      <c r="D8385" s="116"/>
      <c r="E8385" s="116"/>
    </row>
    <row r="8386" spans="1:5" x14ac:dyDescent="0.25">
      <c r="A8386" s="83"/>
      <c r="B8386" s="84"/>
      <c r="C8386" s="84"/>
      <c r="D8386" s="116"/>
      <c r="E8386" s="116"/>
    </row>
    <row r="8387" spans="1:5" x14ac:dyDescent="0.25">
      <c r="A8387" s="83"/>
      <c r="B8387" s="84"/>
      <c r="C8387" s="84"/>
      <c r="D8387" s="116"/>
      <c r="E8387" s="116"/>
    </row>
    <row r="8388" spans="1:5" x14ac:dyDescent="0.25">
      <c r="A8388" s="83"/>
      <c r="B8388" s="84"/>
      <c r="C8388" s="84"/>
      <c r="D8388" s="116"/>
      <c r="E8388" s="116"/>
    </row>
    <row r="8389" spans="1:5" x14ac:dyDescent="0.25">
      <c r="A8389" s="83"/>
      <c r="B8389" s="84"/>
      <c r="C8389" s="84"/>
      <c r="D8389" s="116"/>
      <c r="E8389" s="116"/>
    </row>
    <row r="8390" spans="1:5" x14ac:dyDescent="0.25">
      <c r="A8390" s="83"/>
      <c r="B8390" s="84"/>
      <c r="C8390" s="84"/>
      <c r="D8390" s="116"/>
      <c r="E8390" s="116"/>
    </row>
    <row r="8391" spans="1:5" x14ac:dyDescent="0.25">
      <c r="A8391" s="83"/>
      <c r="B8391" s="84"/>
      <c r="C8391" s="84"/>
      <c r="D8391" s="116"/>
      <c r="E8391" s="116"/>
    </row>
    <row r="8392" spans="1:5" x14ac:dyDescent="0.25">
      <c r="A8392" s="83"/>
      <c r="B8392" s="84"/>
      <c r="C8392" s="84"/>
      <c r="D8392" s="116"/>
      <c r="E8392" s="116"/>
    </row>
    <row r="8393" spans="1:5" x14ac:dyDescent="0.25">
      <c r="A8393" s="83"/>
      <c r="B8393" s="84"/>
      <c r="C8393" s="84"/>
      <c r="D8393" s="116"/>
      <c r="E8393" s="116"/>
    </row>
    <row r="8394" spans="1:5" x14ac:dyDescent="0.25">
      <c r="A8394" s="83"/>
      <c r="B8394" s="84"/>
      <c r="C8394" s="84"/>
      <c r="D8394" s="116"/>
      <c r="E8394" s="116"/>
    </row>
    <row r="8395" spans="1:5" x14ac:dyDescent="0.25">
      <c r="A8395" s="83"/>
      <c r="B8395" s="84"/>
      <c r="C8395" s="84"/>
      <c r="D8395" s="116"/>
      <c r="E8395" s="116"/>
    </row>
    <row r="8396" spans="1:5" x14ac:dyDescent="0.25">
      <c r="A8396" s="83"/>
      <c r="B8396" s="84"/>
      <c r="C8396" s="84"/>
      <c r="D8396" s="116"/>
      <c r="E8396" s="116"/>
    </row>
    <row r="8397" spans="1:5" x14ac:dyDescent="0.25">
      <c r="A8397" s="83"/>
      <c r="B8397" s="84"/>
      <c r="C8397" s="84"/>
      <c r="D8397" s="116"/>
      <c r="E8397" s="116"/>
    </row>
    <row r="8398" spans="1:5" x14ac:dyDescent="0.25">
      <c r="A8398" s="83"/>
      <c r="B8398" s="84"/>
      <c r="C8398" s="84"/>
      <c r="D8398" s="116"/>
      <c r="E8398" s="116"/>
    </row>
    <row r="8399" spans="1:5" x14ac:dyDescent="0.25">
      <c r="A8399" s="83"/>
      <c r="B8399" s="84"/>
      <c r="C8399" s="84"/>
      <c r="D8399" s="116"/>
      <c r="E8399" s="116"/>
    </row>
    <row r="8400" spans="1:5" x14ac:dyDescent="0.25">
      <c r="A8400" s="83"/>
      <c r="B8400" s="84"/>
      <c r="C8400" s="84"/>
      <c r="D8400" s="116"/>
      <c r="E8400" s="116"/>
    </row>
    <row r="8401" spans="1:5" x14ac:dyDescent="0.25">
      <c r="A8401" s="83"/>
      <c r="B8401" s="84"/>
      <c r="C8401" s="84"/>
      <c r="D8401" s="116"/>
      <c r="E8401" s="116"/>
    </row>
    <row r="8402" spans="1:5" x14ac:dyDescent="0.25">
      <c r="A8402" s="83"/>
      <c r="B8402" s="84"/>
      <c r="C8402" s="84"/>
      <c r="D8402" s="116"/>
      <c r="E8402" s="116"/>
    </row>
    <row r="8403" spans="1:5" x14ac:dyDescent="0.25">
      <c r="A8403" s="83"/>
      <c r="B8403" s="84"/>
      <c r="C8403" s="84"/>
      <c r="D8403" s="116"/>
      <c r="E8403" s="116"/>
    </row>
    <row r="8404" spans="1:5" x14ac:dyDescent="0.25">
      <c r="A8404" s="83"/>
      <c r="B8404" s="84"/>
      <c r="C8404" s="84"/>
      <c r="D8404" s="116"/>
      <c r="E8404" s="116"/>
    </row>
    <row r="8405" spans="1:5" x14ac:dyDescent="0.25">
      <c r="A8405" s="83"/>
      <c r="B8405" s="84"/>
      <c r="C8405" s="84"/>
      <c r="D8405" s="116"/>
      <c r="E8405" s="116"/>
    </row>
    <row r="8406" spans="1:5" x14ac:dyDescent="0.25">
      <c r="A8406" s="83"/>
      <c r="B8406" s="84"/>
      <c r="C8406" s="84"/>
      <c r="D8406" s="116"/>
      <c r="E8406" s="116"/>
    </row>
    <row r="8407" spans="1:5" x14ac:dyDescent="0.25">
      <c r="A8407" s="83"/>
      <c r="B8407" s="84"/>
      <c r="C8407" s="84"/>
      <c r="D8407" s="116"/>
      <c r="E8407" s="116"/>
    </row>
    <row r="8408" spans="1:5" x14ac:dyDescent="0.25">
      <c r="A8408" s="83"/>
      <c r="B8408" s="84"/>
      <c r="C8408" s="84"/>
      <c r="D8408" s="116"/>
      <c r="E8408" s="116"/>
    </row>
    <row r="8409" spans="1:5" x14ac:dyDescent="0.25">
      <c r="A8409" s="83"/>
      <c r="B8409" s="84"/>
      <c r="C8409" s="84"/>
      <c r="D8409" s="116"/>
      <c r="E8409" s="116"/>
    </row>
    <row r="8410" spans="1:5" x14ac:dyDescent="0.25">
      <c r="A8410" s="83"/>
      <c r="B8410" s="84"/>
      <c r="C8410" s="84"/>
      <c r="D8410" s="116"/>
      <c r="E8410" s="116"/>
    </row>
    <row r="8411" spans="1:5" x14ac:dyDescent="0.25">
      <c r="A8411" s="83"/>
      <c r="B8411" s="84"/>
      <c r="C8411" s="84"/>
      <c r="D8411" s="116"/>
      <c r="E8411" s="116"/>
    </row>
    <row r="8412" spans="1:5" x14ac:dyDescent="0.25">
      <c r="A8412" s="83"/>
      <c r="B8412" s="84"/>
      <c r="C8412" s="84"/>
      <c r="D8412" s="116"/>
      <c r="E8412" s="116"/>
    </row>
    <row r="8413" spans="1:5" x14ac:dyDescent="0.25">
      <c r="A8413" s="83"/>
      <c r="B8413" s="84"/>
      <c r="C8413" s="84"/>
      <c r="D8413" s="116"/>
      <c r="E8413" s="116"/>
    </row>
    <row r="8414" spans="1:5" x14ac:dyDescent="0.25">
      <c r="A8414" s="83"/>
      <c r="B8414" s="84"/>
      <c r="C8414" s="84"/>
      <c r="D8414" s="116"/>
      <c r="E8414" s="116"/>
    </row>
    <row r="8415" spans="1:5" x14ac:dyDescent="0.25">
      <c r="A8415" s="83"/>
      <c r="B8415" s="84"/>
      <c r="C8415" s="84"/>
      <c r="D8415" s="116"/>
      <c r="E8415" s="116"/>
    </row>
    <row r="8416" spans="1:5" x14ac:dyDescent="0.25">
      <c r="A8416" s="83"/>
      <c r="B8416" s="84"/>
      <c r="C8416" s="84"/>
      <c r="D8416" s="116"/>
      <c r="E8416" s="116"/>
    </row>
    <row r="8417" spans="1:5" x14ac:dyDescent="0.25">
      <c r="A8417" s="83"/>
      <c r="B8417" s="84"/>
      <c r="C8417" s="84"/>
      <c r="D8417" s="116"/>
      <c r="E8417" s="116"/>
    </row>
    <row r="8418" spans="1:5" x14ac:dyDescent="0.25">
      <c r="A8418" s="83"/>
      <c r="B8418" s="84"/>
      <c r="C8418" s="84"/>
      <c r="D8418" s="116"/>
      <c r="E8418" s="116"/>
    </row>
    <row r="8419" spans="1:5" x14ac:dyDescent="0.25">
      <c r="A8419" s="83"/>
      <c r="B8419" s="84"/>
      <c r="C8419" s="84"/>
      <c r="D8419" s="116"/>
      <c r="E8419" s="116"/>
    </row>
    <row r="8420" spans="1:5" x14ac:dyDescent="0.25">
      <c r="A8420" s="83"/>
      <c r="B8420" s="84"/>
      <c r="C8420" s="84"/>
      <c r="D8420" s="116"/>
      <c r="E8420" s="116"/>
    </row>
    <row r="8421" spans="1:5" x14ac:dyDescent="0.25">
      <c r="A8421" s="83"/>
      <c r="B8421" s="84"/>
      <c r="C8421" s="84"/>
      <c r="D8421" s="116"/>
      <c r="E8421" s="116"/>
    </row>
    <row r="8422" spans="1:5" x14ac:dyDescent="0.25">
      <c r="A8422" s="83"/>
      <c r="B8422" s="84"/>
      <c r="C8422" s="84"/>
      <c r="D8422" s="116"/>
      <c r="E8422" s="116"/>
    </row>
    <row r="8423" spans="1:5" x14ac:dyDescent="0.25">
      <c r="A8423" s="83"/>
      <c r="B8423" s="84"/>
      <c r="C8423" s="84"/>
      <c r="D8423" s="116"/>
      <c r="E8423" s="116"/>
    </row>
    <row r="8424" spans="1:5" x14ac:dyDescent="0.25">
      <c r="A8424" s="83"/>
      <c r="B8424" s="84"/>
      <c r="C8424" s="84"/>
      <c r="D8424" s="116"/>
      <c r="E8424" s="116"/>
    </row>
    <row r="8425" spans="1:5" x14ac:dyDescent="0.25">
      <c r="A8425" s="83"/>
      <c r="B8425" s="84"/>
      <c r="C8425" s="84"/>
      <c r="D8425" s="116"/>
      <c r="E8425" s="116"/>
    </row>
    <row r="8426" spans="1:5" x14ac:dyDescent="0.25">
      <c r="A8426" s="83"/>
      <c r="B8426" s="84"/>
      <c r="C8426" s="84"/>
      <c r="D8426" s="116"/>
      <c r="E8426" s="116"/>
    </row>
    <row r="8427" spans="1:5" x14ac:dyDescent="0.25">
      <c r="A8427" s="83"/>
      <c r="B8427" s="84"/>
      <c r="C8427" s="84"/>
      <c r="D8427" s="116"/>
      <c r="E8427" s="116"/>
    </row>
    <row r="8428" spans="1:5" x14ac:dyDescent="0.25">
      <c r="A8428" s="83"/>
      <c r="B8428" s="84"/>
      <c r="C8428" s="84"/>
      <c r="D8428" s="116"/>
      <c r="E8428" s="116"/>
    </row>
    <row r="8429" spans="1:5" x14ac:dyDescent="0.25">
      <c r="A8429" s="83"/>
      <c r="B8429" s="84"/>
      <c r="C8429" s="84"/>
      <c r="D8429" s="116"/>
      <c r="E8429" s="116"/>
    </row>
    <row r="8430" spans="1:5" x14ac:dyDescent="0.25">
      <c r="A8430" s="83"/>
      <c r="B8430" s="84"/>
      <c r="C8430" s="84"/>
      <c r="D8430" s="116"/>
      <c r="E8430" s="116"/>
    </row>
    <row r="8431" spans="1:5" x14ac:dyDescent="0.25">
      <c r="A8431" s="83"/>
      <c r="B8431" s="84"/>
      <c r="C8431" s="84"/>
      <c r="D8431" s="116"/>
      <c r="E8431" s="116"/>
    </row>
    <row r="8432" spans="1:5" x14ac:dyDescent="0.25">
      <c r="A8432" s="83"/>
      <c r="B8432" s="84"/>
      <c r="C8432" s="84"/>
      <c r="D8432" s="116"/>
      <c r="E8432" s="116"/>
    </row>
    <row r="8433" spans="1:5" x14ac:dyDescent="0.25">
      <c r="A8433" s="83"/>
      <c r="B8433" s="84"/>
      <c r="C8433" s="84"/>
      <c r="D8433" s="116"/>
      <c r="E8433" s="116"/>
    </row>
    <row r="8434" spans="1:5" x14ac:dyDescent="0.25">
      <c r="A8434" s="83"/>
      <c r="B8434" s="84"/>
      <c r="C8434" s="84"/>
      <c r="D8434" s="116"/>
      <c r="E8434" s="116"/>
    </row>
    <row r="8435" spans="1:5" x14ac:dyDescent="0.25">
      <c r="A8435" s="83"/>
      <c r="B8435" s="84"/>
      <c r="C8435" s="84"/>
      <c r="D8435" s="116"/>
      <c r="E8435" s="116"/>
    </row>
    <row r="8436" spans="1:5" x14ac:dyDescent="0.25">
      <c r="A8436" s="83"/>
      <c r="B8436" s="84"/>
      <c r="C8436" s="84"/>
      <c r="D8436" s="116"/>
      <c r="E8436" s="116"/>
    </row>
    <row r="8437" spans="1:5" x14ac:dyDescent="0.25">
      <c r="A8437" s="83"/>
      <c r="B8437" s="84"/>
      <c r="C8437" s="84"/>
      <c r="D8437" s="116"/>
      <c r="E8437" s="116"/>
    </row>
    <row r="8438" spans="1:5" x14ac:dyDescent="0.25">
      <c r="A8438" s="83"/>
      <c r="B8438" s="84"/>
      <c r="C8438" s="84"/>
      <c r="D8438" s="116"/>
      <c r="E8438" s="116"/>
    </row>
    <row r="8439" spans="1:5" x14ac:dyDescent="0.25">
      <c r="A8439" s="83"/>
      <c r="B8439" s="84"/>
      <c r="C8439" s="84"/>
      <c r="D8439" s="116"/>
      <c r="E8439" s="116"/>
    </row>
    <row r="8440" spans="1:5" x14ac:dyDescent="0.25">
      <c r="A8440" s="83"/>
      <c r="B8440" s="84"/>
      <c r="C8440" s="84"/>
      <c r="D8440" s="116"/>
      <c r="E8440" s="116"/>
    </row>
    <row r="8441" spans="1:5" x14ac:dyDescent="0.25">
      <c r="A8441" s="83"/>
      <c r="B8441" s="84"/>
      <c r="C8441" s="84"/>
      <c r="D8441" s="116"/>
      <c r="E8441" s="116"/>
    </row>
    <row r="8442" spans="1:5" x14ac:dyDescent="0.25">
      <c r="A8442" s="83"/>
      <c r="B8442" s="84"/>
      <c r="C8442" s="84"/>
      <c r="D8442" s="116"/>
      <c r="E8442" s="116"/>
    </row>
    <row r="8443" spans="1:5" x14ac:dyDescent="0.25">
      <c r="A8443" s="83"/>
      <c r="B8443" s="84"/>
      <c r="C8443" s="84"/>
      <c r="D8443" s="116"/>
      <c r="E8443" s="116"/>
    </row>
    <row r="8444" spans="1:5" x14ac:dyDescent="0.25">
      <c r="A8444" s="83"/>
      <c r="B8444" s="84"/>
      <c r="C8444" s="84"/>
      <c r="D8444" s="116"/>
      <c r="E8444" s="116"/>
    </row>
    <row r="8445" spans="1:5" x14ac:dyDescent="0.25">
      <c r="A8445" s="83"/>
      <c r="B8445" s="84"/>
      <c r="C8445" s="84"/>
      <c r="D8445" s="116"/>
      <c r="E8445" s="116"/>
    </row>
    <row r="8446" spans="1:5" x14ac:dyDescent="0.25">
      <c r="A8446" s="83"/>
      <c r="B8446" s="84"/>
      <c r="C8446" s="84"/>
      <c r="D8446" s="116"/>
      <c r="E8446" s="116"/>
    </row>
    <row r="8447" spans="1:5" x14ac:dyDescent="0.25">
      <c r="A8447" s="83"/>
      <c r="B8447" s="84"/>
      <c r="C8447" s="84"/>
      <c r="D8447" s="116"/>
      <c r="E8447" s="116"/>
    </row>
    <row r="8448" spans="1:5" x14ac:dyDescent="0.25">
      <c r="A8448" s="83"/>
      <c r="B8448" s="84"/>
      <c r="C8448" s="84"/>
      <c r="D8448" s="116"/>
      <c r="E8448" s="116"/>
    </row>
    <row r="8449" spans="1:5" x14ac:dyDescent="0.25">
      <c r="A8449" s="83"/>
      <c r="B8449" s="84"/>
      <c r="C8449" s="84"/>
      <c r="D8449" s="116"/>
      <c r="E8449" s="116"/>
    </row>
    <row r="8450" spans="1:5" x14ac:dyDescent="0.25">
      <c r="A8450" s="83"/>
      <c r="B8450" s="84"/>
      <c r="C8450" s="84"/>
      <c r="D8450" s="116"/>
      <c r="E8450" s="116"/>
    </row>
    <row r="8451" spans="1:5" x14ac:dyDescent="0.25">
      <c r="A8451" s="83"/>
      <c r="B8451" s="84"/>
      <c r="C8451" s="84"/>
      <c r="D8451" s="116"/>
      <c r="E8451" s="116"/>
    </row>
    <row r="8452" spans="1:5" x14ac:dyDescent="0.25">
      <c r="A8452" s="83"/>
      <c r="B8452" s="84"/>
      <c r="C8452" s="84"/>
      <c r="D8452" s="116"/>
      <c r="E8452" s="116"/>
    </row>
    <row r="8453" spans="1:5" x14ac:dyDescent="0.25">
      <c r="A8453" s="83"/>
      <c r="B8453" s="84"/>
      <c r="C8453" s="84"/>
      <c r="D8453" s="116"/>
      <c r="E8453" s="116"/>
    </row>
    <row r="8454" spans="1:5" x14ac:dyDescent="0.25">
      <c r="A8454" s="83"/>
      <c r="B8454" s="84"/>
      <c r="C8454" s="84"/>
      <c r="D8454" s="116"/>
      <c r="E8454" s="116"/>
    </row>
    <row r="8455" spans="1:5" x14ac:dyDescent="0.25">
      <c r="A8455" s="83"/>
      <c r="B8455" s="84"/>
      <c r="C8455" s="84"/>
      <c r="D8455" s="116"/>
      <c r="E8455" s="116"/>
    </row>
    <row r="8456" spans="1:5" x14ac:dyDescent="0.25">
      <c r="A8456" s="83"/>
      <c r="B8456" s="84"/>
      <c r="C8456" s="84"/>
      <c r="D8456" s="116"/>
      <c r="E8456" s="116"/>
    </row>
    <row r="8457" spans="1:5" x14ac:dyDescent="0.25">
      <c r="A8457" s="83"/>
      <c r="B8457" s="84"/>
      <c r="C8457" s="84"/>
      <c r="D8457" s="116"/>
      <c r="E8457" s="116"/>
    </row>
    <row r="8458" spans="1:5" x14ac:dyDescent="0.25">
      <c r="A8458" s="83"/>
      <c r="B8458" s="84"/>
      <c r="C8458" s="84"/>
      <c r="D8458" s="116"/>
      <c r="E8458" s="116"/>
    </row>
    <row r="8459" spans="1:5" x14ac:dyDescent="0.25">
      <c r="A8459" s="83"/>
      <c r="B8459" s="84"/>
      <c r="C8459" s="84"/>
      <c r="D8459" s="116"/>
      <c r="E8459" s="116"/>
    </row>
    <row r="8460" spans="1:5" x14ac:dyDescent="0.25">
      <c r="A8460" s="83"/>
      <c r="B8460" s="84"/>
      <c r="C8460" s="84"/>
      <c r="D8460" s="116"/>
      <c r="E8460" s="116"/>
    </row>
    <row r="8461" spans="1:5" x14ac:dyDescent="0.25">
      <c r="A8461" s="83"/>
      <c r="B8461" s="84"/>
      <c r="C8461" s="84"/>
      <c r="D8461" s="116"/>
      <c r="E8461" s="116"/>
    </row>
    <row r="8462" spans="1:5" x14ac:dyDescent="0.25">
      <c r="A8462" s="83"/>
      <c r="B8462" s="84"/>
      <c r="C8462" s="84"/>
      <c r="D8462" s="116"/>
      <c r="E8462" s="116"/>
    </row>
    <row r="8463" spans="1:5" x14ac:dyDescent="0.25">
      <c r="A8463" s="83"/>
      <c r="B8463" s="84"/>
      <c r="C8463" s="84"/>
      <c r="D8463" s="116"/>
      <c r="E8463" s="116"/>
    </row>
    <row r="8464" spans="1:5" x14ac:dyDescent="0.25">
      <c r="A8464" s="83"/>
      <c r="B8464" s="84"/>
      <c r="C8464" s="84"/>
      <c r="D8464" s="116"/>
      <c r="E8464" s="116"/>
    </row>
    <row r="8465" spans="1:5" x14ac:dyDescent="0.25">
      <c r="A8465" s="83"/>
      <c r="B8465" s="84"/>
      <c r="C8465" s="84"/>
      <c r="D8465" s="116"/>
      <c r="E8465" s="116"/>
    </row>
    <row r="8466" spans="1:5" x14ac:dyDescent="0.25">
      <c r="A8466" s="83"/>
      <c r="B8466" s="84"/>
      <c r="C8466" s="84"/>
      <c r="D8466" s="116"/>
      <c r="E8466" s="116"/>
    </row>
    <row r="8467" spans="1:5" x14ac:dyDescent="0.25">
      <c r="A8467" s="83"/>
      <c r="B8467" s="84"/>
      <c r="C8467" s="84"/>
      <c r="D8467" s="116"/>
      <c r="E8467" s="116"/>
    </row>
    <row r="8468" spans="1:5" x14ac:dyDescent="0.25">
      <c r="A8468" s="83"/>
      <c r="B8468" s="84"/>
      <c r="C8468" s="84"/>
      <c r="D8468" s="116"/>
      <c r="E8468" s="116"/>
    </row>
    <row r="8469" spans="1:5" x14ac:dyDescent="0.25">
      <c r="A8469" s="83"/>
      <c r="B8469" s="84"/>
      <c r="C8469" s="84"/>
      <c r="D8469" s="116"/>
      <c r="E8469" s="116"/>
    </row>
    <row r="8470" spans="1:5" x14ac:dyDescent="0.25">
      <c r="A8470" s="83"/>
      <c r="B8470" s="84"/>
      <c r="C8470" s="84"/>
      <c r="D8470" s="116"/>
      <c r="E8470" s="116"/>
    </row>
    <row r="8471" spans="1:5" x14ac:dyDescent="0.25">
      <c r="A8471" s="83"/>
      <c r="B8471" s="84"/>
      <c r="C8471" s="84"/>
      <c r="D8471" s="116"/>
      <c r="E8471" s="116"/>
    </row>
    <row r="8472" spans="1:5" x14ac:dyDescent="0.25">
      <c r="A8472" s="83"/>
      <c r="B8472" s="84"/>
      <c r="C8472" s="84"/>
      <c r="D8472" s="116"/>
      <c r="E8472" s="116"/>
    </row>
    <row r="8473" spans="1:5" x14ac:dyDescent="0.25">
      <c r="A8473" s="83"/>
      <c r="B8473" s="84"/>
      <c r="C8473" s="84"/>
      <c r="D8473" s="116"/>
      <c r="E8473" s="116"/>
    </row>
    <row r="8474" spans="1:5" x14ac:dyDescent="0.25">
      <c r="A8474" s="83"/>
      <c r="B8474" s="84"/>
      <c r="C8474" s="84"/>
      <c r="D8474" s="116"/>
      <c r="E8474" s="116"/>
    </row>
    <row r="8475" spans="1:5" x14ac:dyDescent="0.25">
      <c r="A8475" s="83"/>
      <c r="B8475" s="84"/>
      <c r="C8475" s="84"/>
      <c r="D8475" s="116"/>
      <c r="E8475" s="116"/>
    </row>
    <row r="8476" spans="1:5" x14ac:dyDescent="0.25">
      <c r="A8476" s="83"/>
      <c r="B8476" s="84"/>
      <c r="C8476" s="84"/>
      <c r="D8476" s="116"/>
      <c r="E8476" s="116"/>
    </row>
    <row r="8477" spans="1:5" x14ac:dyDescent="0.25">
      <c r="A8477" s="83"/>
      <c r="B8477" s="84"/>
      <c r="C8477" s="84"/>
      <c r="D8477" s="116"/>
      <c r="E8477" s="116"/>
    </row>
    <row r="8478" spans="1:5" x14ac:dyDescent="0.25">
      <c r="A8478" s="83"/>
      <c r="B8478" s="84"/>
      <c r="C8478" s="84"/>
      <c r="D8478" s="116"/>
      <c r="E8478" s="116"/>
    </row>
    <row r="8479" spans="1:5" x14ac:dyDescent="0.25">
      <c r="A8479" s="83"/>
      <c r="B8479" s="84"/>
      <c r="C8479" s="84"/>
      <c r="D8479" s="116"/>
      <c r="E8479" s="116"/>
    </row>
    <row r="8480" spans="1:5" x14ac:dyDescent="0.25">
      <c r="A8480" s="83"/>
      <c r="B8480" s="84"/>
      <c r="C8480" s="84"/>
      <c r="D8480" s="116"/>
      <c r="E8480" s="116"/>
    </row>
    <row r="8481" spans="1:5" x14ac:dyDescent="0.25">
      <c r="A8481" s="83"/>
      <c r="B8481" s="84"/>
      <c r="C8481" s="84"/>
      <c r="D8481" s="116"/>
      <c r="E8481" s="116"/>
    </row>
    <row r="8482" spans="1:5" x14ac:dyDescent="0.25">
      <c r="A8482" s="83"/>
      <c r="B8482" s="84"/>
      <c r="C8482" s="84"/>
      <c r="D8482" s="116"/>
      <c r="E8482" s="116"/>
    </row>
    <row r="8483" spans="1:5" x14ac:dyDescent="0.25">
      <c r="A8483" s="83"/>
      <c r="B8483" s="84"/>
      <c r="C8483" s="84"/>
      <c r="D8483" s="116"/>
      <c r="E8483" s="116"/>
    </row>
    <row r="8484" spans="1:5" x14ac:dyDescent="0.25">
      <c r="A8484" s="83"/>
      <c r="B8484" s="84"/>
      <c r="C8484" s="84"/>
      <c r="D8484" s="116"/>
      <c r="E8484" s="116"/>
    </row>
    <row r="8485" spans="1:5" x14ac:dyDescent="0.25">
      <c r="A8485" s="83"/>
      <c r="B8485" s="84"/>
      <c r="C8485" s="84"/>
      <c r="D8485" s="116"/>
      <c r="E8485" s="116"/>
    </row>
    <row r="8486" spans="1:5" x14ac:dyDescent="0.25">
      <c r="A8486" s="83"/>
      <c r="B8486" s="84"/>
      <c r="C8486" s="84"/>
      <c r="D8486" s="116"/>
      <c r="E8486" s="116"/>
    </row>
    <row r="8487" spans="1:5" x14ac:dyDescent="0.25">
      <c r="A8487" s="83"/>
      <c r="B8487" s="84"/>
      <c r="C8487" s="84"/>
      <c r="D8487" s="116"/>
      <c r="E8487" s="116"/>
    </row>
    <row r="8488" spans="1:5" x14ac:dyDescent="0.25">
      <c r="A8488" s="83"/>
      <c r="B8488" s="84"/>
      <c r="C8488" s="84"/>
      <c r="D8488" s="116"/>
      <c r="E8488" s="116"/>
    </row>
    <row r="8489" spans="1:5" x14ac:dyDescent="0.25">
      <c r="A8489" s="83"/>
      <c r="B8489" s="84"/>
      <c r="C8489" s="84"/>
      <c r="D8489" s="116"/>
      <c r="E8489" s="116"/>
    </row>
    <row r="8490" spans="1:5" x14ac:dyDescent="0.25">
      <c r="A8490" s="83"/>
      <c r="B8490" s="84"/>
      <c r="C8490" s="84"/>
      <c r="D8490" s="116"/>
      <c r="E8490" s="116"/>
    </row>
    <row r="8491" spans="1:5" x14ac:dyDescent="0.25">
      <c r="A8491" s="83"/>
      <c r="B8491" s="84"/>
      <c r="C8491" s="84"/>
      <c r="D8491" s="116"/>
      <c r="E8491" s="116"/>
    </row>
    <row r="8492" spans="1:5" x14ac:dyDescent="0.25">
      <c r="A8492" s="83"/>
      <c r="B8492" s="84"/>
      <c r="C8492" s="84"/>
      <c r="D8492" s="116"/>
      <c r="E8492" s="116"/>
    </row>
    <row r="8493" spans="1:5" x14ac:dyDescent="0.25">
      <c r="A8493" s="83"/>
      <c r="B8493" s="84"/>
      <c r="C8493" s="84"/>
      <c r="D8493" s="116"/>
      <c r="E8493" s="116"/>
    </row>
    <row r="8494" spans="1:5" x14ac:dyDescent="0.25">
      <c r="A8494" s="83"/>
      <c r="B8494" s="84"/>
      <c r="C8494" s="84"/>
      <c r="D8494" s="116"/>
      <c r="E8494" s="116"/>
    </row>
    <row r="8495" spans="1:5" x14ac:dyDescent="0.25">
      <c r="A8495" s="83"/>
      <c r="B8495" s="84"/>
      <c r="C8495" s="84"/>
      <c r="D8495" s="116"/>
      <c r="E8495" s="116"/>
    </row>
    <row r="8496" spans="1:5" x14ac:dyDescent="0.25">
      <c r="A8496" s="83"/>
      <c r="B8496" s="84"/>
      <c r="C8496" s="84"/>
      <c r="D8496" s="116"/>
      <c r="E8496" s="116"/>
    </row>
    <row r="8497" spans="1:5" x14ac:dyDescent="0.25">
      <c r="A8497" s="83"/>
      <c r="B8497" s="84"/>
      <c r="C8497" s="84"/>
      <c r="D8497" s="116"/>
      <c r="E8497" s="116"/>
    </row>
    <row r="8498" spans="1:5" x14ac:dyDescent="0.25">
      <c r="A8498" s="83"/>
      <c r="B8498" s="84"/>
      <c r="C8498" s="84"/>
      <c r="D8498" s="116"/>
      <c r="E8498" s="116"/>
    </row>
    <row r="8499" spans="1:5" x14ac:dyDescent="0.25">
      <c r="A8499" s="83"/>
      <c r="B8499" s="84"/>
      <c r="C8499" s="84"/>
      <c r="D8499" s="116"/>
      <c r="E8499" s="116"/>
    </row>
    <row r="8500" spans="1:5" x14ac:dyDescent="0.25">
      <c r="A8500" s="83"/>
      <c r="B8500" s="84"/>
      <c r="C8500" s="84"/>
      <c r="D8500" s="116"/>
      <c r="E8500" s="116"/>
    </row>
    <row r="8501" spans="1:5" x14ac:dyDescent="0.25">
      <c r="A8501" s="83"/>
      <c r="B8501" s="84"/>
      <c r="C8501" s="84"/>
      <c r="D8501" s="116"/>
      <c r="E8501" s="116"/>
    </row>
    <row r="8502" spans="1:5" x14ac:dyDescent="0.25">
      <c r="A8502" s="83"/>
      <c r="B8502" s="84"/>
      <c r="C8502" s="84"/>
      <c r="D8502" s="116"/>
      <c r="E8502" s="116"/>
    </row>
    <row r="8503" spans="1:5" x14ac:dyDescent="0.25">
      <c r="A8503" s="83"/>
      <c r="B8503" s="84"/>
      <c r="C8503" s="84"/>
      <c r="D8503" s="116"/>
      <c r="E8503" s="116"/>
    </row>
    <row r="8504" spans="1:5" x14ac:dyDescent="0.25">
      <c r="A8504" s="83"/>
      <c r="B8504" s="84"/>
      <c r="C8504" s="84"/>
      <c r="D8504" s="116"/>
      <c r="E8504" s="116"/>
    </row>
    <row r="8505" spans="1:5" x14ac:dyDescent="0.25">
      <c r="A8505" s="83"/>
      <c r="B8505" s="84"/>
      <c r="C8505" s="84"/>
      <c r="D8505" s="116"/>
      <c r="E8505" s="116"/>
    </row>
    <row r="8506" spans="1:5" x14ac:dyDescent="0.25">
      <c r="A8506" s="83"/>
      <c r="B8506" s="84"/>
      <c r="C8506" s="84"/>
      <c r="D8506" s="116"/>
      <c r="E8506" s="116"/>
    </row>
    <row r="8507" spans="1:5" x14ac:dyDescent="0.25">
      <c r="A8507" s="83"/>
      <c r="B8507" s="84"/>
      <c r="C8507" s="84"/>
      <c r="D8507" s="116"/>
      <c r="E8507" s="116"/>
    </row>
    <row r="8508" spans="1:5" x14ac:dyDescent="0.25">
      <c r="A8508" s="83"/>
      <c r="B8508" s="84"/>
      <c r="C8508" s="84"/>
      <c r="D8508" s="116"/>
      <c r="E8508" s="116"/>
    </row>
    <row r="8509" spans="1:5" x14ac:dyDescent="0.25">
      <c r="A8509" s="83"/>
      <c r="B8509" s="84"/>
      <c r="C8509" s="84"/>
      <c r="D8509" s="116"/>
      <c r="E8509" s="116"/>
    </row>
    <row r="8510" spans="1:5" x14ac:dyDescent="0.25">
      <c r="A8510" s="83"/>
      <c r="B8510" s="84"/>
      <c r="C8510" s="84"/>
      <c r="D8510" s="116"/>
      <c r="E8510" s="116"/>
    </row>
    <row r="8511" spans="1:5" x14ac:dyDescent="0.25">
      <c r="A8511" s="83"/>
      <c r="B8511" s="84"/>
      <c r="C8511" s="84"/>
      <c r="D8511" s="116"/>
      <c r="E8511" s="116"/>
    </row>
    <row r="8512" spans="1:5" x14ac:dyDescent="0.25">
      <c r="A8512" s="83"/>
      <c r="B8512" s="84"/>
      <c r="C8512" s="84"/>
      <c r="D8512" s="116"/>
      <c r="E8512" s="116"/>
    </row>
    <row r="8513" spans="1:5" x14ac:dyDescent="0.25">
      <c r="A8513" s="83"/>
      <c r="B8513" s="84"/>
      <c r="C8513" s="84"/>
      <c r="D8513" s="116"/>
      <c r="E8513" s="116"/>
    </row>
    <row r="8514" spans="1:5" x14ac:dyDescent="0.25">
      <c r="A8514" s="83"/>
      <c r="B8514" s="84"/>
      <c r="C8514" s="84"/>
      <c r="D8514" s="116"/>
      <c r="E8514" s="116"/>
    </row>
    <row r="8515" spans="1:5" x14ac:dyDescent="0.25">
      <c r="A8515" s="83"/>
      <c r="B8515" s="84"/>
      <c r="C8515" s="84"/>
      <c r="D8515" s="116"/>
      <c r="E8515" s="116"/>
    </row>
    <row r="8516" spans="1:5" x14ac:dyDescent="0.25">
      <c r="A8516" s="83"/>
      <c r="B8516" s="84"/>
      <c r="C8516" s="84"/>
      <c r="D8516" s="116"/>
      <c r="E8516" s="116"/>
    </row>
    <row r="8517" spans="1:5" x14ac:dyDescent="0.25">
      <c r="A8517" s="83"/>
      <c r="B8517" s="84"/>
      <c r="C8517" s="84"/>
      <c r="D8517" s="116"/>
      <c r="E8517" s="116"/>
    </row>
    <row r="8518" spans="1:5" x14ac:dyDescent="0.25">
      <c r="A8518" s="83"/>
      <c r="B8518" s="84"/>
      <c r="C8518" s="84"/>
      <c r="D8518" s="116"/>
      <c r="E8518" s="116"/>
    </row>
    <row r="8519" spans="1:5" x14ac:dyDescent="0.25">
      <c r="A8519" s="83"/>
      <c r="B8519" s="84"/>
      <c r="C8519" s="84"/>
      <c r="D8519" s="116"/>
      <c r="E8519" s="116"/>
    </row>
    <row r="8520" spans="1:5" x14ac:dyDescent="0.25">
      <c r="A8520" s="83"/>
      <c r="B8520" s="84"/>
      <c r="C8520" s="84"/>
      <c r="D8520" s="116"/>
      <c r="E8520" s="116"/>
    </row>
    <row r="8521" spans="1:5" x14ac:dyDescent="0.25">
      <c r="A8521" s="83"/>
      <c r="B8521" s="84"/>
      <c r="C8521" s="84"/>
      <c r="D8521" s="116"/>
      <c r="E8521" s="116"/>
    </row>
    <row r="8522" spans="1:5" x14ac:dyDescent="0.25">
      <c r="A8522" s="83"/>
      <c r="B8522" s="84"/>
      <c r="C8522" s="84"/>
      <c r="D8522" s="116"/>
      <c r="E8522" s="116"/>
    </row>
    <row r="8523" spans="1:5" x14ac:dyDescent="0.25">
      <c r="A8523" s="83"/>
      <c r="B8523" s="84"/>
      <c r="C8523" s="84"/>
      <c r="D8523" s="116"/>
      <c r="E8523" s="116"/>
    </row>
    <row r="8524" spans="1:5" x14ac:dyDescent="0.25">
      <c r="A8524" s="83"/>
      <c r="B8524" s="84"/>
      <c r="C8524" s="84"/>
      <c r="D8524" s="116"/>
      <c r="E8524" s="116"/>
    </row>
    <row r="8525" spans="1:5" x14ac:dyDescent="0.25">
      <c r="A8525" s="83"/>
      <c r="B8525" s="84"/>
      <c r="C8525" s="84"/>
      <c r="D8525" s="116"/>
      <c r="E8525" s="116"/>
    </row>
    <row r="8526" spans="1:5" x14ac:dyDescent="0.25">
      <c r="A8526" s="83"/>
      <c r="B8526" s="84"/>
      <c r="C8526" s="84"/>
      <c r="D8526" s="116"/>
      <c r="E8526" s="116"/>
    </row>
    <row r="8527" spans="1:5" x14ac:dyDescent="0.25">
      <c r="A8527" s="83"/>
      <c r="B8527" s="84"/>
      <c r="C8527" s="84"/>
      <c r="D8527" s="116"/>
      <c r="E8527" s="116"/>
    </row>
    <row r="8528" spans="1:5" x14ac:dyDescent="0.25">
      <c r="A8528" s="83"/>
      <c r="B8528" s="84"/>
      <c r="C8528" s="84"/>
      <c r="D8528" s="116"/>
      <c r="E8528" s="116"/>
    </row>
    <row r="8529" spans="1:5" x14ac:dyDescent="0.25">
      <c r="A8529" s="83"/>
      <c r="B8529" s="84"/>
      <c r="C8529" s="84"/>
      <c r="D8529" s="116"/>
      <c r="E8529" s="116"/>
    </row>
    <row r="8530" spans="1:5" x14ac:dyDescent="0.25">
      <c r="A8530" s="83"/>
      <c r="B8530" s="84"/>
      <c r="C8530" s="84"/>
      <c r="D8530" s="116"/>
      <c r="E8530" s="116"/>
    </row>
    <row r="8531" spans="1:5" x14ac:dyDescent="0.25">
      <c r="A8531" s="83"/>
      <c r="B8531" s="84"/>
      <c r="C8531" s="84"/>
      <c r="D8531" s="116"/>
      <c r="E8531" s="116"/>
    </row>
    <row r="8532" spans="1:5" x14ac:dyDescent="0.25">
      <c r="A8532" s="83"/>
      <c r="B8532" s="84"/>
      <c r="C8532" s="84"/>
      <c r="D8532" s="116"/>
      <c r="E8532" s="116"/>
    </row>
    <row r="8533" spans="1:5" x14ac:dyDescent="0.25">
      <c r="A8533" s="83"/>
      <c r="B8533" s="84"/>
      <c r="C8533" s="84"/>
      <c r="D8533" s="116"/>
      <c r="E8533" s="116"/>
    </row>
    <row r="8534" spans="1:5" x14ac:dyDescent="0.25">
      <c r="A8534" s="83"/>
      <c r="B8534" s="84"/>
      <c r="C8534" s="84"/>
      <c r="D8534" s="116"/>
      <c r="E8534" s="116"/>
    </row>
    <row r="8535" spans="1:5" x14ac:dyDescent="0.25">
      <c r="A8535" s="83"/>
      <c r="B8535" s="84"/>
      <c r="C8535" s="84"/>
      <c r="D8535" s="116"/>
      <c r="E8535" s="116"/>
    </row>
    <row r="8536" spans="1:5" x14ac:dyDescent="0.25">
      <c r="A8536" s="83"/>
      <c r="B8536" s="84"/>
      <c r="C8536" s="84"/>
      <c r="D8536" s="116"/>
      <c r="E8536" s="116"/>
    </row>
    <row r="8537" spans="1:5" x14ac:dyDescent="0.25">
      <c r="A8537" s="83"/>
      <c r="B8537" s="84"/>
      <c r="C8537" s="84"/>
      <c r="D8537" s="116"/>
      <c r="E8537" s="116"/>
    </row>
    <row r="8538" spans="1:5" x14ac:dyDescent="0.25">
      <c r="A8538" s="83"/>
      <c r="B8538" s="84"/>
      <c r="C8538" s="84"/>
      <c r="D8538" s="116"/>
      <c r="E8538" s="116"/>
    </row>
    <row r="8539" spans="1:5" x14ac:dyDescent="0.25">
      <c r="A8539" s="83"/>
      <c r="B8539" s="84"/>
      <c r="C8539" s="84"/>
      <c r="D8539" s="116"/>
      <c r="E8539" s="116"/>
    </row>
    <row r="8540" spans="1:5" x14ac:dyDescent="0.25">
      <c r="A8540" s="83"/>
      <c r="B8540" s="84"/>
      <c r="C8540" s="84"/>
      <c r="D8540" s="116"/>
      <c r="E8540" s="116"/>
    </row>
    <row r="8541" spans="1:5" x14ac:dyDescent="0.25">
      <c r="A8541" s="83"/>
      <c r="B8541" s="84"/>
      <c r="C8541" s="84"/>
      <c r="D8541" s="116"/>
      <c r="E8541" s="116"/>
    </row>
    <row r="8542" spans="1:5" x14ac:dyDescent="0.25">
      <c r="A8542" s="83"/>
      <c r="B8542" s="84"/>
      <c r="C8542" s="84"/>
      <c r="D8542" s="116"/>
      <c r="E8542" s="116"/>
    </row>
    <row r="8543" spans="1:5" x14ac:dyDescent="0.25">
      <c r="A8543" s="83"/>
      <c r="B8543" s="84"/>
      <c r="C8543" s="84"/>
      <c r="D8543" s="116"/>
      <c r="E8543" s="116"/>
    </row>
    <row r="8544" spans="1:5" x14ac:dyDescent="0.25">
      <c r="A8544" s="83"/>
      <c r="B8544" s="84"/>
      <c r="C8544" s="84"/>
      <c r="D8544" s="116"/>
      <c r="E8544" s="116"/>
    </row>
    <row r="8545" spans="1:5" x14ac:dyDescent="0.25">
      <c r="A8545" s="83"/>
      <c r="B8545" s="84"/>
      <c r="C8545" s="84"/>
      <c r="D8545" s="116"/>
      <c r="E8545" s="116"/>
    </row>
    <row r="8546" spans="1:5" x14ac:dyDescent="0.25">
      <c r="A8546" s="83"/>
      <c r="B8546" s="84"/>
      <c r="C8546" s="84"/>
      <c r="D8546" s="116"/>
      <c r="E8546" s="116"/>
    </row>
    <row r="8547" spans="1:5" x14ac:dyDescent="0.25">
      <c r="A8547" s="83"/>
      <c r="B8547" s="84"/>
      <c r="C8547" s="84"/>
      <c r="D8547" s="116"/>
      <c r="E8547" s="116"/>
    </row>
    <row r="8548" spans="1:5" x14ac:dyDescent="0.25">
      <c r="A8548" s="83"/>
      <c r="B8548" s="84"/>
      <c r="C8548" s="84"/>
      <c r="D8548" s="116"/>
      <c r="E8548" s="116"/>
    </row>
    <row r="8549" spans="1:5" x14ac:dyDescent="0.25">
      <c r="A8549" s="83"/>
      <c r="B8549" s="84"/>
      <c r="C8549" s="84"/>
      <c r="D8549" s="116"/>
      <c r="E8549" s="116"/>
    </row>
    <row r="8550" spans="1:5" x14ac:dyDescent="0.25">
      <c r="A8550" s="83"/>
      <c r="B8550" s="84"/>
      <c r="C8550" s="84"/>
      <c r="D8550" s="116"/>
      <c r="E8550" s="116"/>
    </row>
    <row r="8551" spans="1:5" x14ac:dyDescent="0.25">
      <c r="A8551" s="83"/>
      <c r="B8551" s="84"/>
      <c r="C8551" s="84"/>
      <c r="D8551" s="116"/>
      <c r="E8551" s="116"/>
    </row>
    <row r="8552" spans="1:5" x14ac:dyDescent="0.25">
      <c r="A8552" s="83"/>
      <c r="B8552" s="84"/>
      <c r="C8552" s="84"/>
      <c r="D8552" s="116"/>
      <c r="E8552" s="116"/>
    </row>
    <row r="8553" spans="1:5" x14ac:dyDescent="0.25">
      <c r="A8553" s="83"/>
      <c r="B8553" s="84"/>
      <c r="C8553" s="84"/>
      <c r="D8553" s="116"/>
      <c r="E8553" s="116"/>
    </row>
    <row r="8554" spans="1:5" x14ac:dyDescent="0.25">
      <c r="A8554" s="83"/>
      <c r="B8554" s="84"/>
      <c r="C8554" s="84"/>
      <c r="D8554" s="116"/>
      <c r="E8554" s="116"/>
    </row>
    <row r="8555" spans="1:5" x14ac:dyDescent="0.25">
      <c r="A8555" s="83"/>
      <c r="B8555" s="84"/>
      <c r="C8555" s="84"/>
      <c r="D8555" s="116"/>
      <c r="E8555" s="116"/>
    </row>
    <row r="8556" spans="1:5" x14ac:dyDescent="0.25">
      <c r="A8556" s="83"/>
      <c r="B8556" s="84"/>
      <c r="C8556" s="84"/>
      <c r="D8556" s="116"/>
      <c r="E8556" s="116"/>
    </row>
    <row r="8557" spans="1:5" x14ac:dyDescent="0.25">
      <c r="A8557" s="83"/>
      <c r="B8557" s="84"/>
      <c r="C8557" s="84"/>
      <c r="D8557" s="116"/>
      <c r="E8557" s="116"/>
    </row>
    <row r="8558" spans="1:5" x14ac:dyDescent="0.25">
      <c r="A8558" s="83"/>
      <c r="B8558" s="84"/>
      <c r="C8558" s="84"/>
      <c r="D8558" s="116"/>
      <c r="E8558" s="116"/>
    </row>
    <row r="8559" spans="1:5" x14ac:dyDescent="0.25">
      <c r="A8559" s="83"/>
      <c r="B8559" s="84"/>
      <c r="C8559" s="84"/>
      <c r="D8559" s="116"/>
      <c r="E8559" s="116"/>
    </row>
    <row r="8560" spans="1:5" x14ac:dyDescent="0.25">
      <c r="A8560" s="83"/>
      <c r="B8560" s="84"/>
      <c r="C8560" s="84"/>
      <c r="D8560" s="116"/>
      <c r="E8560" s="116"/>
    </row>
    <row r="8561" spans="1:5" x14ac:dyDescent="0.25">
      <c r="A8561" s="83"/>
      <c r="B8561" s="84"/>
      <c r="C8561" s="84"/>
      <c r="D8561" s="116"/>
      <c r="E8561" s="116"/>
    </row>
    <row r="8562" spans="1:5" x14ac:dyDescent="0.25">
      <c r="A8562" s="83"/>
      <c r="B8562" s="84"/>
      <c r="C8562" s="84"/>
      <c r="D8562" s="116"/>
      <c r="E8562" s="116"/>
    </row>
    <row r="8563" spans="1:5" x14ac:dyDescent="0.25">
      <c r="A8563" s="83"/>
      <c r="B8563" s="84"/>
      <c r="C8563" s="84"/>
      <c r="D8563" s="116"/>
      <c r="E8563" s="116"/>
    </row>
    <row r="8564" spans="1:5" x14ac:dyDescent="0.25">
      <c r="A8564" s="83"/>
      <c r="B8564" s="84"/>
      <c r="C8564" s="84"/>
      <c r="D8564" s="116"/>
      <c r="E8564" s="116"/>
    </row>
    <row r="8565" spans="1:5" x14ac:dyDescent="0.25">
      <c r="A8565" s="83"/>
      <c r="B8565" s="84"/>
      <c r="C8565" s="84"/>
      <c r="D8565" s="116"/>
      <c r="E8565" s="116"/>
    </row>
    <row r="8566" spans="1:5" x14ac:dyDescent="0.25">
      <c r="A8566" s="83"/>
      <c r="B8566" s="84"/>
      <c r="C8566" s="84"/>
      <c r="D8566" s="116"/>
      <c r="E8566" s="116"/>
    </row>
    <row r="8567" spans="1:5" x14ac:dyDescent="0.25">
      <c r="A8567" s="83"/>
      <c r="B8567" s="84"/>
      <c r="C8567" s="84"/>
      <c r="D8567" s="116"/>
      <c r="E8567" s="116"/>
    </row>
    <row r="8568" spans="1:5" x14ac:dyDescent="0.25">
      <c r="A8568" s="83"/>
      <c r="B8568" s="84"/>
      <c r="C8568" s="84"/>
      <c r="D8568" s="116"/>
      <c r="E8568" s="116"/>
    </row>
    <row r="8569" spans="1:5" x14ac:dyDescent="0.25">
      <c r="A8569" s="83"/>
      <c r="B8569" s="84"/>
      <c r="C8569" s="84"/>
      <c r="D8569" s="116"/>
      <c r="E8569" s="116"/>
    </row>
    <row r="8570" spans="1:5" x14ac:dyDescent="0.25">
      <c r="A8570" s="83"/>
      <c r="B8570" s="84"/>
      <c r="C8570" s="84"/>
      <c r="D8570" s="116"/>
      <c r="E8570" s="116"/>
    </row>
    <row r="8571" spans="1:5" x14ac:dyDescent="0.25">
      <c r="A8571" s="83"/>
      <c r="B8571" s="84"/>
      <c r="C8571" s="84"/>
      <c r="D8571" s="116"/>
      <c r="E8571" s="116"/>
    </row>
    <row r="8572" spans="1:5" x14ac:dyDescent="0.25">
      <c r="A8572" s="83"/>
      <c r="B8572" s="84"/>
      <c r="C8572" s="84"/>
      <c r="D8572" s="116"/>
      <c r="E8572" s="116"/>
    </row>
    <row r="8573" spans="1:5" x14ac:dyDescent="0.25">
      <c r="A8573" s="83"/>
      <c r="B8573" s="84"/>
      <c r="C8573" s="84"/>
      <c r="D8573" s="116"/>
      <c r="E8573" s="116"/>
    </row>
    <row r="8574" spans="1:5" x14ac:dyDescent="0.25">
      <c r="A8574" s="83"/>
      <c r="B8574" s="84"/>
      <c r="C8574" s="84"/>
      <c r="D8574" s="116"/>
      <c r="E8574" s="116"/>
    </row>
    <row r="8575" spans="1:5" x14ac:dyDescent="0.25">
      <c r="A8575" s="83"/>
      <c r="B8575" s="84"/>
      <c r="C8575" s="84"/>
      <c r="D8575" s="116"/>
      <c r="E8575" s="116"/>
    </row>
    <row r="8576" spans="1:5" x14ac:dyDescent="0.25">
      <c r="A8576" s="83"/>
      <c r="B8576" s="84"/>
      <c r="C8576" s="84"/>
      <c r="D8576" s="116"/>
      <c r="E8576" s="116"/>
    </row>
    <row r="8577" spans="1:5" x14ac:dyDescent="0.25">
      <c r="A8577" s="83"/>
      <c r="B8577" s="84"/>
      <c r="C8577" s="84"/>
      <c r="D8577" s="116"/>
      <c r="E8577" s="116"/>
    </row>
    <row r="8578" spans="1:5" x14ac:dyDescent="0.25">
      <c r="A8578" s="83"/>
      <c r="B8578" s="84"/>
      <c r="C8578" s="84"/>
      <c r="D8578" s="116"/>
      <c r="E8578" s="116"/>
    </row>
    <row r="8579" spans="1:5" x14ac:dyDescent="0.25">
      <c r="A8579" s="83"/>
      <c r="B8579" s="84"/>
      <c r="C8579" s="84"/>
      <c r="D8579" s="116"/>
      <c r="E8579" s="116"/>
    </row>
    <row r="8580" spans="1:5" x14ac:dyDescent="0.25">
      <c r="A8580" s="83"/>
      <c r="B8580" s="84"/>
      <c r="C8580" s="84"/>
      <c r="D8580" s="116"/>
      <c r="E8580" s="116"/>
    </row>
    <row r="8581" spans="1:5" x14ac:dyDescent="0.25">
      <c r="A8581" s="83"/>
      <c r="B8581" s="84"/>
      <c r="C8581" s="84"/>
      <c r="D8581" s="116"/>
      <c r="E8581" s="116"/>
    </row>
    <row r="8582" spans="1:5" x14ac:dyDescent="0.25">
      <c r="A8582" s="83"/>
      <c r="B8582" s="84"/>
      <c r="C8582" s="84"/>
      <c r="D8582" s="116"/>
      <c r="E8582" s="116"/>
    </row>
    <row r="8583" spans="1:5" x14ac:dyDescent="0.25">
      <c r="A8583" s="83"/>
      <c r="B8583" s="84"/>
      <c r="C8583" s="84"/>
      <c r="D8583" s="116"/>
      <c r="E8583" s="116"/>
    </row>
    <row r="8584" spans="1:5" x14ac:dyDescent="0.25">
      <c r="A8584" s="83"/>
      <c r="B8584" s="84"/>
      <c r="C8584" s="84"/>
      <c r="D8584" s="116"/>
      <c r="E8584" s="116"/>
    </row>
    <row r="8585" spans="1:5" x14ac:dyDescent="0.25">
      <c r="A8585" s="83"/>
      <c r="B8585" s="84"/>
      <c r="C8585" s="84"/>
      <c r="D8585" s="116"/>
      <c r="E8585" s="116"/>
    </row>
    <row r="8586" spans="1:5" x14ac:dyDescent="0.25">
      <c r="A8586" s="83"/>
      <c r="B8586" s="84"/>
      <c r="C8586" s="84"/>
      <c r="D8586" s="116"/>
      <c r="E8586" s="116"/>
    </row>
    <row r="8587" spans="1:5" x14ac:dyDescent="0.25">
      <c r="A8587" s="83"/>
      <c r="B8587" s="84"/>
      <c r="C8587" s="84"/>
      <c r="D8587" s="116"/>
      <c r="E8587" s="116"/>
    </row>
    <row r="8588" spans="1:5" x14ac:dyDescent="0.25">
      <c r="A8588" s="83"/>
      <c r="B8588" s="84"/>
      <c r="C8588" s="84"/>
      <c r="D8588" s="116"/>
      <c r="E8588" s="116"/>
    </row>
    <row r="8589" spans="1:5" x14ac:dyDescent="0.25">
      <c r="A8589" s="83"/>
      <c r="B8589" s="84"/>
      <c r="C8589" s="84"/>
      <c r="D8589" s="116"/>
      <c r="E8589" s="116"/>
    </row>
    <row r="8590" spans="1:5" x14ac:dyDescent="0.25">
      <c r="A8590" s="83"/>
      <c r="B8590" s="84"/>
      <c r="C8590" s="84"/>
      <c r="D8590" s="116"/>
      <c r="E8590" s="116"/>
    </row>
    <row r="8591" spans="1:5" x14ac:dyDescent="0.25">
      <c r="A8591" s="83"/>
      <c r="B8591" s="84"/>
      <c r="C8591" s="84"/>
      <c r="D8591" s="116"/>
      <c r="E8591" s="116"/>
    </row>
    <row r="8592" spans="1:5" x14ac:dyDescent="0.25">
      <c r="A8592" s="83"/>
      <c r="B8592" s="84"/>
      <c r="C8592" s="84"/>
      <c r="D8592" s="116"/>
      <c r="E8592" s="116"/>
    </row>
    <row r="8593" spans="1:5" x14ac:dyDescent="0.25">
      <c r="A8593" s="83"/>
      <c r="B8593" s="84"/>
      <c r="C8593" s="84"/>
      <c r="D8593" s="116"/>
      <c r="E8593" s="116"/>
    </row>
    <row r="8594" spans="1:5" x14ac:dyDescent="0.25">
      <c r="A8594" s="83"/>
      <c r="B8594" s="84"/>
      <c r="C8594" s="84"/>
      <c r="D8594" s="116"/>
      <c r="E8594" s="116"/>
    </row>
    <row r="8595" spans="1:5" x14ac:dyDescent="0.25">
      <c r="A8595" s="83"/>
      <c r="B8595" s="84"/>
      <c r="C8595" s="84"/>
      <c r="D8595" s="116"/>
      <c r="E8595" s="116"/>
    </row>
    <row r="8596" spans="1:5" x14ac:dyDescent="0.25">
      <c r="A8596" s="83"/>
      <c r="B8596" s="84"/>
      <c r="C8596" s="84"/>
      <c r="D8596" s="116"/>
      <c r="E8596" s="116"/>
    </row>
    <row r="8597" spans="1:5" x14ac:dyDescent="0.25">
      <c r="A8597" s="83"/>
      <c r="B8597" s="84"/>
      <c r="C8597" s="84"/>
      <c r="D8597" s="116"/>
      <c r="E8597" s="116"/>
    </row>
    <row r="8598" spans="1:5" x14ac:dyDescent="0.25">
      <c r="A8598" s="83"/>
      <c r="B8598" s="84"/>
      <c r="C8598" s="84"/>
      <c r="D8598" s="116"/>
      <c r="E8598" s="116"/>
    </row>
    <row r="8599" spans="1:5" x14ac:dyDescent="0.25">
      <c r="A8599" s="83"/>
      <c r="B8599" s="84"/>
      <c r="C8599" s="84"/>
      <c r="D8599" s="116"/>
      <c r="E8599" s="116"/>
    </row>
    <row r="8600" spans="1:5" x14ac:dyDescent="0.25">
      <c r="A8600" s="83"/>
      <c r="B8600" s="84"/>
      <c r="C8600" s="84"/>
      <c r="D8600" s="116"/>
      <c r="E8600" s="116"/>
    </row>
    <row r="8601" spans="1:5" x14ac:dyDescent="0.25">
      <c r="A8601" s="83"/>
      <c r="B8601" s="84"/>
      <c r="C8601" s="84"/>
      <c r="D8601" s="116"/>
      <c r="E8601" s="116"/>
    </row>
    <row r="8602" spans="1:5" x14ac:dyDescent="0.25">
      <c r="A8602" s="83"/>
      <c r="B8602" s="84"/>
      <c r="C8602" s="84"/>
      <c r="D8602" s="116"/>
      <c r="E8602" s="116"/>
    </row>
    <row r="8603" spans="1:5" x14ac:dyDescent="0.25">
      <c r="A8603" s="83"/>
      <c r="B8603" s="84"/>
      <c r="C8603" s="84"/>
      <c r="D8603" s="116"/>
      <c r="E8603" s="116"/>
    </row>
    <row r="8604" spans="1:5" x14ac:dyDescent="0.25">
      <c r="A8604" s="83"/>
      <c r="B8604" s="84"/>
      <c r="C8604" s="84"/>
      <c r="D8604" s="116"/>
      <c r="E8604" s="116"/>
    </row>
    <row r="8605" spans="1:5" x14ac:dyDescent="0.25">
      <c r="A8605" s="83"/>
      <c r="B8605" s="84"/>
      <c r="C8605" s="84"/>
      <c r="D8605" s="116"/>
      <c r="E8605" s="116"/>
    </row>
    <row r="8606" spans="1:5" x14ac:dyDescent="0.25">
      <c r="A8606" s="83"/>
      <c r="B8606" s="84"/>
      <c r="C8606" s="84"/>
      <c r="D8606" s="116"/>
      <c r="E8606" s="116"/>
    </row>
    <row r="8607" spans="1:5" x14ac:dyDescent="0.25">
      <c r="A8607" s="83"/>
      <c r="B8607" s="84"/>
      <c r="C8607" s="84"/>
      <c r="D8607" s="116"/>
      <c r="E8607" s="116"/>
    </row>
    <row r="8608" spans="1:5" x14ac:dyDescent="0.25">
      <c r="A8608" s="83"/>
      <c r="B8608" s="84"/>
      <c r="C8608" s="84"/>
      <c r="D8608" s="116"/>
      <c r="E8608" s="116"/>
    </row>
    <row r="8609" spans="1:5" x14ac:dyDescent="0.25">
      <c r="A8609" s="83"/>
      <c r="B8609" s="84"/>
      <c r="C8609" s="84"/>
      <c r="D8609" s="116"/>
      <c r="E8609" s="116"/>
    </row>
    <row r="8610" spans="1:5" x14ac:dyDescent="0.25">
      <c r="A8610" s="83"/>
      <c r="B8610" s="84"/>
      <c r="C8610" s="84"/>
      <c r="D8610" s="116"/>
      <c r="E8610" s="116"/>
    </row>
    <row r="8611" spans="1:5" x14ac:dyDescent="0.25">
      <c r="A8611" s="83"/>
      <c r="B8611" s="84"/>
      <c r="C8611" s="84"/>
      <c r="D8611" s="116"/>
      <c r="E8611" s="116"/>
    </row>
    <row r="8612" spans="1:5" x14ac:dyDescent="0.25">
      <c r="A8612" s="83"/>
      <c r="B8612" s="84"/>
      <c r="C8612" s="84"/>
      <c r="D8612" s="116"/>
      <c r="E8612" s="116"/>
    </row>
    <row r="8613" spans="1:5" x14ac:dyDescent="0.25">
      <c r="A8613" s="83"/>
      <c r="B8613" s="84"/>
      <c r="C8613" s="84"/>
      <c r="D8613" s="116"/>
      <c r="E8613" s="116"/>
    </row>
    <row r="8614" spans="1:5" x14ac:dyDescent="0.25">
      <c r="A8614" s="83"/>
      <c r="B8614" s="84"/>
      <c r="C8614" s="84"/>
      <c r="D8614" s="116"/>
      <c r="E8614" s="116"/>
    </row>
    <row r="8615" spans="1:5" x14ac:dyDescent="0.25">
      <c r="A8615" s="83"/>
      <c r="B8615" s="84"/>
      <c r="C8615" s="84"/>
      <c r="D8615" s="116"/>
      <c r="E8615" s="116"/>
    </row>
    <row r="8616" spans="1:5" x14ac:dyDescent="0.25">
      <c r="A8616" s="83"/>
      <c r="B8616" s="84"/>
      <c r="C8616" s="84"/>
      <c r="D8616" s="116"/>
      <c r="E8616" s="116"/>
    </row>
    <row r="8617" spans="1:5" x14ac:dyDescent="0.25">
      <c r="A8617" s="83"/>
      <c r="B8617" s="84"/>
      <c r="C8617" s="84"/>
      <c r="D8617" s="116"/>
      <c r="E8617" s="116"/>
    </row>
    <row r="8618" spans="1:5" x14ac:dyDescent="0.25">
      <c r="A8618" s="83"/>
      <c r="B8618" s="84"/>
      <c r="C8618" s="84"/>
      <c r="D8618" s="116"/>
      <c r="E8618" s="116"/>
    </row>
    <row r="8619" spans="1:5" x14ac:dyDescent="0.25">
      <c r="A8619" s="83"/>
      <c r="B8619" s="84"/>
      <c r="C8619" s="84"/>
      <c r="D8619" s="116"/>
      <c r="E8619" s="116"/>
    </row>
    <row r="8620" spans="1:5" x14ac:dyDescent="0.25">
      <c r="A8620" s="83"/>
      <c r="B8620" s="84"/>
      <c r="C8620" s="84"/>
      <c r="D8620" s="116"/>
      <c r="E8620" s="116"/>
    </row>
    <row r="8621" spans="1:5" x14ac:dyDescent="0.25">
      <c r="A8621" s="83"/>
      <c r="B8621" s="84"/>
      <c r="C8621" s="84"/>
      <c r="D8621" s="116"/>
      <c r="E8621" s="116"/>
    </row>
    <row r="8622" spans="1:5" x14ac:dyDescent="0.25">
      <c r="A8622" s="83"/>
      <c r="B8622" s="84"/>
      <c r="C8622" s="84"/>
      <c r="D8622" s="116"/>
      <c r="E8622" s="116"/>
    </row>
    <row r="8623" spans="1:5" x14ac:dyDescent="0.25">
      <c r="A8623" s="83"/>
      <c r="B8623" s="84"/>
      <c r="C8623" s="84"/>
      <c r="D8623" s="116"/>
      <c r="E8623" s="116"/>
    </row>
    <row r="8624" spans="1:5" x14ac:dyDescent="0.25">
      <c r="A8624" s="83"/>
      <c r="B8624" s="84"/>
      <c r="C8624" s="84"/>
      <c r="D8624" s="116"/>
      <c r="E8624" s="116"/>
    </row>
    <row r="8625" spans="1:5" x14ac:dyDescent="0.25">
      <c r="A8625" s="83"/>
      <c r="B8625" s="84"/>
      <c r="C8625" s="84"/>
      <c r="D8625" s="116"/>
      <c r="E8625" s="116"/>
    </row>
    <row r="8626" spans="1:5" x14ac:dyDescent="0.25">
      <c r="A8626" s="83"/>
      <c r="B8626" s="84"/>
      <c r="C8626" s="84"/>
      <c r="D8626" s="116"/>
      <c r="E8626" s="116"/>
    </row>
    <row r="8627" spans="1:5" x14ac:dyDescent="0.25">
      <c r="A8627" s="83"/>
      <c r="B8627" s="84"/>
      <c r="C8627" s="84"/>
      <c r="D8627" s="116"/>
      <c r="E8627" s="116"/>
    </row>
    <row r="8628" spans="1:5" x14ac:dyDescent="0.25">
      <c r="A8628" s="83"/>
      <c r="B8628" s="84"/>
      <c r="C8628" s="84"/>
      <c r="D8628" s="116"/>
      <c r="E8628" s="116"/>
    </row>
    <row r="8629" spans="1:5" x14ac:dyDescent="0.25">
      <c r="A8629" s="83"/>
      <c r="B8629" s="84"/>
      <c r="C8629" s="84"/>
      <c r="D8629" s="116"/>
      <c r="E8629" s="116"/>
    </row>
    <row r="8630" spans="1:5" x14ac:dyDescent="0.25">
      <c r="A8630" s="83"/>
      <c r="B8630" s="84"/>
      <c r="C8630" s="84"/>
      <c r="D8630" s="116"/>
      <c r="E8630" s="116"/>
    </row>
    <row r="8631" spans="1:5" x14ac:dyDescent="0.25">
      <c r="A8631" s="83"/>
      <c r="B8631" s="84"/>
      <c r="C8631" s="84"/>
      <c r="D8631" s="116"/>
      <c r="E8631" s="116"/>
    </row>
    <row r="8632" spans="1:5" x14ac:dyDescent="0.25">
      <c r="A8632" s="83"/>
      <c r="B8632" s="84"/>
      <c r="C8632" s="84"/>
      <c r="D8632" s="116"/>
      <c r="E8632" s="116"/>
    </row>
    <row r="8633" spans="1:5" x14ac:dyDescent="0.25">
      <c r="A8633" s="83"/>
      <c r="B8633" s="84"/>
      <c r="C8633" s="84"/>
      <c r="D8633" s="116"/>
      <c r="E8633" s="116"/>
    </row>
    <row r="8634" spans="1:5" x14ac:dyDescent="0.25">
      <c r="A8634" s="83"/>
      <c r="B8634" s="84"/>
      <c r="C8634" s="84"/>
      <c r="D8634" s="116"/>
      <c r="E8634" s="116"/>
    </row>
    <row r="8635" spans="1:5" x14ac:dyDescent="0.25">
      <c r="A8635" s="83"/>
      <c r="B8635" s="84"/>
      <c r="C8635" s="84"/>
      <c r="D8635" s="116"/>
      <c r="E8635" s="116"/>
    </row>
    <row r="8636" spans="1:5" x14ac:dyDescent="0.25">
      <c r="A8636" s="83"/>
      <c r="B8636" s="84"/>
      <c r="C8636" s="84"/>
      <c r="D8636" s="116"/>
      <c r="E8636" s="116"/>
    </row>
    <row r="8637" spans="1:5" x14ac:dyDescent="0.25">
      <c r="A8637" s="83"/>
      <c r="B8637" s="84"/>
      <c r="C8637" s="84"/>
      <c r="D8637" s="116"/>
      <c r="E8637" s="116"/>
    </row>
    <row r="8638" spans="1:5" x14ac:dyDescent="0.25">
      <c r="A8638" s="83"/>
      <c r="B8638" s="84"/>
      <c r="C8638" s="84"/>
      <c r="D8638" s="116"/>
      <c r="E8638" s="116"/>
    </row>
    <row r="8639" spans="1:5" x14ac:dyDescent="0.25">
      <c r="A8639" s="83"/>
      <c r="B8639" s="84"/>
      <c r="C8639" s="84"/>
      <c r="D8639" s="116"/>
      <c r="E8639" s="116"/>
    </row>
    <row r="8640" spans="1:5" x14ac:dyDescent="0.25">
      <c r="A8640" s="83"/>
      <c r="B8640" s="84"/>
      <c r="C8640" s="84"/>
      <c r="D8640" s="116"/>
      <c r="E8640" s="116"/>
    </row>
    <row r="8641" spans="1:5" x14ac:dyDescent="0.25">
      <c r="A8641" s="83"/>
      <c r="B8641" s="84"/>
      <c r="C8641" s="84"/>
      <c r="D8641" s="116"/>
      <c r="E8641" s="116"/>
    </row>
    <row r="8642" spans="1:5" x14ac:dyDescent="0.25">
      <c r="A8642" s="83"/>
      <c r="B8642" s="84"/>
      <c r="C8642" s="84"/>
      <c r="D8642" s="116"/>
      <c r="E8642" s="116"/>
    </row>
    <row r="8643" spans="1:5" x14ac:dyDescent="0.25">
      <c r="A8643" s="83"/>
      <c r="B8643" s="84"/>
      <c r="C8643" s="84"/>
      <c r="D8643" s="116"/>
      <c r="E8643" s="116"/>
    </row>
    <row r="8644" spans="1:5" x14ac:dyDescent="0.25">
      <c r="A8644" s="83"/>
      <c r="B8644" s="84"/>
      <c r="C8644" s="84"/>
      <c r="D8644" s="116"/>
      <c r="E8644" s="116"/>
    </row>
    <row r="8645" spans="1:5" x14ac:dyDescent="0.25">
      <c r="A8645" s="83"/>
      <c r="B8645" s="84"/>
      <c r="C8645" s="84"/>
      <c r="D8645" s="116"/>
      <c r="E8645" s="116"/>
    </row>
    <row r="8646" spans="1:5" x14ac:dyDescent="0.25">
      <c r="A8646" s="83"/>
      <c r="B8646" s="84"/>
      <c r="C8646" s="84"/>
      <c r="D8646" s="116"/>
      <c r="E8646" s="116"/>
    </row>
    <row r="8647" spans="1:5" x14ac:dyDescent="0.25">
      <c r="A8647" s="83"/>
      <c r="B8647" s="84"/>
      <c r="C8647" s="84"/>
      <c r="D8647" s="116"/>
      <c r="E8647" s="116"/>
    </row>
    <row r="8648" spans="1:5" x14ac:dyDescent="0.25">
      <c r="A8648" s="83"/>
      <c r="B8648" s="84"/>
      <c r="C8648" s="84"/>
      <c r="D8648" s="116"/>
      <c r="E8648" s="116"/>
    </row>
    <row r="8649" spans="1:5" x14ac:dyDescent="0.25">
      <c r="A8649" s="83"/>
      <c r="B8649" s="84"/>
      <c r="C8649" s="84"/>
      <c r="D8649" s="116"/>
      <c r="E8649" s="116"/>
    </row>
    <row r="8650" spans="1:5" x14ac:dyDescent="0.25">
      <c r="A8650" s="83"/>
      <c r="B8650" s="84"/>
      <c r="C8650" s="84"/>
      <c r="D8650" s="116"/>
      <c r="E8650" s="116"/>
    </row>
    <row r="8651" spans="1:5" x14ac:dyDescent="0.25">
      <c r="A8651" s="83"/>
      <c r="B8651" s="84"/>
      <c r="C8651" s="84"/>
      <c r="D8651" s="116"/>
      <c r="E8651" s="116"/>
    </row>
    <row r="8652" spans="1:5" x14ac:dyDescent="0.25">
      <c r="A8652" s="83"/>
      <c r="B8652" s="84"/>
      <c r="C8652" s="84"/>
      <c r="D8652" s="116"/>
      <c r="E8652" s="116"/>
    </row>
    <row r="8653" spans="1:5" x14ac:dyDescent="0.25">
      <c r="A8653" s="83"/>
      <c r="B8653" s="84"/>
      <c r="C8653" s="84"/>
      <c r="D8653" s="116"/>
      <c r="E8653" s="116"/>
    </row>
    <row r="8654" spans="1:5" x14ac:dyDescent="0.25">
      <c r="A8654" s="83"/>
      <c r="B8654" s="84"/>
      <c r="C8654" s="84"/>
      <c r="D8654" s="116"/>
      <c r="E8654" s="116"/>
    </row>
    <row r="8655" spans="1:5" x14ac:dyDescent="0.25">
      <c r="A8655" s="83"/>
      <c r="B8655" s="84"/>
      <c r="C8655" s="84"/>
      <c r="D8655" s="116"/>
      <c r="E8655" s="116"/>
    </row>
    <row r="8656" spans="1:5" x14ac:dyDescent="0.25">
      <c r="A8656" s="83"/>
      <c r="B8656" s="84"/>
      <c r="C8656" s="84"/>
      <c r="D8656" s="116"/>
      <c r="E8656" s="116"/>
    </row>
    <row r="8657" spans="1:5" x14ac:dyDescent="0.25">
      <c r="A8657" s="83"/>
      <c r="B8657" s="84"/>
      <c r="C8657" s="84"/>
      <c r="D8657" s="116"/>
      <c r="E8657" s="116"/>
    </row>
    <row r="8658" spans="1:5" x14ac:dyDescent="0.25">
      <c r="A8658" s="83"/>
      <c r="B8658" s="84"/>
      <c r="C8658" s="84"/>
      <c r="D8658" s="116"/>
      <c r="E8658" s="116"/>
    </row>
    <row r="8659" spans="1:5" x14ac:dyDescent="0.25">
      <c r="A8659" s="83"/>
      <c r="B8659" s="84"/>
      <c r="C8659" s="84"/>
      <c r="D8659" s="116"/>
      <c r="E8659" s="116"/>
    </row>
    <row r="8660" spans="1:5" x14ac:dyDescent="0.25">
      <c r="A8660" s="83"/>
      <c r="B8660" s="84"/>
      <c r="C8660" s="84"/>
      <c r="D8660" s="116"/>
      <c r="E8660" s="116"/>
    </row>
    <row r="8661" spans="1:5" x14ac:dyDescent="0.25">
      <c r="A8661" s="83"/>
      <c r="B8661" s="84"/>
      <c r="C8661" s="84"/>
      <c r="D8661" s="116"/>
      <c r="E8661" s="116"/>
    </row>
    <row r="8662" spans="1:5" x14ac:dyDescent="0.25">
      <c r="A8662" s="83"/>
      <c r="B8662" s="84"/>
      <c r="C8662" s="84"/>
      <c r="D8662" s="116"/>
      <c r="E8662" s="116"/>
    </row>
    <row r="8663" spans="1:5" x14ac:dyDescent="0.25">
      <c r="A8663" s="83"/>
      <c r="B8663" s="84"/>
      <c r="C8663" s="84"/>
      <c r="D8663" s="116"/>
      <c r="E8663" s="116"/>
    </row>
    <row r="8664" spans="1:5" x14ac:dyDescent="0.25">
      <c r="A8664" s="83"/>
      <c r="B8664" s="84"/>
      <c r="C8664" s="84"/>
      <c r="D8664" s="116"/>
      <c r="E8664" s="116"/>
    </row>
    <row r="8665" spans="1:5" x14ac:dyDescent="0.25">
      <c r="A8665" s="83"/>
      <c r="B8665" s="84"/>
      <c r="C8665" s="84"/>
      <c r="D8665" s="116"/>
      <c r="E8665" s="116"/>
    </row>
    <row r="8666" spans="1:5" x14ac:dyDescent="0.25">
      <c r="A8666" s="83"/>
      <c r="B8666" s="84"/>
      <c r="C8666" s="84"/>
      <c r="D8666" s="116"/>
      <c r="E8666" s="116"/>
    </row>
    <row r="8667" spans="1:5" x14ac:dyDescent="0.25">
      <c r="A8667" s="83"/>
      <c r="B8667" s="84"/>
      <c r="C8667" s="84"/>
      <c r="D8667" s="116"/>
      <c r="E8667" s="116"/>
    </row>
    <row r="8668" spans="1:5" x14ac:dyDescent="0.25">
      <c r="A8668" s="83"/>
      <c r="B8668" s="84"/>
      <c r="C8668" s="84"/>
      <c r="D8668" s="116"/>
      <c r="E8668" s="116"/>
    </row>
    <row r="8669" spans="1:5" x14ac:dyDescent="0.25">
      <c r="A8669" s="83"/>
      <c r="B8669" s="84"/>
      <c r="C8669" s="84"/>
      <c r="D8669" s="116"/>
      <c r="E8669" s="116"/>
    </row>
    <row r="8670" spans="1:5" x14ac:dyDescent="0.25">
      <c r="A8670" s="83"/>
      <c r="B8670" s="84"/>
      <c r="C8670" s="84"/>
      <c r="D8670" s="116"/>
      <c r="E8670" s="116"/>
    </row>
    <row r="8671" spans="1:5" x14ac:dyDescent="0.25">
      <c r="A8671" s="83"/>
      <c r="B8671" s="84"/>
      <c r="C8671" s="84"/>
      <c r="D8671" s="116"/>
      <c r="E8671" s="116"/>
    </row>
    <row r="8672" spans="1:5" x14ac:dyDescent="0.25">
      <c r="A8672" s="83"/>
      <c r="B8672" s="84"/>
      <c r="C8672" s="84"/>
      <c r="D8672" s="116"/>
      <c r="E8672" s="116"/>
    </row>
    <row r="8673" spans="1:5" x14ac:dyDescent="0.25">
      <c r="A8673" s="83"/>
      <c r="B8673" s="84"/>
      <c r="C8673" s="84"/>
      <c r="D8673" s="116"/>
      <c r="E8673" s="116"/>
    </row>
    <row r="8674" spans="1:5" x14ac:dyDescent="0.25">
      <c r="A8674" s="83"/>
      <c r="B8674" s="84"/>
      <c r="C8674" s="84"/>
      <c r="D8674" s="116"/>
      <c r="E8674" s="116"/>
    </row>
    <row r="8675" spans="1:5" x14ac:dyDescent="0.25">
      <c r="A8675" s="83"/>
      <c r="B8675" s="84"/>
      <c r="C8675" s="84"/>
      <c r="D8675" s="116"/>
      <c r="E8675" s="116"/>
    </row>
    <row r="8676" spans="1:5" x14ac:dyDescent="0.25">
      <c r="A8676" s="83"/>
      <c r="B8676" s="84"/>
      <c r="C8676" s="84"/>
      <c r="D8676" s="116"/>
      <c r="E8676" s="116"/>
    </row>
    <row r="8677" spans="1:5" x14ac:dyDescent="0.25">
      <c r="A8677" s="83"/>
      <c r="B8677" s="84"/>
      <c r="C8677" s="84"/>
      <c r="D8677" s="116"/>
      <c r="E8677" s="116"/>
    </row>
    <row r="8678" spans="1:5" x14ac:dyDescent="0.25">
      <c r="A8678" s="83"/>
      <c r="B8678" s="84"/>
      <c r="C8678" s="84"/>
      <c r="D8678" s="116"/>
      <c r="E8678" s="116"/>
    </row>
    <row r="8679" spans="1:5" x14ac:dyDescent="0.25">
      <c r="A8679" s="83"/>
      <c r="B8679" s="84"/>
      <c r="C8679" s="84"/>
      <c r="D8679" s="116"/>
      <c r="E8679" s="116"/>
    </row>
    <row r="8680" spans="1:5" x14ac:dyDescent="0.25">
      <c r="A8680" s="83"/>
      <c r="B8680" s="84"/>
      <c r="C8680" s="84"/>
      <c r="D8680" s="116"/>
      <c r="E8680" s="116"/>
    </row>
    <row r="8681" spans="1:5" x14ac:dyDescent="0.25">
      <c r="A8681" s="83"/>
      <c r="B8681" s="84"/>
      <c r="C8681" s="84"/>
      <c r="D8681" s="116"/>
      <c r="E8681" s="116"/>
    </row>
    <row r="8682" spans="1:5" x14ac:dyDescent="0.25">
      <c r="A8682" s="83"/>
      <c r="B8682" s="84"/>
      <c r="C8682" s="84"/>
      <c r="D8682" s="116"/>
      <c r="E8682" s="116"/>
    </row>
    <row r="8683" spans="1:5" x14ac:dyDescent="0.25">
      <c r="A8683" s="83"/>
      <c r="B8683" s="84"/>
      <c r="C8683" s="84"/>
      <c r="D8683" s="116"/>
      <c r="E8683" s="116"/>
    </row>
    <row r="8684" spans="1:5" x14ac:dyDescent="0.25">
      <c r="A8684" s="83"/>
      <c r="B8684" s="84"/>
      <c r="C8684" s="84"/>
      <c r="D8684" s="116"/>
      <c r="E8684" s="116"/>
    </row>
    <row r="8685" spans="1:5" x14ac:dyDescent="0.25">
      <c r="A8685" s="83"/>
      <c r="B8685" s="84"/>
      <c r="C8685" s="84"/>
      <c r="D8685" s="116"/>
      <c r="E8685" s="116"/>
    </row>
    <row r="8686" spans="1:5" x14ac:dyDescent="0.25">
      <c r="A8686" s="83"/>
      <c r="B8686" s="84"/>
      <c r="C8686" s="84"/>
      <c r="D8686" s="116"/>
      <c r="E8686" s="116"/>
    </row>
    <row r="8687" spans="1:5" x14ac:dyDescent="0.25">
      <c r="A8687" s="83"/>
      <c r="B8687" s="84"/>
      <c r="C8687" s="84"/>
      <c r="D8687" s="116"/>
      <c r="E8687" s="116"/>
    </row>
    <row r="8688" spans="1:5" x14ac:dyDescent="0.25">
      <c r="A8688" s="83"/>
      <c r="B8688" s="84"/>
      <c r="C8688" s="84"/>
      <c r="D8688" s="116"/>
      <c r="E8688" s="116"/>
    </row>
    <row r="8689" spans="1:5" x14ac:dyDescent="0.25">
      <c r="A8689" s="83"/>
      <c r="B8689" s="84"/>
      <c r="C8689" s="84"/>
      <c r="D8689" s="116"/>
      <c r="E8689" s="116"/>
    </row>
    <row r="8690" spans="1:5" x14ac:dyDescent="0.25">
      <c r="A8690" s="83"/>
      <c r="B8690" s="84"/>
      <c r="C8690" s="84"/>
      <c r="D8690" s="116"/>
      <c r="E8690" s="116"/>
    </row>
    <row r="8691" spans="1:5" x14ac:dyDescent="0.25">
      <c r="A8691" s="83"/>
      <c r="B8691" s="84"/>
      <c r="C8691" s="84"/>
      <c r="D8691" s="116"/>
      <c r="E8691" s="116"/>
    </row>
    <row r="8692" spans="1:5" x14ac:dyDescent="0.25">
      <c r="A8692" s="83"/>
      <c r="B8692" s="84"/>
      <c r="C8692" s="84"/>
      <c r="D8692" s="116"/>
      <c r="E8692" s="116"/>
    </row>
    <row r="8693" spans="1:5" x14ac:dyDescent="0.25">
      <c r="A8693" s="83"/>
      <c r="B8693" s="84"/>
      <c r="C8693" s="84"/>
      <c r="D8693" s="116"/>
      <c r="E8693" s="116"/>
    </row>
    <row r="8694" spans="1:5" x14ac:dyDescent="0.25">
      <c r="A8694" s="83"/>
      <c r="B8694" s="84"/>
      <c r="C8694" s="84"/>
      <c r="D8694" s="116"/>
      <c r="E8694" s="116"/>
    </row>
    <row r="8695" spans="1:5" x14ac:dyDescent="0.25">
      <c r="A8695" s="83"/>
      <c r="B8695" s="84"/>
      <c r="C8695" s="84"/>
      <c r="D8695" s="116"/>
      <c r="E8695" s="116"/>
    </row>
    <row r="8696" spans="1:5" x14ac:dyDescent="0.25">
      <c r="A8696" s="83"/>
      <c r="B8696" s="84"/>
      <c r="C8696" s="84"/>
      <c r="D8696" s="116"/>
      <c r="E8696" s="116"/>
    </row>
    <row r="8697" spans="1:5" x14ac:dyDescent="0.25">
      <c r="A8697" s="83"/>
      <c r="B8697" s="84"/>
      <c r="C8697" s="84"/>
      <c r="D8697" s="116"/>
      <c r="E8697" s="116"/>
    </row>
    <row r="8698" spans="1:5" x14ac:dyDescent="0.25">
      <c r="A8698" s="83"/>
      <c r="B8698" s="84"/>
      <c r="C8698" s="84"/>
      <c r="D8698" s="116"/>
      <c r="E8698" s="116"/>
    </row>
    <row r="8699" spans="1:5" x14ac:dyDescent="0.25">
      <c r="A8699" s="83"/>
      <c r="B8699" s="84"/>
      <c r="C8699" s="84"/>
      <c r="D8699" s="116"/>
      <c r="E8699" s="116"/>
    </row>
    <row r="8700" spans="1:5" x14ac:dyDescent="0.25">
      <c r="A8700" s="83"/>
      <c r="B8700" s="84"/>
      <c r="C8700" s="84"/>
      <c r="D8700" s="116"/>
      <c r="E8700" s="116"/>
    </row>
    <row r="8701" spans="1:5" x14ac:dyDescent="0.25">
      <c r="A8701" s="83"/>
      <c r="B8701" s="84"/>
      <c r="C8701" s="84"/>
      <c r="D8701" s="116"/>
      <c r="E8701" s="116"/>
    </row>
    <row r="8702" spans="1:5" x14ac:dyDescent="0.25">
      <c r="A8702" s="83"/>
      <c r="B8702" s="84"/>
      <c r="C8702" s="84"/>
      <c r="D8702" s="116"/>
      <c r="E8702" s="116"/>
    </row>
    <row r="8703" spans="1:5" x14ac:dyDescent="0.25">
      <c r="A8703" s="83"/>
      <c r="B8703" s="84"/>
      <c r="C8703" s="84"/>
      <c r="D8703" s="116"/>
      <c r="E8703" s="116"/>
    </row>
    <row r="8704" spans="1:5" x14ac:dyDescent="0.25">
      <c r="A8704" s="83"/>
      <c r="B8704" s="84"/>
      <c r="C8704" s="84"/>
      <c r="D8704" s="116"/>
      <c r="E8704" s="116"/>
    </row>
    <row r="8705" spans="1:5" x14ac:dyDescent="0.25">
      <c r="A8705" s="83"/>
      <c r="B8705" s="84"/>
      <c r="C8705" s="84"/>
      <c r="D8705" s="116"/>
      <c r="E8705" s="116"/>
    </row>
    <row r="8706" spans="1:5" x14ac:dyDescent="0.25">
      <c r="A8706" s="83"/>
      <c r="B8706" s="84"/>
      <c r="C8706" s="84"/>
      <c r="D8706" s="116"/>
      <c r="E8706" s="116"/>
    </row>
    <row r="8707" spans="1:5" x14ac:dyDescent="0.25">
      <c r="A8707" s="83"/>
      <c r="B8707" s="84"/>
      <c r="C8707" s="84"/>
      <c r="D8707" s="116"/>
      <c r="E8707" s="116"/>
    </row>
    <row r="8708" spans="1:5" x14ac:dyDescent="0.25">
      <c r="A8708" s="83"/>
      <c r="B8708" s="84"/>
      <c r="C8708" s="84"/>
      <c r="D8708" s="116"/>
      <c r="E8708" s="116"/>
    </row>
    <row r="8709" spans="1:5" x14ac:dyDescent="0.25">
      <c r="A8709" s="83"/>
      <c r="B8709" s="84"/>
      <c r="C8709" s="84"/>
      <c r="D8709" s="116"/>
      <c r="E8709" s="116"/>
    </row>
    <row r="8710" spans="1:5" x14ac:dyDescent="0.25">
      <c r="A8710" s="83"/>
      <c r="B8710" s="84"/>
      <c r="C8710" s="84"/>
      <c r="D8710" s="116"/>
      <c r="E8710" s="116"/>
    </row>
    <row r="8711" spans="1:5" x14ac:dyDescent="0.25">
      <c r="A8711" s="83"/>
      <c r="B8711" s="84"/>
      <c r="C8711" s="84"/>
      <c r="D8711" s="116"/>
      <c r="E8711" s="116"/>
    </row>
    <row r="8712" spans="1:5" x14ac:dyDescent="0.25">
      <c r="A8712" s="83"/>
      <c r="B8712" s="84"/>
      <c r="C8712" s="84"/>
      <c r="D8712" s="116"/>
      <c r="E8712" s="116"/>
    </row>
    <row r="8713" spans="1:5" x14ac:dyDescent="0.25">
      <c r="A8713" s="83"/>
      <c r="B8713" s="84"/>
      <c r="C8713" s="84"/>
      <c r="D8713" s="116"/>
      <c r="E8713" s="116"/>
    </row>
    <row r="8714" spans="1:5" x14ac:dyDescent="0.25">
      <c r="A8714" s="83"/>
      <c r="B8714" s="84"/>
      <c r="C8714" s="84"/>
      <c r="D8714" s="116"/>
      <c r="E8714" s="116"/>
    </row>
    <row r="8715" spans="1:5" x14ac:dyDescent="0.25">
      <c r="A8715" s="83"/>
      <c r="B8715" s="84"/>
      <c r="C8715" s="84"/>
      <c r="D8715" s="116"/>
      <c r="E8715" s="116"/>
    </row>
    <row r="8716" spans="1:5" x14ac:dyDescent="0.25">
      <c r="A8716" s="83"/>
      <c r="B8716" s="84"/>
      <c r="C8716" s="84"/>
      <c r="D8716" s="116"/>
      <c r="E8716" s="116"/>
    </row>
    <row r="8717" spans="1:5" x14ac:dyDescent="0.25">
      <c r="A8717" s="83"/>
      <c r="B8717" s="84"/>
      <c r="C8717" s="84"/>
      <c r="D8717" s="116"/>
      <c r="E8717" s="116"/>
    </row>
    <row r="8718" spans="1:5" x14ac:dyDescent="0.25">
      <c r="A8718" s="83"/>
      <c r="B8718" s="84"/>
      <c r="C8718" s="84"/>
      <c r="D8718" s="116"/>
      <c r="E8718" s="116"/>
    </row>
    <row r="8719" spans="1:5" x14ac:dyDescent="0.25">
      <c r="A8719" s="83"/>
      <c r="B8719" s="84"/>
      <c r="C8719" s="84"/>
      <c r="D8719" s="116"/>
      <c r="E8719" s="116"/>
    </row>
    <row r="8720" spans="1:5" x14ac:dyDescent="0.25">
      <c r="A8720" s="83"/>
      <c r="B8720" s="84"/>
      <c r="C8720" s="84"/>
      <c r="D8720" s="116"/>
      <c r="E8720" s="116"/>
    </row>
    <row r="8721" spans="1:5" x14ac:dyDescent="0.25">
      <c r="A8721" s="83"/>
      <c r="B8721" s="84"/>
      <c r="C8721" s="84"/>
      <c r="D8721" s="116"/>
      <c r="E8721" s="116"/>
    </row>
    <row r="8722" spans="1:5" x14ac:dyDescent="0.25">
      <c r="A8722" s="83"/>
      <c r="B8722" s="84"/>
      <c r="C8722" s="84"/>
      <c r="D8722" s="116"/>
      <c r="E8722" s="116"/>
    </row>
    <row r="8723" spans="1:5" x14ac:dyDescent="0.25">
      <c r="A8723" s="83"/>
      <c r="B8723" s="84"/>
      <c r="C8723" s="84"/>
      <c r="D8723" s="116"/>
      <c r="E8723" s="116"/>
    </row>
    <row r="8724" spans="1:5" x14ac:dyDescent="0.25">
      <c r="A8724" s="83"/>
      <c r="B8724" s="84"/>
      <c r="C8724" s="84"/>
      <c r="D8724" s="116"/>
      <c r="E8724" s="116"/>
    </row>
    <row r="8725" spans="1:5" x14ac:dyDescent="0.25">
      <c r="A8725" s="83"/>
      <c r="B8725" s="84"/>
      <c r="C8725" s="84"/>
      <c r="D8725" s="116"/>
      <c r="E8725" s="116"/>
    </row>
    <row r="8726" spans="1:5" x14ac:dyDescent="0.25">
      <c r="A8726" s="83"/>
      <c r="B8726" s="84"/>
      <c r="C8726" s="84"/>
      <c r="D8726" s="116"/>
      <c r="E8726" s="116"/>
    </row>
    <row r="8727" spans="1:5" x14ac:dyDescent="0.25">
      <c r="A8727" s="83"/>
      <c r="B8727" s="84"/>
      <c r="C8727" s="84"/>
      <c r="D8727" s="116"/>
      <c r="E8727" s="116"/>
    </row>
    <row r="8728" spans="1:5" x14ac:dyDescent="0.25">
      <c r="A8728" s="83"/>
      <c r="B8728" s="84"/>
      <c r="C8728" s="84"/>
      <c r="D8728" s="116"/>
      <c r="E8728" s="116"/>
    </row>
    <row r="8729" spans="1:5" x14ac:dyDescent="0.25">
      <c r="A8729" s="83"/>
      <c r="B8729" s="84"/>
      <c r="C8729" s="84"/>
      <c r="D8729" s="116"/>
      <c r="E8729" s="116"/>
    </row>
    <row r="8730" spans="1:5" x14ac:dyDescent="0.25">
      <c r="A8730" s="83"/>
      <c r="B8730" s="84"/>
      <c r="C8730" s="84"/>
      <c r="D8730" s="116"/>
      <c r="E8730" s="116"/>
    </row>
    <row r="8731" spans="1:5" x14ac:dyDescent="0.25">
      <c r="A8731" s="83"/>
      <c r="B8731" s="84"/>
      <c r="C8731" s="84"/>
      <c r="D8731" s="116"/>
      <c r="E8731" s="116"/>
    </row>
    <row r="8732" spans="1:5" x14ac:dyDescent="0.25">
      <c r="A8732" s="83"/>
      <c r="B8732" s="84"/>
      <c r="C8732" s="84"/>
      <c r="D8732" s="116"/>
      <c r="E8732" s="116"/>
    </row>
    <row r="8733" spans="1:5" x14ac:dyDescent="0.25">
      <c r="A8733" s="83"/>
      <c r="B8733" s="84"/>
      <c r="C8733" s="84"/>
      <c r="D8733" s="116"/>
      <c r="E8733" s="116"/>
    </row>
    <row r="8734" spans="1:5" x14ac:dyDescent="0.25">
      <c r="A8734" s="83"/>
      <c r="B8734" s="84"/>
      <c r="C8734" s="84"/>
      <c r="D8734" s="116"/>
      <c r="E8734" s="116"/>
    </row>
    <row r="8735" spans="1:5" x14ac:dyDescent="0.25">
      <c r="A8735" s="83"/>
      <c r="B8735" s="84"/>
      <c r="C8735" s="84"/>
      <c r="D8735" s="116"/>
      <c r="E8735" s="116"/>
    </row>
    <row r="8736" spans="1:5" x14ac:dyDescent="0.25">
      <c r="A8736" s="83"/>
      <c r="B8736" s="84"/>
      <c r="C8736" s="84"/>
      <c r="D8736" s="116"/>
      <c r="E8736" s="116"/>
    </row>
    <row r="8737" spans="1:5" x14ac:dyDescent="0.25">
      <c r="A8737" s="83"/>
      <c r="B8737" s="84"/>
      <c r="C8737" s="84"/>
      <c r="D8737" s="116"/>
      <c r="E8737" s="116"/>
    </row>
    <row r="8738" spans="1:5" x14ac:dyDescent="0.25">
      <c r="A8738" s="83"/>
      <c r="B8738" s="84"/>
      <c r="C8738" s="84"/>
      <c r="D8738" s="116"/>
      <c r="E8738" s="116"/>
    </row>
    <row r="8739" spans="1:5" x14ac:dyDescent="0.25">
      <c r="A8739" s="83"/>
      <c r="B8739" s="84"/>
      <c r="C8739" s="84"/>
      <c r="D8739" s="116"/>
      <c r="E8739" s="116"/>
    </row>
    <row r="8740" spans="1:5" x14ac:dyDescent="0.25">
      <c r="A8740" s="83"/>
      <c r="B8740" s="84"/>
      <c r="C8740" s="84"/>
      <c r="D8740" s="116"/>
      <c r="E8740" s="116"/>
    </row>
    <row r="8741" spans="1:5" x14ac:dyDescent="0.25">
      <c r="A8741" s="83"/>
      <c r="B8741" s="84"/>
      <c r="C8741" s="84"/>
      <c r="D8741" s="116"/>
      <c r="E8741" s="116"/>
    </row>
    <row r="8742" spans="1:5" x14ac:dyDescent="0.25">
      <c r="A8742" s="83"/>
      <c r="B8742" s="84"/>
      <c r="C8742" s="84"/>
      <c r="D8742" s="116"/>
      <c r="E8742" s="116"/>
    </row>
    <row r="8743" spans="1:5" x14ac:dyDescent="0.25">
      <c r="A8743" s="83"/>
      <c r="B8743" s="84"/>
      <c r="C8743" s="84"/>
      <c r="D8743" s="116"/>
      <c r="E8743" s="116"/>
    </row>
    <row r="8744" spans="1:5" x14ac:dyDescent="0.25">
      <c r="A8744" s="83"/>
      <c r="B8744" s="84"/>
      <c r="C8744" s="84"/>
      <c r="D8744" s="116"/>
      <c r="E8744" s="116"/>
    </row>
    <row r="8745" spans="1:5" x14ac:dyDescent="0.25">
      <c r="A8745" s="83"/>
      <c r="B8745" s="84"/>
      <c r="C8745" s="84"/>
      <c r="D8745" s="116"/>
      <c r="E8745" s="116"/>
    </row>
    <row r="8746" spans="1:5" x14ac:dyDescent="0.25">
      <c r="A8746" s="83"/>
      <c r="B8746" s="84"/>
      <c r="C8746" s="84"/>
      <c r="D8746" s="116"/>
      <c r="E8746" s="116"/>
    </row>
    <row r="8747" spans="1:5" x14ac:dyDescent="0.25">
      <c r="A8747" s="83"/>
      <c r="B8747" s="84"/>
      <c r="C8747" s="84"/>
      <c r="D8747" s="116"/>
      <c r="E8747" s="116"/>
    </row>
    <row r="8748" spans="1:5" x14ac:dyDescent="0.25">
      <c r="A8748" s="83"/>
      <c r="B8748" s="84"/>
      <c r="C8748" s="84"/>
      <c r="D8748" s="116"/>
      <c r="E8748" s="116"/>
    </row>
    <row r="8749" spans="1:5" x14ac:dyDescent="0.25">
      <c r="A8749" s="83"/>
      <c r="B8749" s="84"/>
      <c r="C8749" s="84"/>
      <c r="D8749" s="116"/>
      <c r="E8749" s="116"/>
    </row>
    <row r="8750" spans="1:5" x14ac:dyDescent="0.25">
      <c r="A8750" s="83"/>
      <c r="B8750" s="84"/>
      <c r="C8750" s="84"/>
      <c r="D8750" s="116"/>
      <c r="E8750" s="116"/>
    </row>
    <row r="8751" spans="1:5" x14ac:dyDescent="0.25">
      <c r="A8751" s="83"/>
      <c r="B8751" s="84"/>
      <c r="C8751" s="84"/>
      <c r="D8751" s="116"/>
      <c r="E8751" s="116"/>
    </row>
    <row r="8752" spans="1:5" x14ac:dyDescent="0.25">
      <c r="A8752" s="83"/>
      <c r="B8752" s="84"/>
      <c r="C8752" s="84"/>
      <c r="D8752" s="116"/>
      <c r="E8752" s="116"/>
    </row>
    <row r="8753" spans="1:5" x14ac:dyDescent="0.25">
      <c r="A8753" s="83"/>
      <c r="B8753" s="84"/>
      <c r="C8753" s="84"/>
      <c r="D8753" s="116"/>
      <c r="E8753" s="116"/>
    </row>
    <row r="8754" spans="1:5" x14ac:dyDescent="0.25">
      <c r="A8754" s="83"/>
      <c r="B8754" s="84"/>
      <c r="C8754" s="84"/>
      <c r="D8754" s="116"/>
      <c r="E8754" s="116"/>
    </row>
    <row r="8755" spans="1:5" x14ac:dyDescent="0.25">
      <c r="A8755" s="83"/>
      <c r="B8755" s="84"/>
      <c r="C8755" s="84"/>
      <c r="D8755" s="116"/>
      <c r="E8755" s="116"/>
    </row>
    <row r="8756" spans="1:5" x14ac:dyDescent="0.25">
      <c r="A8756" s="83"/>
      <c r="B8756" s="84"/>
      <c r="C8756" s="84"/>
      <c r="D8756" s="116"/>
      <c r="E8756" s="116"/>
    </row>
    <row r="8757" spans="1:5" x14ac:dyDescent="0.25">
      <c r="A8757" s="83"/>
      <c r="B8757" s="84"/>
      <c r="C8757" s="84"/>
      <c r="D8757" s="116"/>
      <c r="E8757" s="116"/>
    </row>
    <row r="8758" spans="1:5" x14ac:dyDescent="0.25">
      <c r="A8758" s="83"/>
      <c r="B8758" s="84"/>
      <c r="C8758" s="84"/>
      <c r="D8758" s="116"/>
      <c r="E8758" s="116"/>
    </row>
    <row r="8759" spans="1:5" x14ac:dyDescent="0.25">
      <c r="A8759" s="83"/>
      <c r="B8759" s="84"/>
      <c r="C8759" s="84"/>
      <c r="D8759" s="116"/>
      <c r="E8759" s="116"/>
    </row>
    <row r="8760" spans="1:5" x14ac:dyDescent="0.25">
      <c r="A8760" s="83"/>
      <c r="B8760" s="84"/>
      <c r="C8760" s="84"/>
      <c r="D8760" s="116"/>
      <c r="E8760" s="116"/>
    </row>
    <row r="8761" spans="1:5" x14ac:dyDescent="0.25">
      <c r="A8761" s="83"/>
      <c r="B8761" s="84"/>
      <c r="C8761" s="84"/>
      <c r="D8761" s="116"/>
      <c r="E8761" s="116"/>
    </row>
    <row r="8762" spans="1:5" x14ac:dyDescent="0.25">
      <c r="A8762" s="83"/>
      <c r="B8762" s="84"/>
      <c r="C8762" s="84"/>
      <c r="D8762" s="116"/>
      <c r="E8762" s="116"/>
    </row>
    <row r="8763" spans="1:5" x14ac:dyDescent="0.25">
      <c r="A8763" s="83"/>
      <c r="B8763" s="84"/>
      <c r="C8763" s="84"/>
      <c r="D8763" s="116"/>
      <c r="E8763" s="116"/>
    </row>
    <row r="8764" spans="1:5" x14ac:dyDescent="0.25">
      <c r="A8764" s="83"/>
      <c r="B8764" s="84"/>
      <c r="C8764" s="84"/>
      <c r="D8764" s="116"/>
      <c r="E8764" s="116"/>
    </row>
    <row r="8765" spans="1:5" x14ac:dyDescent="0.25">
      <c r="A8765" s="83"/>
      <c r="B8765" s="84"/>
      <c r="C8765" s="84"/>
      <c r="D8765" s="116"/>
      <c r="E8765" s="116"/>
    </row>
    <row r="8766" spans="1:5" x14ac:dyDescent="0.25">
      <c r="A8766" s="83"/>
      <c r="B8766" s="84"/>
      <c r="C8766" s="84"/>
      <c r="D8766" s="116"/>
      <c r="E8766" s="116"/>
    </row>
    <row r="8767" spans="1:5" x14ac:dyDescent="0.25">
      <c r="A8767" s="83"/>
      <c r="B8767" s="84"/>
      <c r="C8767" s="84"/>
      <c r="D8767" s="116"/>
      <c r="E8767" s="116"/>
    </row>
    <row r="8768" spans="1:5" x14ac:dyDescent="0.25">
      <c r="A8768" s="83"/>
      <c r="B8768" s="84"/>
      <c r="C8768" s="84"/>
      <c r="D8768" s="116"/>
      <c r="E8768" s="116"/>
    </row>
    <row r="8769" spans="1:5" x14ac:dyDescent="0.25">
      <c r="A8769" s="83"/>
      <c r="B8769" s="84"/>
      <c r="C8769" s="84"/>
      <c r="D8769" s="116"/>
      <c r="E8769" s="116"/>
    </row>
    <row r="8770" spans="1:5" x14ac:dyDescent="0.25">
      <c r="A8770" s="83"/>
      <c r="B8770" s="84"/>
      <c r="C8770" s="84"/>
      <c r="D8770" s="116"/>
      <c r="E8770" s="116"/>
    </row>
    <row r="8771" spans="1:5" x14ac:dyDescent="0.25">
      <c r="A8771" s="83"/>
      <c r="B8771" s="84"/>
      <c r="C8771" s="84"/>
      <c r="D8771" s="116"/>
      <c r="E8771" s="116"/>
    </row>
    <row r="8772" spans="1:5" x14ac:dyDescent="0.25">
      <c r="A8772" s="83"/>
      <c r="B8772" s="84"/>
      <c r="C8772" s="84"/>
      <c r="D8772" s="116"/>
      <c r="E8772" s="116"/>
    </row>
    <row r="8773" spans="1:5" x14ac:dyDescent="0.25">
      <c r="A8773" s="83"/>
      <c r="B8773" s="84"/>
      <c r="C8773" s="84"/>
      <c r="D8773" s="116"/>
      <c r="E8773" s="116"/>
    </row>
    <row r="8774" spans="1:5" x14ac:dyDescent="0.25">
      <c r="A8774" s="83"/>
      <c r="B8774" s="84"/>
      <c r="C8774" s="84"/>
      <c r="D8774" s="116"/>
      <c r="E8774" s="116"/>
    </row>
    <row r="8775" spans="1:5" x14ac:dyDescent="0.25">
      <c r="A8775" s="83"/>
      <c r="B8775" s="84"/>
      <c r="C8775" s="84"/>
      <c r="D8775" s="116"/>
      <c r="E8775" s="116"/>
    </row>
    <row r="8776" spans="1:5" x14ac:dyDescent="0.25">
      <c r="A8776" s="83"/>
      <c r="B8776" s="84"/>
      <c r="C8776" s="84"/>
      <c r="D8776" s="116"/>
      <c r="E8776" s="116"/>
    </row>
    <row r="8777" spans="1:5" x14ac:dyDescent="0.25">
      <c r="A8777" s="83"/>
      <c r="B8777" s="84"/>
      <c r="C8777" s="84"/>
      <c r="D8777" s="116"/>
      <c r="E8777" s="116"/>
    </row>
    <row r="8778" spans="1:5" x14ac:dyDescent="0.25">
      <c r="A8778" s="83"/>
      <c r="B8778" s="84"/>
      <c r="C8778" s="84"/>
      <c r="D8778" s="116"/>
      <c r="E8778" s="116"/>
    </row>
    <row r="8779" spans="1:5" x14ac:dyDescent="0.25">
      <c r="A8779" s="83"/>
      <c r="B8779" s="84"/>
      <c r="C8779" s="84"/>
      <c r="D8779" s="116"/>
      <c r="E8779" s="116"/>
    </row>
    <row r="8780" spans="1:5" x14ac:dyDescent="0.25">
      <c r="A8780" s="83"/>
      <c r="B8780" s="84"/>
      <c r="C8780" s="84"/>
      <c r="D8780" s="116"/>
      <c r="E8780" s="116"/>
    </row>
    <row r="8781" spans="1:5" x14ac:dyDescent="0.25">
      <c r="A8781" s="83"/>
      <c r="B8781" s="84"/>
      <c r="C8781" s="84"/>
      <c r="D8781" s="116"/>
      <c r="E8781" s="116"/>
    </row>
    <row r="8782" spans="1:5" x14ac:dyDescent="0.25">
      <c r="A8782" s="83"/>
      <c r="B8782" s="84"/>
      <c r="C8782" s="84"/>
      <c r="D8782" s="116"/>
      <c r="E8782" s="116"/>
    </row>
    <row r="8783" spans="1:5" x14ac:dyDescent="0.25">
      <c r="A8783" s="83"/>
      <c r="B8783" s="84"/>
      <c r="C8783" s="84"/>
      <c r="D8783" s="116"/>
      <c r="E8783" s="116"/>
    </row>
    <row r="8784" spans="1:5" x14ac:dyDescent="0.25">
      <c r="A8784" s="83"/>
      <c r="B8784" s="84"/>
      <c r="C8784" s="84"/>
      <c r="D8784" s="116"/>
      <c r="E8784" s="116"/>
    </row>
    <row r="8785" spans="1:5" x14ac:dyDescent="0.25">
      <c r="A8785" s="83"/>
      <c r="B8785" s="84"/>
      <c r="C8785" s="84"/>
      <c r="D8785" s="116"/>
      <c r="E8785" s="116"/>
    </row>
    <row r="8786" spans="1:5" x14ac:dyDescent="0.25">
      <c r="A8786" s="83"/>
      <c r="B8786" s="84"/>
      <c r="C8786" s="84"/>
      <c r="D8786" s="116"/>
      <c r="E8786" s="116"/>
    </row>
    <row r="8787" spans="1:5" x14ac:dyDescent="0.25">
      <c r="A8787" s="83"/>
      <c r="B8787" s="84"/>
      <c r="C8787" s="84"/>
      <c r="D8787" s="116"/>
      <c r="E8787" s="116"/>
    </row>
    <row r="8788" spans="1:5" x14ac:dyDescent="0.25">
      <c r="A8788" s="83"/>
      <c r="B8788" s="84"/>
      <c r="C8788" s="84"/>
      <c r="D8788" s="116"/>
      <c r="E8788" s="116"/>
    </row>
    <row r="8789" spans="1:5" x14ac:dyDescent="0.25">
      <c r="A8789" s="83"/>
      <c r="B8789" s="84"/>
      <c r="C8789" s="84"/>
      <c r="D8789" s="116"/>
      <c r="E8789" s="116"/>
    </row>
    <row r="8790" spans="1:5" x14ac:dyDescent="0.25">
      <c r="A8790" s="83"/>
      <c r="B8790" s="84"/>
      <c r="C8790" s="84"/>
      <c r="D8790" s="116"/>
      <c r="E8790" s="116"/>
    </row>
    <row r="8791" spans="1:5" x14ac:dyDescent="0.25">
      <c r="A8791" s="83"/>
      <c r="B8791" s="84"/>
      <c r="C8791" s="84"/>
      <c r="D8791" s="116"/>
      <c r="E8791" s="116"/>
    </row>
    <row r="8792" spans="1:5" x14ac:dyDescent="0.25">
      <c r="A8792" s="83"/>
      <c r="B8792" s="84"/>
      <c r="C8792" s="84"/>
      <c r="D8792" s="116"/>
      <c r="E8792" s="116"/>
    </row>
    <row r="8793" spans="1:5" x14ac:dyDescent="0.25">
      <c r="A8793" s="83"/>
      <c r="B8793" s="84"/>
      <c r="C8793" s="84"/>
      <c r="D8793" s="116"/>
      <c r="E8793" s="116"/>
    </row>
    <row r="8794" spans="1:5" x14ac:dyDescent="0.25">
      <c r="A8794" s="83"/>
      <c r="B8794" s="84"/>
      <c r="C8794" s="84"/>
      <c r="D8794" s="116"/>
      <c r="E8794" s="116"/>
    </row>
    <row r="8795" spans="1:5" x14ac:dyDescent="0.25">
      <c r="A8795" s="83"/>
      <c r="B8795" s="84"/>
      <c r="C8795" s="84"/>
      <c r="D8795" s="116"/>
      <c r="E8795" s="116"/>
    </row>
    <row r="8796" spans="1:5" x14ac:dyDescent="0.25">
      <c r="A8796" s="83"/>
      <c r="B8796" s="84"/>
      <c r="C8796" s="84"/>
      <c r="D8796" s="116"/>
      <c r="E8796" s="116"/>
    </row>
    <row r="8797" spans="1:5" x14ac:dyDescent="0.25">
      <c r="A8797" s="83"/>
      <c r="B8797" s="84"/>
      <c r="C8797" s="84"/>
      <c r="D8797" s="116"/>
      <c r="E8797" s="116"/>
    </row>
    <row r="8798" spans="1:5" x14ac:dyDescent="0.25">
      <c r="A8798" s="83"/>
      <c r="B8798" s="84"/>
      <c r="C8798" s="84"/>
      <c r="D8798" s="116"/>
      <c r="E8798" s="116"/>
    </row>
    <row r="8799" spans="1:5" x14ac:dyDescent="0.25">
      <c r="A8799" s="83"/>
      <c r="B8799" s="84"/>
      <c r="C8799" s="84"/>
      <c r="D8799" s="116"/>
      <c r="E8799" s="116"/>
    </row>
    <row r="8800" spans="1:5" x14ac:dyDescent="0.25">
      <c r="A8800" s="83"/>
      <c r="B8800" s="84"/>
      <c r="C8800" s="84"/>
      <c r="D8800" s="116"/>
      <c r="E8800" s="116"/>
    </row>
    <row r="8801" spans="1:5" x14ac:dyDescent="0.25">
      <c r="A8801" s="83"/>
      <c r="B8801" s="84"/>
      <c r="C8801" s="84"/>
      <c r="D8801" s="116"/>
      <c r="E8801" s="116"/>
    </row>
    <row r="8802" spans="1:5" x14ac:dyDescent="0.25">
      <c r="A8802" s="83"/>
      <c r="B8802" s="84"/>
      <c r="C8802" s="84"/>
      <c r="D8802" s="116"/>
      <c r="E8802" s="116"/>
    </row>
    <row r="8803" spans="1:5" x14ac:dyDescent="0.25">
      <c r="A8803" s="83"/>
      <c r="B8803" s="84"/>
      <c r="C8803" s="84"/>
      <c r="D8803" s="116"/>
      <c r="E8803" s="116"/>
    </row>
    <row r="8804" spans="1:5" x14ac:dyDescent="0.25">
      <c r="A8804" s="83"/>
      <c r="B8804" s="84"/>
      <c r="C8804" s="84"/>
      <c r="D8804" s="116"/>
      <c r="E8804" s="116"/>
    </row>
    <row r="8805" spans="1:5" x14ac:dyDescent="0.25">
      <c r="A8805" s="83"/>
      <c r="B8805" s="84"/>
      <c r="C8805" s="84"/>
      <c r="D8805" s="116"/>
      <c r="E8805" s="116"/>
    </row>
    <row r="8806" spans="1:5" x14ac:dyDescent="0.25">
      <c r="A8806" s="83"/>
      <c r="B8806" s="84"/>
      <c r="C8806" s="84"/>
      <c r="D8806" s="116"/>
      <c r="E8806" s="116"/>
    </row>
    <row r="8807" spans="1:5" x14ac:dyDescent="0.25">
      <c r="A8807" s="83"/>
      <c r="B8807" s="84"/>
      <c r="C8807" s="84"/>
      <c r="D8807" s="116"/>
      <c r="E8807" s="116"/>
    </row>
    <row r="8808" spans="1:5" x14ac:dyDescent="0.25">
      <c r="A8808" s="83"/>
      <c r="B8808" s="84"/>
      <c r="C8808" s="84"/>
      <c r="D8808" s="116"/>
      <c r="E8808" s="116"/>
    </row>
    <row r="8809" spans="1:5" x14ac:dyDescent="0.25">
      <c r="A8809" s="83"/>
      <c r="B8809" s="84"/>
      <c r="C8809" s="84"/>
      <c r="D8809" s="116"/>
      <c r="E8809" s="116"/>
    </row>
    <row r="8810" spans="1:5" x14ac:dyDescent="0.25">
      <c r="A8810" s="83"/>
      <c r="B8810" s="84"/>
      <c r="C8810" s="84"/>
      <c r="D8810" s="116"/>
      <c r="E8810" s="116"/>
    </row>
    <row r="8811" spans="1:5" x14ac:dyDescent="0.25">
      <c r="A8811" s="83"/>
      <c r="B8811" s="84"/>
      <c r="C8811" s="84"/>
      <c r="D8811" s="116"/>
      <c r="E8811" s="116"/>
    </row>
    <row r="8812" spans="1:5" x14ac:dyDescent="0.25">
      <c r="A8812" s="83"/>
      <c r="B8812" s="84"/>
      <c r="C8812" s="84"/>
      <c r="D8812" s="116"/>
      <c r="E8812" s="116"/>
    </row>
    <row r="8813" spans="1:5" x14ac:dyDescent="0.25">
      <c r="A8813" s="83"/>
      <c r="B8813" s="84"/>
      <c r="C8813" s="84"/>
      <c r="D8813" s="116"/>
      <c r="E8813" s="116"/>
    </row>
    <row r="8814" spans="1:5" x14ac:dyDescent="0.25">
      <c r="A8814" s="83"/>
      <c r="B8814" s="84"/>
      <c r="C8814" s="84"/>
      <c r="D8814" s="116"/>
      <c r="E8814" s="116"/>
    </row>
    <row r="8815" spans="1:5" x14ac:dyDescent="0.25">
      <c r="A8815" s="83"/>
      <c r="B8815" s="84"/>
      <c r="C8815" s="84"/>
      <c r="D8815" s="116"/>
      <c r="E8815" s="116"/>
    </row>
    <row r="8816" spans="1:5" x14ac:dyDescent="0.25">
      <c r="A8816" s="83"/>
      <c r="B8816" s="84"/>
      <c r="C8816" s="84"/>
      <c r="D8816" s="116"/>
      <c r="E8816" s="116"/>
    </row>
    <row r="8817" spans="1:5" x14ac:dyDescent="0.25">
      <c r="A8817" s="83"/>
      <c r="B8817" s="84"/>
      <c r="C8817" s="84"/>
      <c r="D8817" s="116"/>
      <c r="E8817" s="116"/>
    </row>
    <row r="8818" spans="1:5" x14ac:dyDescent="0.25">
      <c r="A8818" s="83"/>
      <c r="B8818" s="84"/>
      <c r="C8818" s="84"/>
      <c r="D8818" s="116"/>
      <c r="E8818" s="116"/>
    </row>
    <row r="8819" spans="1:5" x14ac:dyDescent="0.25">
      <c r="A8819" s="83"/>
      <c r="B8819" s="84"/>
      <c r="C8819" s="84"/>
      <c r="D8819" s="116"/>
      <c r="E8819" s="116"/>
    </row>
    <row r="8820" spans="1:5" x14ac:dyDescent="0.25">
      <c r="A8820" s="83"/>
      <c r="B8820" s="84"/>
      <c r="C8820" s="84"/>
      <c r="D8820" s="116"/>
      <c r="E8820" s="116"/>
    </row>
    <row r="8821" spans="1:5" x14ac:dyDescent="0.25">
      <c r="A8821" s="83"/>
      <c r="B8821" s="84"/>
      <c r="C8821" s="84"/>
      <c r="D8821" s="116"/>
      <c r="E8821" s="116"/>
    </row>
    <row r="8822" spans="1:5" x14ac:dyDescent="0.25">
      <c r="A8822" s="83"/>
      <c r="B8822" s="84"/>
      <c r="C8822" s="84"/>
      <c r="D8822" s="116"/>
      <c r="E8822" s="116"/>
    </row>
    <row r="8823" spans="1:5" x14ac:dyDescent="0.25">
      <c r="A8823" s="83"/>
      <c r="B8823" s="84"/>
      <c r="C8823" s="84"/>
      <c r="D8823" s="116"/>
      <c r="E8823" s="116"/>
    </row>
    <row r="8824" spans="1:5" x14ac:dyDescent="0.25">
      <c r="A8824" s="83"/>
      <c r="B8824" s="84"/>
      <c r="C8824" s="84"/>
      <c r="D8824" s="116"/>
      <c r="E8824" s="116"/>
    </row>
    <row r="8825" spans="1:5" x14ac:dyDescent="0.25">
      <c r="A8825" s="83"/>
      <c r="B8825" s="84"/>
      <c r="C8825" s="84"/>
      <c r="D8825" s="116"/>
      <c r="E8825" s="116"/>
    </row>
    <row r="8826" spans="1:5" x14ac:dyDescent="0.25">
      <c r="A8826" s="83"/>
      <c r="B8826" s="84"/>
      <c r="C8826" s="84"/>
      <c r="D8826" s="116"/>
      <c r="E8826" s="116"/>
    </row>
    <row r="8827" spans="1:5" x14ac:dyDescent="0.25">
      <c r="A8827" s="83"/>
      <c r="B8827" s="84"/>
      <c r="C8827" s="84"/>
      <c r="D8827" s="116"/>
      <c r="E8827" s="116"/>
    </row>
    <row r="8828" spans="1:5" x14ac:dyDescent="0.25">
      <c r="A8828" s="83"/>
      <c r="B8828" s="84"/>
      <c r="C8828" s="84"/>
      <c r="D8828" s="116"/>
      <c r="E8828" s="116"/>
    </row>
    <row r="8829" spans="1:5" x14ac:dyDescent="0.25">
      <c r="A8829" s="83"/>
      <c r="B8829" s="84"/>
      <c r="C8829" s="84"/>
      <c r="D8829" s="116"/>
      <c r="E8829" s="116"/>
    </row>
    <row r="8830" spans="1:5" x14ac:dyDescent="0.25">
      <c r="A8830" s="83"/>
      <c r="B8830" s="84"/>
      <c r="C8830" s="84"/>
      <c r="D8830" s="116"/>
      <c r="E8830" s="116"/>
    </row>
    <row r="8831" spans="1:5" x14ac:dyDescent="0.25">
      <c r="A8831" s="83"/>
      <c r="B8831" s="84"/>
      <c r="C8831" s="84"/>
      <c r="D8831" s="116"/>
      <c r="E8831" s="116"/>
    </row>
    <row r="8832" spans="1:5" x14ac:dyDescent="0.25">
      <c r="A8832" s="83"/>
      <c r="B8832" s="84"/>
      <c r="C8832" s="84"/>
      <c r="D8832" s="116"/>
      <c r="E8832" s="116"/>
    </row>
    <row r="8833" spans="1:5" x14ac:dyDescent="0.25">
      <c r="A8833" s="83"/>
      <c r="B8833" s="84"/>
      <c r="C8833" s="84"/>
      <c r="D8833" s="116"/>
      <c r="E8833" s="116"/>
    </row>
    <row r="8834" spans="1:5" x14ac:dyDescent="0.25">
      <c r="A8834" s="83"/>
      <c r="B8834" s="84"/>
      <c r="C8834" s="84"/>
      <c r="D8834" s="116"/>
      <c r="E8834" s="116"/>
    </row>
    <row r="8835" spans="1:5" x14ac:dyDescent="0.25">
      <c r="A8835" s="83"/>
      <c r="B8835" s="84"/>
      <c r="C8835" s="84"/>
      <c r="D8835" s="116"/>
      <c r="E8835" s="116"/>
    </row>
    <row r="8836" spans="1:5" x14ac:dyDescent="0.25">
      <c r="A8836" s="83"/>
      <c r="B8836" s="84"/>
      <c r="C8836" s="84"/>
      <c r="D8836" s="116"/>
      <c r="E8836" s="116"/>
    </row>
    <row r="8837" spans="1:5" x14ac:dyDescent="0.25">
      <c r="A8837" s="83"/>
      <c r="B8837" s="84"/>
      <c r="C8837" s="84"/>
      <c r="D8837" s="116"/>
      <c r="E8837" s="116"/>
    </row>
    <row r="8838" spans="1:5" x14ac:dyDescent="0.25">
      <c r="A8838" s="83"/>
      <c r="B8838" s="84"/>
      <c r="C8838" s="84"/>
      <c r="D8838" s="116"/>
      <c r="E8838" s="116"/>
    </row>
    <row r="8839" spans="1:5" x14ac:dyDescent="0.25">
      <c r="A8839" s="83"/>
      <c r="B8839" s="84"/>
      <c r="C8839" s="84"/>
      <c r="D8839" s="116"/>
      <c r="E8839" s="116"/>
    </row>
    <row r="8840" spans="1:5" x14ac:dyDescent="0.25">
      <c r="A8840" s="83"/>
      <c r="B8840" s="84"/>
      <c r="C8840" s="84"/>
      <c r="D8840" s="116"/>
      <c r="E8840" s="116"/>
    </row>
    <row r="8841" spans="1:5" x14ac:dyDescent="0.25">
      <c r="A8841" s="83"/>
      <c r="B8841" s="84"/>
      <c r="C8841" s="84"/>
      <c r="D8841" s="116"/>
      <c r="E8841" s="116"/>
    </row>
    <row r="8842" spans="1:5" x14ac:dyDescent="0.25">
      <c r="A8842" s="83"/>
      <c r="B8842" s="84"/>
      <c r="C8842" s="84"/>
      <c r="D8842" s="116"/>
      <c r="E8842" s="116"/>
    </row>
    <row r="8843" spans="1:5" x14ac:dyDescent="0.25">
      <c r="A8843" s="83"/>
      <c r="B8843" s="84"/>
      <c r="C8843" s="84"/>
      <c r="D8843" s="116"/>
      <c r="E8843" s="116"/>
    </row>
    <row r="8844" spans="1:5" x14ac:dyDescent="0.25">
      <c r="A8844" s="83"/>
      <c r="B8844" s="84"/>
      <c r="C8844" s="84"/>
      <c r="D8844" s="116"/>
      <c r="E8844" s="116"/>
    </row>
    <row r="8845" spans="1:5" x14ac:dyDescent="0.25">
      <c r="A8845" s="83"/>
      <c r="B8845" s="84"/>
      <c r="C8845" s="84"/>
      <c r="D8845" s="116"/>
      <c r="E8845" s="116"/>
    </row>
    <row r="8846" spans="1:5" x14ac:dyDescent="0.25">
      <c r="A8846" s="83"/>
      <c r="B8846" s="84"/>
      <c r="C8846" s="84"/>
      <c r="D8846" s="116"/>
      <c r="E8846" s="116"/>
    </row>
    <row r="8847" spans="1:5" x14ac:dyDescent="0.25">
      <c r="A8847" s="83"/>
      <c r="B8847" s="84"/>
      <c r="C8847" s="84"/>
      <c r="D8847" s="116"/>
      <c r="E8847" s="116"/>
    </row>
    <row r="8848" spans="1:5" x14ac:dyDescent="0.25">
      <c r="A8848" s="83"/>
      <c r="B8848" s="84"/>
      <c r="C8848" s="84"/>
      <c r="D8848" s="116"/>
      <c r="E8848" s="116"/>
    </row>
    <row r="8849" spans="1:5" x14ac:dyDescent="0.25">
      <c r="A8849" s="83"/>
      <c r="B8849" s="84"/>
      <c r="C8849" s="84"/>
      <c r="D8849" s="116"/>
      <c r="E8849" s="116"/>
    </row>
    <row r="8850" spans="1:5" x14ac:dyDescent="0.25">
      <c r="A8850" s="83"/>
      <c r="B8850" s="84"/>
      <c r="C8850" s="84"/>
      <c r="D8850" s="116"/>
      <c r="E8850" s="116"/>
    </row>
    <row r="8851" spans="1:5" x14ac:dyDescent="0.25">
      <c r="A8851" s="83"/>
      <c r="B8851" s="84"/>
      <c r="C8851" s="84"/>
      <c r="D8851" s="116"/>
      <c r="E8851" s="116"/>
    </row>
    <row r="8852" spans="1:5" x14ac:dyDescent="0.25">
      <c r="A8852" s="83"/>
      <c r="B8852" s="84"/>
      <c r="C8852" s="84"/>
      <c r="D8852" s="116"/>
      <c r="E8852" s="116"/>
    </row>
    <row r="8853" spans="1:5" x14ac:dyDescent="0.25">
      <c r="A8853" s="83"/>
      <c r="B8853" s="84"/>
      <c r="C8853" s="84"/>
      <c r="D8853" s="116"/>
      <c r="E8853" s="116"/>
    </row>
    <row r="8854" spans="1:5" x14ac:dyDescent="0.25">
      <c r="A8854" s="83"/>
      <c r="B8854" s="84"/>
      <c r="C8854" s="84"/>
      <c r="D8854" s="116"/>
      <c r="E8854" s="116"/>
    </row>
    <row r="8855" spans="1:5" x14ac:dyDescent="0.25">
      <c r="A8855" s="83"/>
      <c r="B8855" s="84"/>
      <c r="C8855" s="84"/>
      <c r="D8855" s="116"/>
      <c r="E8855" s="116"/>
    </row>
    <row r="8856" spans="1:5" x14ac:dyDescent="0.25">
      <c r="A8856" s="83"/>
      <c r="B8856" s="84"/>
      <c r="C8856" s="84"/>
      <c r="D8856" s="116"/>
      <c r="E8856" s="116"/>
    </row>
    <row r="8857" spans="1:5" x14ac:dyDescent="0.25">
      <c r="A8857" s="83"/>
      <c r="B8857" s="84"/>
      <c r="C8857" s="84"/>
      <c r="D8857" s="116"/>
      <c r="E8857" s="116"/>
    </row>
    <row r="8858" spans="1:5" x14ac:dyDescent="0.25">
      <c r="A8858" s="83"/>
      <c r="B8858" s="84"/>
      <c r="C8858" s="84"/>
      <c r="D8858" s="116"/>
      <c r="E8858" s="116"/>
    </row>
    <row r="8859" spans="1:5" x14ac:dyDescent="0.25">
      <c r="A8859" s="83"/>
      <c r="B8859" s="84"/>
      <c r="C8859" s="84"/>
      <c r="D8859" s="116"/>
      <c r="E8859" s="116"/>
    </row>
    <row r="8860" spans="1:5" x14ac:dyDescent="0.25">
      <c r="A8860" s="83"/>
      <c r="B8860" s="84"/>
      <c r="C8860" s="84"/>
      <c r="D8860" s="116"/>
      <c r="E8860" s="116"/>
    </row>
    <row r="8861" spans="1:5" x14ac:dyDescent="0.25">
      <c r="A8861" s="83"/>
      <c r="B8861" s="84"/>
      <c r="C8861" s="84"/>
      <c r="D8861" s="116"/>
      <c r="E8861" s="116"/>
    </row>
    <row r="8862" spans="1:5" x14ac:dyDescent="0.25">
      <c r="A8862" s="83"/>
      <c r="B8862" s="84"/>
      <c r="C8862" s="84"/>
      <c r="D8862" s="116"/>
      <c r="E8862" s="116"/>
    </row>
    <row r="8863" spans="1:5" x14ac:dyDescent="0.25">
      <c r="A8863" s="83"/>
      <c r="B8863" s="84"/>
      <c r="C8863" s="84"/>
      <c r="D8863" s="116"/>
      <c r="E8863" s="116"/>
    </row>
    <row r="8864" spans="1:5" x14ac:dyDescent="0.25">
      <c r="A8864" s="83"/>
      <c r="B8864" s="84"/>
      <c r="C8864" s="84"/>
      <c r="D8864" s="116"/>
      <c r="E8864" s="116"/>
    </row>
    <row r="8865" spans="1:5" x14ac:dyDescent="0.25">
      <c r="A8865" s="83"/>
      <c r="B8865" s="84"/>
      <c r="C8865" s="84"/>
      <c r="D8865" s="116"/>
      <c r="E8865" s="116"/>
    </row>
    <row r="8866" spans="1:5" x14ac:dyDescent="0.25">
      <c r="A8866" s="83"/>
      <c r="B8866" s="84"/>
      <c r="C8866" s="84"/>
      <c r="D8866" s="116"/>
      <c r="E8866" s="116"/>
    </row>
    <row r="8867" spans="1:5" x14ac:dyDescent="0.25">
      <c r="A8867" s="83"/>
      <c r="B8867" s="84"/>
      <c r="C8867" s="84"/>
      <c r="D8867" s="116"/>
      <c r="E8867" s="116"/>
    </row>
    <row r="8868" spans="1:5" x14ac:dyDescent="0.25">
      <c r="A8868" s="83"/>
      <c r="B8868" s="84"/>
      <c r="C8868" s="84"/>
      <c r="D8868" s="116"/>
      <c r="E8868" s="116"/>
    </row>
    <row r="8869" spans="1:5" x14ac:dyDescent="0.25">
      <c r="A8869" s="83"/>
      <c r="B8869" s="84"/>
      <c r="C8869" s="84"/>
      <c r="D8869" s="116"/>
      <c r="E8869" s="116"/>
    </row>
    <row r="8870" spans="1:5" x14ac:dyDescent="0.25">
      <c r="A8870" s="83"/>
      <c r="B8870" s="84"/>
      <c r="C8870" s="84"/>
      <c r="D8870" s="116"/>
      <c r="E8870" s="116"/>
    </row>
    <row r="8871" spans="1:5" x14ac:dyDescent="0.25">
      <c r="A8871" s="83"/>
      <c r="B8871" s="84"/>
      <c r="C8871" s="84"/>
      <c r="D8871" s="116"/>
      <c r="E8871" s="116"/>
    </row>
    <row r="8872" spans="1:5" x14ac:dyDescent="0.25">
      <c r="A8872" s="83"/>
      <c r="B8872" s="84"/>
      <c r="C8872" s="84"/>
      <c r="D8872" s="116"/>
      <c r="E8872" s="116"/>
    </row>
    <row r="8873" spans="1:5" x14ac:dyDescent="0.25">
      <c r="A8873" s="83"/>
      <c r="B8873" s="84"/>
      <c r="C8873" s="84"/>
      <c r="D8873" s="116"/>
      <c r="E8873" s="116"/>
    </row>
    <row r="8874" spans="1:5" x14ac:dyDescent="0.25">
      <c r="A8874" s="83"/>
      <c r="B8874" s="84"/>
      <c r="C8874" s="84"/>
      <c r="D8874" s="116"/>
      <c r="E8874" s="116"/>
    </row>
    <row r="8875" spans="1:5" x14ac:dyDescent="0.25">
      <c r="A8875" s="83"/>
      <c r="B8875" s="84"/>
      <c r="C8875" s="84"/>
      <c r="D8875" s="116"/>
      <c r="E8875" s="116"/>
    </row>
    <row r="8876" spans="1:5" x14ac:dyDescent="0.25">
      <c r="A8876" s="83"/>
      <c r="B8876" s="84"/>
      <c r="C8876" s="84"/>
      <c r="D8876" s="116"/>
      <c r="E8876" s="116"/>
    </row>
    <row r="8877" spans="1:5" x14ac:dyDescent="0.25">
      <c r="A8877" s="83"/>
      <c r="B8877" s="84"/>
      <c r="C8877" s="84"/>
      <c r="D8877" s="116"/>
      <c r="E8877" s="116"/>
    </row>
    <row r="8878" spans="1:5" x14ac:dyDescent="0.25">
      <c r="A8878" s="83"/>
      <c r="B8878" s="84"/>
      <c r="C8878" s="84"/>
      <c r="D8878" s="116"/>
      <c r="E8878" s="116"/>
    </row>
    <row r="8879" spans="1:5" x14ac:dyDescent="0.25">
      <c r="A8879" s="83"/>
      <c r="B8879" s="84"/>
      <c r="C8879" s="84"/>
      <c r="D8879" s="116"/>
      <c r="E8879" s="116"/>
    </row>
    <row r="8880" spans="1:5" x14ac:dyDescent="0.25">
      <c r="A8880" s="83"/>
      <c r="B8880" s="84"/>
      <c r="C8880" s="84"/>
      <c r="D8880" s="116"/>
      <c r="E8880" s="116"/>
    </row>
    <row r="8881" spans="1:5" x14ac:dyDescent="0.25">
      <c r="A8881" s="83"/>
      <c r="B8881" s="84"/>
      <c r="C8881" s="84"/>
      <c r="D8881" s="116"/>
      <c r="E8881" s="116"/>
    </row>
    <row r="8882" spans="1:5" x14ac:dyDescent="0.25">
      <c r="A8882" s="83"/>
      <c r="B8882" s="84"/>
      <c r="C8882" s="84"/>
      <c r="D8882" s="116"/>
      <c r="E8882" s="116"/>
    </row>
    <row r="8883" spans="1:5" x14ac:dyDescent="0.25">
      <c r="A8883" s="83"/>
      <c r="B8883" s="84"/>
      <c r="C8883" s="84"/>
      <c r="D8883" s="116"/>
      <c r="E8883" s="116"/>
    </row>
    <row r="8884" spans="1:5" x14ac:dyDescent="0.25">
      <c r="A8884" s="83"/>
      <c r="B8884" s="84"/>
      <c r="C8884" s="84"/>
      <c r="D8884" s="116"/>
      <c r="E8884" s="116"/>
    </row>
    <row r="8885" spans="1:5" x14ac:dyDescent="0.25">
      <c r="A8885" s="83"/>
      <c r="B8885" s="84"/>
      <c r="C8885" s="84"/>
      <c r="D8885" s="116"/>
      <c r="E8885" s="116"/>
    </row>
    <row r="8886" spans="1:5" x14ac:dyDescent="0.25">
      <c r="A8886" s="83"/>
      <c r="B8886" s="84"/>
      <c r="C8886" s="84"/>
      <c r="D8886" s="116"/>
      <c r="E8886" s="116"/>
    </row>
    <row r="8887" spans="1:5" x14ac:dyDescent="0.25">
      <c r="A8887" s="83"/>
      <c r="B8887" s="84"/>
      <c r="C8887" s="84"/>
      <c r="D8887" s="116"/>
      <c r="E8887" s="116"/>
    </row>
    <row r="8888" spans="1:5" x14ac:dyDescent="0.25">
      <c r="A8888" s="83"/>
      <c r="B8888" s="84"/>
      <c r="C8888" s="84"/>
      <c r="D8888" s="116"/>
      <c r="E8888" s="116"/>
    </row>
    <row r="8889" spans="1:5" x14ac:dyDescent="0.25">
      <c r="A8889" s="83"/>
      <c r="B8889" s="84"/>
      <c r="C8889" s="84"/>
      <c r="D8889" s="116"/>
      <c r="E8889" s="116"/>
    </row>
    <row r="8890" spans="1:5" x14ac:dyDescent="0.25">
      <c r="A8890" s="83"/>
      <c r="B8890" s="84"/>
      <c r="C8890" s="84"/>
      <c r="D8890" s="116"/>
      <c r="E8890" s="116"/>
    </row>
    <row r="8891" spans="1:5" x14ac:dyDescent="0.25">
      <c r="A8891" s="83"/>
      <c r="B8891" s="84"/>
      <c r="C8891" s="84"/>
      <c r="D8891" s="116"/>
      <c r="E8891" s="116"/>
    </row>
    <row r="8892" spans="1:5" x14ac:dyDescent="0.25">
      <c r="A8892" s="83"/>
      <c r="B8892" s="84"/>
      <c r="C8892" s="84"/>
      <c r="D8892" s="116"/>
      <c r="E8892" s="116"/>
    </row>
    <row r="8893" spans="1:5" x14ac:dyDescent="0.25">
      <c r="A8893" s="83"/>
      <c r="B8893" s="84"/>
      <c r="C8893" s="84"/>
      <c r="D8893" s="116"/>
      <c r="E8893" s="116"/>
    </row>
    <row r="8894" spans="1:5" x14ac:dyDescent="0.25">
      <c r="A8894" s="83"/>
      <c r="B8894" s="84"/>
      <c r="C8894" s="84"/>
      <c r="D8894" s="116"/>
      <c r="E8894" s="116"/>
    </row>
    <row r="8895" spans="1:5" x14ac:dyDescent="0.25">
      <c r="A8895" s="83"/>
      <c r="B8895" s="84"/>
      <c r="C8895" s="84"/>
      <c r="D8895" s="116"/>
      <c r="E8895" s="116"/>
    </row>
    <row r="8896" spans="1:5" x14ac:dyDescent="0.25">
      <c r="A8896" s="83"/>
      <c r="B8896" s="84"/>
      <c r="C8896" s="84"/>
      <c r="D8896" s="116"/>
      <c r="E8896" s="116"/>
    </row>
    <row r="8897" spans="1:5" x14ac:dyDescent="0.25">
      <c r="A8897" s="83"/>
      <c r="B8897" s="84"/>
      <c r="C8897" s="84"/>
      <c r="D8897" s="116"/>
      <c r="E8897" s="116"/>
    </row>
    <row r="8898" spans="1:5" x14ac:dyDescent="0.25">
      <c r="A8898" s="83"/>
      <c r="B8898" s="84"/>
      <c r="C8898" s="84"/>
      <c r="D8898" s="116"/>
      <c r="E8898" s="116"/>
    </row>
    <row r="8899" spans="1:5" x14ac:dyDescent="0.25">
      <c r="A8899" s="83"/>
      <c r="B8899" s="84"/>
      <c r="C8899" s="84"/>
      <c r="D8899" s="116"/>
      <c r="E8899" s="116"/>
    </row>
    <row r="8900" spans="1:5" x14ac:dyDescent="0.25">
      <c r="A8900" s="83"/>
      <c r="B8900" s="84"/>
      <c r="C8900" s="84"/>
      <c r="D8900" s="116"/>
      <c r="E8900" s="116"/>
    </row>
    <row r="8901" spans="1:5" x14ac:dyDescent="0.25">
      <c r="A8901" s="83"/>
      <c r="B8901" s="84"/>
      <c r="C8901" s="84"/>
      <c r="D8901" s="116"/>
      <c r="E8901" s="116"/>
    </row>
    <row r="8902" spans="1:5" x14ac:dyDescent="0.25">
      <c r="A8902" s="83"/>
      <c r="B8902" s="84"/>
      <c r="C8902" s="84"/>
      <c r="D8902" s="116"/>
      <c r="E8902" s="116"/>
    </row>
    <row r="8903" spans="1:5" x14ac:dyDescent="0.25">
      <c r="A8903" s="83"/>
      <c r="B8903" s="84"/>
      <c r="C8903" s="84"/>
      <c r="D8903" s="116"/>
      <c r="E8903" s="116"/>
    </row>
    <row r="8904" spans="1:5" x14ac:dyDescent="0.25">
      <c r="A8904" s="83"/>
      <c r="B8904" s="84"/>
      <c r="C8904" s="84"/>
      <c r="D8904" s="116"/>
      <c r="E8904" s="116"/>
    </row>
    <row r="8905" spans="1:5" x14ac:dyDescent="0.25">
      <c r="A8905" s="83"/>
      <c r="B8905" s="84"/>
      <c r="C8905" s="84"/>
      <c r="D8905" s="116"/>
      <c r="E8905" s="116"/>
    </row>
    <row r="8906" spans="1:5" x14ac:dyDescent="0.25">
      <c r="A8906" s="83"/>
      <c r="B8906" s="84"/>
      <c r="C8906" s="84"/>
      <c r="D8906" s="116"/>
      <c r="E8906" s="116"/>
    </row>
    <row r="8907" spans="1:5" x14ac:dyDescent="0.25">
      <c r="A8907" s="83"/>
      <c r="B8907" s="84"/>
      <c r="C8907" s="84"/>
      <c r="D8907" s="116"/>
      <c r="E8907" s="116"/>
    </row>
    <row r="8908" spans="1:5" x14ac:dyDescent="0.25">
      <c r="A8908" s="83"/>
      <c r="B8908" s="84"/>
      <c r="C8908" s="84"/>
      <c r="D8908" s="116"/>
      <c r="E8908" s="116"/>
    </row>
    <row r="8909" spans="1:5" x14ac:dyDescent="0.25">
      <c r="A8909" s="83"/>
      <c r="B8909" s="84"/>
      <c r="C8909" s="84"/>
      <c r="D8909" s="116"/>
      <c r="E8909" s="116"/>
    </row>
    <row r="8910" spans="1:5" x14ac:dyDescent="0.25">
      <c r="A8910" s="83"/>
      <c r="B8910" s="84"/>
      <c r="C8910" s="84"/>
      <c r="D8910" s="116"/>
      <c r="E8910" s="116"/>
    </row>
    <row r="8911" spans="1:5" x14ac:dyDescent="0.25">
      <c r="A8911" s="83"/>
      <c r="B8911" s="84"/>
      <c r="C8911" s="84"/>
      <c r="D8911" s="116"/>
      <c r="E8911" s="116"/>
    </row>
    <row r="8912" spans="1:5" x14ac:dyDescent="0.25">
      <c r="A8912" s="83"/>
      <c r="B8912" s="84"/>
      <c r="C8912" s="84"/>
      <c r="D8912" s="116"/>
      <c r="E8912" s="116"/>
    </row>
    <row r="8913" spans="1:5" x14ac:dyDescent="0.25">
      <c r="A8913" s="83"/>
      <c r="B8913" s="84"/>
      <c r="C8913" s="84"/>
      <c r="D8913" s="116"/>
      <c r="E8913" s="116"/>
    </row>
    <row r="8914" spans="1:5" x14ac:dyDescent="0.25">
      <c r="A8914" s="83"/>
      <c r="B8914" s="84"/>
      <c r="C8914" s="84"/>
      <c r="D8914" s="116"/>
      <c r="E8914" s="116"/>
    </row>
    <row r="8915" spans="1:5" x14ac:dyDescent="0.25">
      <c r="A8915" s="83"/>
      <c r="B8915" s="84"/>
      <c r="C8915" s="84"/>
      <c r="D8915" s="116"/>
      <c r="E8915" s="116"/>
    </row>
    <row r="8916" spans="1:5" x14ac:dyDescent="0.25">
      <c r="A8916" s="83"/>
      <c r="B8916" s="84"/>
      <c r="C8916" s="84"/>
      <c r="D8916" s="116"/>
      <c r="E8916" s="116"/>
    </row>
    <row r="8917" spans="1:5" x14ac:dyDescent="0.25">
      <c r="A8917" s="83"/>
      <c r="B8917" s="84"/>
      <c r="C8917" s="84"/>
      <c r="D8917" s="116"/>
      <c r="E8917" s="116"/>
    </row>
    <row r="8918" spans="1:5" x14ac:dyDescent="0.25">
      <c r="A8918" s="83"/>
      <c r="B8918" s="84"/>
      <c r="C8918" s="84"/>
      <c r="D8918" s="116"/>
      <c r="E8918" s="116"/>
    </row>
    <row r="8919" spans="1:5" x14ac:dyDescent="0.25">
      <c r="A8919" s="83"/>
      <c r="B8919" s="84"/>
      <c r="C8919" s="84"/>
      <c r="D8919" s="116"/>
      <c r="E8919" s="116"/>
    </row>
    <row r="8920" spans="1:5" x14ac:dyDescent="0.25">
      <c r="A8920" s="83"/>
      <c r="B8920" s="84"/>
      <c r="C8920" s="84"/>
      <c r="D8920" s="116"/>
      <c r="E8920" s="116"/>
    </row>
    <row r="8921" spans="1:5" x14ac:dyDescent="0.25">
      <c r="A8921" s="83"/>
      <c r="B8921" s="84"/>
      <c r="C8921" s="84"/>
      <c r="D8921" s="116"/>
      <c r="E8921" s="116"/>
    </row>
    <row r="8922" spans="1:5" x14ac:dyDescent="0.25">
      <c r="A8922" s="83"/>
      <c r="B8922" s="84"/>
      <c r="C8922" s="84"/>
      <c r="D8922" s="116"/>
      <c r="E8922" s="116"/>
    </row>
    <row r="8923" spans="1:5" x14ac:dyDescent="0.25">
      <c r="A8923" s="83"/>
      <c r="B8923" s="84"/>
      <c r="C8923" s="84"/>
      <c r="D8923" s="116"/>
      <c r="E8923" s="116"/>
    </row>
    <row r="8924" spans="1:5" x14ac:dyDescent="0.25">
      <c r="A8924" s="83"/>
      <c r="B8924" s="84"/>
      <c r="C8924" s="84"/>
      <c r="D8924" s="116"/>
      <c r="E8924" s="116"/>
    </row>
    <row r="8925" spans="1:5" x14ac:dyDescent="0.25">
      <c r="A8925" s="83"/>
      <c r="B8925" s="84"/>
      <c r="C8925" s="84"/>
      <c r="D8925" s="116"/>
      <c r="E8925" s="116"/>
    </row>
    <row r="8926" spans="1:5" x14ac:dyDescent="0.25">
      <c r="A8926" s="83"/>
      <c r="B8926" s="84"/>
      <c r="C8926" s="84"/>
      <c r="D8926" s="116"/>
      <c r="E8926" s="116"/>
    </row>
    <row r="8927" spans="1:5" x14ac:dyDescent="0.25">
      <c r="A8927" s="83"/>
      <c r="B8927" s="84"/>
      <c r="C8927" s="84"/>
      <c r="D8927" s="116"/>
      <c r="E8927" s="116"/>
    </row>
    <row r="8928" spans="1:5" x14ac:dyDescent="0.25">
      <c r="A8928" s="83"/>
      <c r="B8928" s="84"/>
      <c r="C8928" s="84"/>
      <c r="D8928" s="116"/>
      <c r="E8928" s="116"/>
    </row>
    <row r="8929" spans="1:5" x14ac:dyDescent="0.25">
      <c r="A8929" s="83"/>
      <c r="B8929" s="84"/>
      <c r="C8929" s="84"/>
      <c r="D8929" s="116"/>
      <c r="E8929" s="116"/>
    </row>
    <row r="8930" spans="1:5" x14ac:dyDescent="0.25">
      <c r="A8930" s="83"/>
      <c r="B8930" s="84"/>
      <c r="C8930" s="84"/>
      <c r="D8930" s="116"/>
      <c r="E8930" s="116"/>
    </row>
    <row r="8931" spans="1:5" x14ac:dyDescent="0.25">
      <c r="A8931" s="83"/>
      <c r="B8931" s="84"/>
      <c r="C8931" s="84"/>
      <c r="D8931" s="116"/>
      <c r="E8931" s="116"/>
    </row>
    <row r="8932" spans="1:5" x14ac:dyDescent="0.25">
      <c r="A8932" s="83"/>
      <c r="B8932" s="84"/>
      <c r="C8932" s="84"/>
      <c r="D8932" s="116"/>
      <c r="E8932" s="116"/>
    </row>
    <row r="8933" spans="1:5" x14ac:dyDescent="0.25">
      <c r="A8933" s="83"/>
      <c r="B8933" s="84"/>
      <c r="C8933" s="84"/>
      <c r="D8933" s="116"/>
      <c r="E8933" s="116"/>
    </row>
    <row r="8934" spans="1:5" x14ac:dyDescent="0.25">
      <c r="A8934" s="83"/>
      <c r="B8934" s="84"/>
      <c r="C8934" s="84"/>
      <c r="D8934" s="116"/>
      <c r="E8934" s="116"/>
    </row>
    <row r="8935" spans="1:5" x14ac:dyDescent="0.25">
      <c r="A8935" s="83"/>
      <c r="B8935" s="84"/>
      <c r="C8935" s="84"/>
      <c r="D8935" s="116"/>
      <c r="E8935" s="116"/>
    </row>
    <row r="8936" spans="1:5" x14ac:dyDescent="0.25">
      <c r="A8936" s="83"/>
      <c r="B8936" s="84"/>
      <c r="C8936" s="84"/>
      <c r="D8936" s="116"/>
      <c r="E8936" s="116"/>
    </row>
    <row r="8937" spans="1:5" x14ac:dyDescent="0.25">
      <c r="A8937" s="83"/>
      <c r="B8937" s="84"/>
      <c r="C8937" s="84"/>
      <c r="D8937" s="116"/>
      <c r="E8937" s="116"/>
    </row>
    <row r="8938" spans="1:5" x14ac:dyDescent="0.25">
      <c r="A8938" s="83"/>
      <c r="B8938" s="84"/>
      <c r="C8938" s="84"/>
      <c r="D8938" s="116"/>
      <c r="E8938" s="116"/>
    </row>
    <row r="8939" spans="1:5" x14ac:dyDescent="0.25">
      <c r="A8939" s="83"/>
      <c r="B8939" s="84"/>
      <c r="C8939" s="84"/>
      <c r="D8939" s="116"/>
      <c r="E8939" s="116"/>
    </row>
    <row r="8940" spans="1:5" x14ac:dyDescent="0.25">
      <c r="A8940" s="83"/>
      <c r="B8940" s="84"/>
      <c r="C8940" s="84"/>
      <c r="D8940" s="116"/>
      <c r="E8940" s="116"/>
    </row>
    <row r="8941" spans="1:5" x14ac:dyDescent="0.25">
      <c r="A8941" s="83"/>
      <c r="B8941" s="84"/>
      <c r="C8941" s="84"/>
      <c r="D8941" s="116"/>
      <c r="E8941" s="116"/>
    </row>
    <row r="8942" spans="1:5" x14ac:dyDescent="0.25">
      <c r="A8942" s="83"/>
      <c r="B8942" s="84"/>
      <c r="C8942" s="84"/>
      <c r="D8942" s="116"/>
      <c r="E8942" s="116"/>
    </row>
    <row r="8943" spans="1:5" x14ac:dyDescent="0.25">
      <c r="A8943" s="83"/>
      <c r="B8943" s="84"/>
      <c r="C8943" s="84"/>
      <c r="D8943" s="116"/>
      <c r="E8943" s="116"/>
    </row>
    <row r="8944" spans="1:5" x14ac:dyDescent="0.25">
      <c r="A8944" s="83"/>
      <c r="B8944" s="84"/>
      <c r="C8944" s="84"/>
      <c r="D8944" s="116"/>
      <c r="E8944" s="116"/>
    </row>
    <row r="8945" spans="1:5" x14ac:dyDescent="0.25">
      <c r="A8945" s="83"/>
      <c r="B8945" s="84"/>
      <c r="C8945" s="84"/>
      <c r="D8945" s="116"/>
      <c r="E8945" s="116"/>
    </row>
    <row r="8946" spans="1:5" x14ac:dyDescent="0.25">
      <c r="A8946" s="83"/>
      <c r="B8946" s="84"/>
      <c r="C8946" s="84"/>
      <c r="D8946" s="116"/>
      <c r="E8946" s="116"/>
    </row>
    <row r="8947" spans="1:5" x14ac:dyDescent="0.25">
      <c r="A8947" s="83"/>
      <c r="B8947" s="84"/>
      <c r="C8947" s="84"/>
      <c r="D8947" s="116"/>
      <c r="E8947" s="116"/>
    </row>
    <row r="8948" spans="1:5" x14ac:dyDescent="0.25">
      <c r="A8948" s="83"/>
      <c r="B8948" s="84"/>
      <c r="C8948" s="84"/>
      <c r="D8948" s="116"/>
      <c r="E8948" s="116"/>
    </row>
    <row r="8949" spans="1:5" x14ac:dyDescent="0.25">
      <c r="A8949" s="83"/>
      <c r="B8949" s="84"/>
      <c r="C8949" s="84"/>
      <c r="D8949" s="116"/>
      <c r="E8949" s="116"/>
    </row>
    <row r="8950" spans="1:5" x14ac:dyDescent="0.25">
      <c r="A8950" s="83"/>
      <c r="B8950" s="84"/>
      <c r="C8950" s="84"/>
      <c r="D8950" s="116"/>
      <c r="E8950" s="116"/>
    </row>
    <row r="8951" spans="1:5" x14ac:dyDescent="0.25">
      <c r="A8951" s="83"/>
      <c r="B8951" s="84"/>
      <c r="C8951" s="84"/>
      <c r="D8951" s="116"/>
      <c r="E8951" s="116"/>
    </row>
    <row r="8952" spans="1:5" x14ac:dyDescent="0.25">
      <c r="A8952" s="83"/>
      <c r="B8952" s="84"/>
      <c r="C8952" s="84"/>
      <c r="D8952" s="116"/>
      <c r="E8952" s="116"/>
    </row>
    <row r="8953" spans="1:5" x14ac:dyDescent="0.25">
      <c r="A8953" s="83"/>
      <c r="B8953" s="84"/>
      <c r="C8953" s="84"/>
      <c r="D8953" s="116"/>
      <c r="E8953" s="116"/>
    </row>
    <row r="8954" spans="1:5" x14ac:dyDescent="0.25">
      <c r="A8954" s="83"/>
      <c r="B8954" s="84"/>
      <c r="C8954" s="84"/>
      <c r="D8954" s="116"/>
      <c r="E8954" s="116"/>
    </row>
    <row r="8955" spans="1:5" x14ac:dyDescent="0.25">
      <c r="A8955" s="83"/>
      <c r="B8955" s="84"/>
      <c r="C8955" s="84"/>
      <c r="D8955" s="116"/>
      <c r="E8955" s="116"/>
    </row>
    <row r="8956" spans="1:5" x14ac:dyDescent="0.25">
      <c r="A8956" s="83"/>
      <c r="B8956" s="84"/>
      <c r="C8956" s="84"/>
      <c r="D8956" s="116"/>
      <c r="E8956" s="116"/>
    </row>
    <row r="8957" spans="1:5" x14ac:dyDescent="0.25">
      <c r="A8957" s="83"/>
      <c r="B8957" s="84"/>
      <c r="C8957" s="84"/>
      <c r="D8957" s="116"/>
      <c r="E8957" s="116"/>
    </row>
    <row r="8958" spans="1:5" x14ac:dyDescent="0.25">
      <c r="A8958" s="83"/>
      <c r="B8958" s="84"/>
      <c r="C8958" s="84"/>
      <c r="D8958" s="116"/>
      <c r="E8958" s="116"/>
    </row>
    <row r="8959" spans="1:5" x14ac:dyDescent="0.25">
      <c r="A8959" s="83"/>
      <c r="B8959" s="84"/>
      <c r="C8959" s="84"/>
      <c r="D8959" s="116"/>
      <c r="E8959" s="116"/>
    </row>
    <row r="8960" spans="1:5" x14ac:dyDescent="0.25">
      <c r="A8960" s="83"/>
      <c r="B8960" s="84"/>
      <c r="C8960" s="84"/>
      <c r="D8960" s="116"/>
      <c r="E8960" s="116"/>
    </row>
    <row r="8961" spans="1:5" x14ac:dyDescent="0.25">
      <c r="A8961" s="83"/>
      <c r="B8961" s="84"/>
      <c r="C8961" s="84"/>
      <c r="D8961" s="116"/>
      <c r="E8961" s="116"/>
    </row>
    <row r="8962" spans="1:5" x14ac:dyDescent="0.25">
      <c r="A8962" s="83"/>
      <c r="B8962" s="84"/>
      <c r="C8962" s="84"/>
      <c r="D8962" s="116"/>
      <c r="E8962" s="116"/>
    </row>
    <row r="8963" spans="1:5" x14ac:dyDescent="0.25">
      <c r="A8963" s="83"/>
      <c r="B8963" s="84"/>
      <c r="C8963" s="84"/>
      <c r="D8963" s="116"/>
      <c r="E8963" s="116"/>
    </row>
    <row r="8964" spans="1:5" x14ac:dyDescent="0.25">
      <c r="A8964" s="83"/>
      <c r="B8964" s="84"/>
      <c r="C8964" s="84"/>
      <c r="D8964" s="116"/>
      <c r="E8964" s="116"/>
    </row>
    <row r="8965" spans="1:5" x14ac:dyDescent="0.25">
      <c r="A8965" s="83"/>
      <c r="B8965" s="84"/>
      <c r="C8965" s="84"/>
      <c r="D8965" s="116"/>
      <c r="E8965" s="116"/>
    </row>
    <row r="8966" spans="1:5" x14ac:dyDescent="0.25">
      <c r="A8966" s="83"/>
      <c r="B8966" s="84"/>
      <c r="C8966" s="84"/>
      <c r="D8966" s="116"/>
      <c r="E8966" s="116"/>
    </row>
    <row r="8967" spans="1:5" x14ac:dyDescent="0.25">
      <c r="A8967" s="83"/>
      <c r="B8967" s="84"/>
      <c r="C8967" s="84"/>
      <c r="D8967" s="116"/>
      <c r="E8967" s="116"/>
    </row>
    <row r="8968" spans="1:5" x14ac:dyDescent="0.25">
      <c r="A8968" s="83"/>
      <c r="B8968" s="84"/>
      <c r="C8968" s="84"/>
      <c r="D8968" s="116"/>
      <c r="E8968" s="116"/>
    </row>
    <row r="8969" spans="1:5" x14ac:dyDescent="0.25">
      <c r="A8969" s="83"/>
      <c r="B8969" s="84"/>
      <c r="C8969" s="84"/>
      <c r="D8969" s="116"/>
      <c r="E8969" s="116"/>
    </row>
    <row r="8970" spans="1:5" x14ac:dyDescent="0.25">
      <c r="A8970" s="83"/>
      <c r="B8970" s="84"/>
      <c r="C8970" s="84"/>
      <c r="D8970" s="116"/>
      <c r="E8970" s="116"/>
    </row>
    <row r="8971" spans="1:5" x14ac:dyDescent="0.25">
      <c r="A8971" s="83"/>
      <c r="B8971" s="84"/>
      <c r="C8971" s="84"/>
      <c r="D8971" s="116"/>
      <c r="E8971" s="116"/>
    </row>
    <row r="8972" spans="1:5" x14ac:dyDescent="0.25">
      <c r="A8972" s="83"/>
      <c r="B8972" s="84"/>
      <c r="C8972" s="84"/>
      <c r="D8972" s="116"/>
      <c r="E8972" s="116"/>
    </row>
    <row r="8973" spans="1:5" x14ac:dyDescent="0.25">
      <c r="A8973" s="83"/>
      <c r="B8973" s="84"/>
      <c r="C8973" s="84"/>
      <c r="D8973" s="116"/>
      <c r="E8973" s="116"/>
    </row>
    <row r="8974" spans="1:5" x14ac:dyDescent="0.25">
      <c r="A8974" s="83"/>
      <c r="B8974" s="84"/>
      <c r="C8974" s="84"/>
      <c r="D8974" s="116"/>
      <c r="E8974" s="116"/>
    </row>
    <row r="8975" spans="1:5" x14ac:dyDescent="0.25">
      <c r="A8975" s="83"/>
      <c r="B8975" s="84"/>
      <c r="C8975" s="84"/>
      <c r="D8975" s="116"/>
      <c r="E8975" s="116"/>
    </row>
    <row r="8976" spans="1:5" x14ac:dyDescent="0.25">
      <c r="A8976" s="83"/>
      <c r="B8976" s="84"/>
      <c r="C8976" s="84"/>
      <c r="D8976" s="116"/>
      <c r="E8976" s="116"/>
    </row>
    <row r="8977" spans="1:5" x14ac:dyDescent="0.25">
      <c r="A8977" s="83"/>
      <c r="B8977" s="84"/>
      <c r="C8977" s="84"/>
      <c r="D8977" s="116"/>
      <c r="E8977" s="116"/>
    </row>
    <row r="8978" spans="1:5" x14ac:dyDescent="0.25">
      <c r="A8978" s="83"/>
      <c r="B8978" s="84"/>
      <c r="C8978" s="84"/>
      <c r="D8978" s="116"/>
      <c r="E8978" s="116"/>
    </row>
    <row r="8979" spans="1:5" x14ac:dyDescent="0.25">
      <c r="A8979" s="83"/>
      <c r="B8979" s="84"/>
      <c r="C8979" s="84"/>
      <c r="D8979" s="116"/>
      <c r="E8979" s="116"/>
    </row>
    <row r="8980" spans="1:5" x14ac:dyDescent="0.25">
      <c r="A8980" s="83"/>
      <c r="B8980" s="84"/>
      <c r="C8980" s="84"/>
      <c r="D8980" s="116"/>
      <c r="E8980" s="116"/>
    </row>
    <row r="8981" spans="1:5" x14ac:dyDescent="0.25">
      <c r="A8981" s="83"/>
      <c r="B8981" s="84"/>
      <c r="C8981" s="84"/>
      <c r="D8981" s="116"/>
      <c r="E8981" s="116"/>
    </row>
    <row r="8982" spans="1:5" x14ac:dyDescent="0.25">
      <c r="A8982" s="83"/>
      <c r="B8982" s="84"/>
      <c r="C8982" s="84"/>
      <c r="D8982" s="116"/>
      <c r="E8982" s="116"/>
    </row>
    <row r="8983" spans="1:5" x14ac:dyDescent="0.25">
      <c r="A8983" s="83"/>
      <c r="B8983" s="84"/>
      <c r="C8983" s="84"/>
      <c r="D8983" s="116"/>
      <c r="E8983" s="116"/>
    </row>
    <row r="8984" spans="1:5" x14ac:dyDescent="0.25">
      <c r="A8984" s="83"/>
      <c r="B8984" s="84"/>
      <c r="C8984" s="84"/>
      <c r="D8984" s="116"/>
      <c r="E8984" s="116"/>
    </row>
    <row r="8985" spans="1:5" x14ac:dyDescent="0.25">
      <c r="A8985" s="83"/>
      <c r="B8985" s="84"/>
      <c r="C8985" s="84"/>
      <c r="D8985" s="116"/>
      <c r="E8985" s="116"/>
    </row>
    <row r="8986" spans="1:5" x14ac:dyDescent="0.25">
      <c r="A8986" s="83"/>
      <c r="B8986" s="84"/>
      <c r="C8986" s="84"/>
      <c r="D8986" s="116"/>
      <c r="E8986" s="116"/>
    </row>
    <row r="8987" spans="1:5" x14ac:dyDescent="0.25">
      <c r="A8987" s="83"/>
      <c r="B8987" s="84"/>
      <c r="C8987" s="84"/>
      <c r="D8987" s="116"/>
      <c r="E8987" s="116"/>
    </row>
    <row r="8988" spans="1:5" x14ac:dyDescent="0.25">
      <c r="A8988" s="83"/>
      <c r="B8988" s="84"/>
      <c r="C8988" s="84"/>
      <c r="D8988" s="116"/>
      <c r="E8988" s="116"/>
    </row>
    <row r="8989" spans="1:5" x14ac:dyDescent="0.25">
      <c r="A8989" s="83"/>
      <c r="B8989" s="84"/>
      <c r="C8989" s="84"/>
      <c r="D8989" s="116"/>
      <c r="E8989" s="116"/>
    </row>
    <row r="8990" spans="1:5" x14ac:dyDescent="0.25">
      <c r="A8990" s="83"/>
      <c r="B8990" s="84"/>
      <c r="C8990" s="84"/>
      <c r="D8990" s="116"/>
      <c r="E8990" s="116"/>
    </row>
    <row r="8991" spans="1:5" x14ac:dyDescent="0.25">
      <c r="A8991" s="83"/>
      <c r="B8991" s="84"/>
      <c r="C8991" s="84"/>
      <c r="D8991" s="116"/>
      <c r="E8991" s="116"/>
    </row>
    <row r="8992" spans="1:5" x14ac:dyDescent="0.25">
      <c r="A8992" s="83"/>
      <c r="B8992" s="84"/>
      <c r="C8992" s="84"/>
      <c r="D8992" s="116"/>
      <c r="E8992" s="116"/>
    </row>
    <row r="8993" spans="1:5" x14ac:dyDescent="0.25">
      <c r="A8993" s="83"/>
      <c r="B8993" s="84"/>
      <c r="C8993" s="84"/>
      <c r="D8993" s="116"/>
      <c r="E8993" s="116"/>
    </row>
    <row r="8994" spans="1:5" x14ac:dyDescent="0.25">
      <c r="A8994" s="83"/>
      <c r="B8994" s="84"/>
      <c r="C8994" s="84"/>
      <c r="D8994" s="116"/>
      <c r="E8994" s="116"/>
    </row>
    <row r="8995" spans="1:5" x14ac:dyDescent="0.25">
      <c r="A8995" s="83"/>
      <c r="B8995" s="84"/>
      <c r="C8995" s="84"/>
      <c r="D8995" s="116"/>
      <c r="E8995" s="116"/>
    </row>
    <row r="8996" spans="1:5" x14ac:dyDescent="0.25">
      <c r="A8996" s="83"/>
      <c r="B8996" s="84"/>
      <c r="C8996" s="84"/>
      <c r="D8996" s="116"/>
      <c r="E8996" s="116"/>
    </row>
    <row r="8997" spans="1:5" x14ac:dyDescent="0.25">
      <c r="A8997" s="83"/>
      <c r="B8997" s="84"/>
      <c r="C8997" s="84"/>
      <c r="D8997" s="116"/>
      <c r="E8997" s="116"/>
    </row>
    <row r="8998" spans="1:5" x14ac:dyDescent="0.25">
      <c r="A8998" s="83"/>
      <c r="B8998" s="84"/>
      <c r="C8998" s="84"/>
      <c r="D8998" s="116"/>
      <c r="E8998" s="116"/>
    </row>
    <row r="8999" spans="1:5" x14ac:dyDescent="0.25">
      <c r="A8999" s="83"/>
      <c r="B8999" s="84"/>
      <c r="C8999" s="84"/>
      <c r="D8999" s="116"/>
      <c r="E8999" s="116"/>
    </row>
    <row r="9000" spans="1:5" x14ac:dyDescent="0.25">
      <c r="A9000" s="83"/>
      <c r="B9000" s="84"/>
      <c r="C9000" s="84"/>
      <c r="D9000" s="116"/>
      <c r="E9000" s="116"/>
    </row>
    <row r="9001" spans="1:5" x14ac:dyDescent="0.25">
      <c r="A9001" s="83"/>
      <c r="B9001" s="84"/>
      <c r="C9001" s="84"/>
      <c r="D9001" s="116"/>
      <c r="E9001" s="116"/>
    </row>
    <row r="9002" spans="1:5" x14ac:dyDescent="0.25">
      <c r="A9002" s="83"/>
      <c r="B9002" s="84"/>
      <c r="C9002" s="84"/>
      <c r="D9002" s="116"/>
      <c r="E9002" s="116"/>
    </row>
    <row r="9003" spans="1:5" x14ac:dyDescent="0.25">
      <c r="A9003" s="83"/>
      <c r="B9003" s="84"/>
      <c r="C9003" s="84"/>
      <c r="D9003" s="116"/>
      <c r="E9003" s="116"/>
    </row>
    <row r="9004" spans="1:5" x14ac:dyDescent="0.25">
      <c r="A9004" s="83"/>
      <c r="B9004" s="84"/>
      <c r="C9004" s="84"/>
      <c r="D9004" s="116"/>
      <c r="E9004" s="116"/>
    </row>
    <row r="9005" spans="1:5" x14ac:dyDescent="0.25">
      <c r="A9005" s="83"/>
      <c r="B9005" s="84"/>
      <c r="C9005" s="84"/>
      <c r="D9005" s="116"/>
      <c r="E9005" s="116"/>
    </row>
    <row r="9006" spans="1:5" x14ac:dyDescent="0.25">
      <c r="A9006" s="83"/>
      <c r="B9006" s="84"/>
      <c r="C9006" s="84"/>
      <c r="D9006" s="116"/>
      <c r="E9006" s="116"/>
    </row>
    <row r="9007" spans="1:5" x14ac:dyDescent="0.25">
      <c r="A9007" s="83"/>
      <c r="B9007" s="84"/>
      <c r="C9007" s="84"/>
      <c r="D9007" s="116"/>
      <c r="E9007" s="116"/>
    </row>
    <row r="9008" spans="1:5" x14ac:dyDescent="0.25">
      <c r="A9008" s="83"/>
      <c r="B9008" s="84"/>
      <c r="C9008" s="84"/>
      <c r="D9008" s="116"/>
      <c r="E9008" s="116"/>
    </row>
    <row r="9009" spans="1:5" x14ac:dyDescent="0.25">
      <c r="A9009" s="83"/>
      <c r="B9009" s="84"/>
      <c r="C9009" s="84"/>
      <c r="D9009" s="116"/>
      <c r="E9009" s="116"/>
    </row>
    <row r="9010" spans="1:5" x14ac:dyDescent="0.25">
      <c r="A9010" s="83"/>
      <c r="B9010" s="84"/>
      <c r="C9010" s="84"/>
      <c r="D9010" s="116"/>
      <c r="E9010" s="116"/>
    </row>
    <row r="9011" spans="1:5" x14ac:dyDescent="0.25">
      <c r="A9011" s="83"/>
      <c r="B9011" s="84"/>
      <c r="C9011" s="84"/>
      <c r="D9011" s="116"/>
      <c r="E9011" s="116"/>
    </row>
    <row r="9012" spans="1:5" x14ac:dyDescent="0.25">
      <c r="A9012" s="83"/>
      <c r="B9012" s="84"/>
      <c r="C9012" s="84"/>
      <c r="D9012" s="116"/>
      <c r="E9012" s="116"/>
    </row>
    <row r="9013" spans="1:5" x14ac:dyDescent="0.25">
      <c r="A9013" s="83"/>
      <c r="B9013" s="84"/>
      <c r="C9013" s="84"/>
      <c r="D9013" s="116"/>
      <c r="E9013" s="116"/>
    </row>
    <row r="9014" spans="1:5" x14ac:dyDescent="0.25">
      <c r="A9014" s="83"/>
      <c r="B9014" s="84"/>
      <c r="C9014" s="84"/>
      <c r="D9014" s="116"/>
      <c r="E9014" s="116"/>
    </row>
    <row r="9015" spans="1:5" x14ac:dyDescent="0.25">
      <c r="A9015" s="83"/>
      <c r="B9015" s="84"/>
      <c r="C9015" s="84"/>
      <c r="D9015" s="116"/>
      <c r="E9015" s="116"/>
    </row>
    <row r="9016" spans="1:5" x14ac:dyDescent="0.25">
      <c r="A9016" s="83"/>
      <c r="B9016" s="84"/>
      <c r="C9016" s="84"/>
      <c r="D9016" s="116"/>
      <c r="E9016" s="116"/>
    </row>
    <row r="9017" spans="1:5" x14ac:dyDescent="0.25">
      <c r="A9017" s="83"/>
      <c r="B9017" s="84"/>
      <c r="C9017" s="84"/>
      <c r="D9017" s="116"/>
      <c r="E9017" s="116"/>
    </row>
    <row r="9018" spans="1:5" x14ac:dyDescent="0.25">
      <c r="A9018" s="83"/>
      <c r="B9018" s="84"/>
      <c r="C9018" s="84"/>
      <c r="D9018" s="116"/>
      <c r="E9018" s="116"/>
    </row>
    <row r="9019" spans="1:5" x14ac:dyDescent="0.25">
      <c r="A9019" s="83"/>
      <c r="B9019" s="84"/>
      <c r="C9019" s="84"/>
      <c r="D9019" s="116"/>
      <c r="E9019" s="116"/>
    </row>
    <row r="9020" spans="1:5" x14ac:dyDescent="0.25">
      <c r="A9020" s="83"/>
      <c r="B9020" s="84"/>
      <c r="C9020" s="84"/>
      <c r="D9020" s="116"/>
      <c r="E9020" s="116"/>
    </row>
    <row r="9021" spans="1:5" x14ac:dyDescent="0.25">
      <c r="A9021" s="83"/>
      <c r="B9021" s="84"/>
      <c r="C9021" s="84"/>
      <c r="D9021" s="116"/>
      <c r="E9021" s="116"/>
    </row>
    <row r="9022" spans="1:5" x14ac:dyDescent="0.25">
      <c r="A9022" s="83"/>
      <c r="B9022" s="84"/>
      <c r="C9022" s="84"/>
      <c r="D9022" s="116"/>
      <c r="E9022" s="116"/>
    </row>
    <row r="9023" spans="1:5" x14ac:dyDescent="0.25">
      <c r="A9023" s="83"/>
      <c r="B9023" s="84"/>
      <c r="C9023" s="84"/>
      <c r="D9023" s="116"/>
      <c r="E9023" s="116"/>
    </row>
    <row r="9024" spans="1:5" x14ac:dyDescent="0.25">
      <c r="A9024" s="83"/>
      <c r="B9024" s="84"/>
      <c r="C9024" s="84"/>
      <c r="D9024" s="116"/>
      <c r="E9024" s="116"/>
    </row>
    <row r="9025" spans="1:5" x14ac:dyDescent="0.25">
      <c r="A9025" s="83"/>
      <c r="B9025" s="84"/>
      <c r="C9025" s="84"/>
      <c r="D9025" s="116"/>
      <c r="E9025" s="116"/>
    </row>
    <row r="9026" spans="1:5" x14ac:dyDescent="0.25">
      <c r="A9026" s="83"/>
      <c r="B9026" s="84"/>
      <c r="C9026" s="84"/>
      <c r="D9026" s="116"/>
      <c r="E9026" s="116"/>
    </row>
    <row r="9027" spans="1:5" x14ac:dyDescent="0.25">
      <c r="A9027" s="83"/>
      <c r="B9027" s="84"/>
      <c r="C9027" s="84"/>
      <c r="D9027" s="116"/>
      <c r="E9027" s="116"/>
    </row>
    <row r="9028" spans="1:5" x14ac:dyDescent="0.25">
      <c r="A9028" s="83"/>
      <c r="B9028" s="84"/>
      <c r="C9028" s="84"/>
      <c r="D9028" s="116"/>
      <c r="E9028" s="116"/>
    </row>
    <row r="9029" spans="1:5" x14ac:dyDescent="0.25">
      <c r="A9029" s="83"/>
      <c r="B9029" s="84"/>
      <c r="C9029" s="84"/>
      <c r="D9029" s="116"/>
      <c r="E9029" s="116"/>
    </row>
    <row r="9030" spans="1:5" x14ac:dyDescent="0.25">
      <c r="A9030" s="83"/>
      <c r="B9030" s="84"/>
      <c r="C9030" s="84"/>
      <c r="D9030" s="116"/>
      <c r="E9030" s="116"/>
    </row>
    <row r="9031" spans="1:5" x14ac:dyDescent="0.25">
      <c r="A9031" s="83"/>
      <c r="B9031" s="84"/>
      <c r="C9031" s="84"/>
      <c r="D9031" s="116"/>
      <c r="E9031" s="116"/>
    </row>
    <row r="9032" spans="1:5" x14ac:dyDescent="0.25">
      <c r="A9032" s="83"/>
      <c r="B9032" s="84"/>
      <c r="C9032" s="84"/>
      <c r="D9032" s="116"/>
      <c r="E9032" s="116"/>
    </row>
    <row r="9033" spans="1:5" x14ac:dyDescent="0.25">
      <c r="A9033" s="83"/>
      <c r="B9033" s="84"/>
      <c r="C9033" s="84"/>
      <c r="D9033" s="116"/>
      <c r="E9033" s="116"/>
    </row>
    <row r="9034" spans="1:5" x14ac:dyDescent="0.25">
      <c r="A9034" s="83"/>
      <c r="B9034" s="84"/>
      <c r="C9034" s="84"/>
      <c r="D9034" s="116"/>
      <c r="E9034" s="116"/>
    </row>
    <row r="9035" spans="1:5" x14ac:dyDescent="0.25">
      <c r="A9035" s="83"/>
      <c r="B9035" s="84"/>
      <c r="C9035" s="84"/>
      <c r="D9035" s="116"/>
      <c r="E9035" s="116"/>
    </row>
    <row r="9036" spans="1:5" x14ac:dyDescent="0.25">
      <c r="A9036" s="83"/>
      <c r="B9036" s="84"/>
      <c r="C9036" s="84"/>
      <c r="D9036" s="116"/>
      <c r="E9036" s="116"/>
    </row>
    <row r="9037" spans="1:5" x14ac:dyDescent="0.25">
      <c r="A9037" s="83"/>
      <c r="B9037" s="84"/>
      <c r="C9037" s="84"/>
      <c r="D9037" s="116"/>
      <c r="E9037" s="116"/>
    </row>
    <row r="9038" spans="1:5" x14ac:dyDescent="0.25">
      <c r="A9038" s="83"/>
      <c r="B9038" s="84"/>
      <c r="C9038" s="84"/>
      <c r="D9038" s="116"/>
      <c r="E9038" s="116"/>
    </row>
    <row r="9039" spans="1:5" x14ac:dyDescent="0.25">
      <c r="A9039" s="83"/>
      <c r="B9039" s="84"/>
      <c r="C9039" s="84"/>
      <c r="D9039" s="116"/>
      <c r="E9039" s="116"/>
    </row>
    <row r="9040" spans="1:5" x14ac:dyDescent="0.25">
      <c r="A9040" s="83"/>
      <c r="B9040" s="84"/>
      <c r="C9040" s="84"/>
      <c r="D9040" s="116"/>
      <c r="E9040" s="116"/>
    </row>
    <row r="9041" spans="1:5" x14ac:dyDescent="0.25">
      <c r="A9041" s="83"/>
      <c r="B9041" s="84"/>
      <c r="C9041" s="84"/>
      <c r="D9041" s="116"/>
      <c r="E9041" s="116"/>
    </row>
    <row r="9042" spans="1:5" x14ac:dyDescent="0.25">
      <c r="A9042" s="83"/>
      <c r="B9042" s="84"/>
      <c r="C9042" s="84"/>
      <c r="D9042" s="116"/>
      <c r="E9042" s="116"/>
    </row>
    <row r="9043" spans="1:5" x14ac:dyDescent="0.25">
      <c r="A9043" s="83"/>
      <c r="B9043" s="84"/>
      <c r="C9043" s="84"/>
      <c r="D9043" s="116"/>
      <c r="E9043" s="116"/>
    </row>
    <row r="9044" spans="1:5" x14ac:dyDescent="0.25">
      <c r="A9044" s="83"/>
      <c r="B9044" s="84"/>
      <c r="C9044" s="84"/>
      <c r="D9044" s="116"/>
      <c r="E9044" s="116"/>
    </row>
    <row r="9045" spans="1:5" x14ac:dyDescent="0.25">
      <c r="A9045" s="83"/>
      <c r="B9045" s="84"/>
      <c r="C9045" s="84"/>
      <c r="D9045" s="116"/>
      <c r="E9045" s="116"/>
    </row>
    <row r="9046" spans="1:5" x14ac:dyDescent="0.25">
      <c r="A9046" s="83"/>
      <c r="B9046" s="84"/>
      <c r="C9046" s="84"/>
      <c r="D9046" s="116"/>
      <c r="E9046" s="116"/>
    </row>
    <row r="9047" spans="1:5" x14ac:dyDescent="0.25">
      <c r="A9047" s="83"/>
      <c r="B9047" s="84"/>
      <c r="C9047" s="84"/>
      <c r="D9047" s="116"/>
      <c r="E9047" s="116"/>
    </row>
    <row r="9048" spans="1:5" x14ac:dyDescent="0.25">
      <c r="A9048" s="83"/>
      <c r="B9048" s="84"/>
      <c r="C9048" s="84"/>
      <c r="D9048" s="116"/>
      <c r="E9048" s="116"/>
    </row>
    <row r="9049" spans="1:5" x14ac:dyDescent="0.25">
      <c r="A9049" s="83"/>
      <c r="B9049" s="84"/>
      <c r="C9049" s="84"/>
      <c r="D9049" s="116"/>
      <c r="E9049" s="116"/>
    </row>
    <row r="9050" spans="1:5" x14ac:dyDescent="0.25">
      <c r="A9050" s="83"/>
      <c r="B9050" s="84"/>
      <c r="C9050" s="84"/>
      <c r="D9050" s="116"/>
      <c r="E9050" s="116"/>
    </row>
    <row r="9051" spans="1:5" x14ac:dyDescent="0.25">
      <c r="A9051" s="83"/>
      <c r="B9051" s="84"/>
      <c r="C9051" s="84"/>
      <c r="D9051" s="116"/>
      <c r="E9051" s="116"/>
    </row>
    <row r="9052" spans="1:5" x14ac:dyDescent="0.25">
      <c r="A9052" s="83"/>
      <c r="B9052" s="84"/>
      <c r="C9052" s="84"/>
      <c r="D9052" s="116"/>
      <c r="E9052" s="116"/>
    </row>
    <row r="9053" spans="1:5" x14ac:dyDescent="0.25">
      <c r="A9053" s="83"/>
      <c r="B9053" s="84"/>
      <c r="C9053" s="84"/>
      <c r="D9053" s="116"/>
      <c r="E9053" s="116"/>
    </row>
    <row r="9054" spans="1:5" x14ac:dyDescent="0.25">
      <c r="A9054" s="83"/>
      <c r="B9054" s="84"/>
      <c r="C9054" s="84"/>
      <c r="D9054" s="116"/>
      <c r="E9054" s="116"/>
    </row>
    <row r="9055" spans="1:5" x14ac:dyDescent="0.25">
      <c r="A9055" s="83"/>
      <c r="B9055" s="84"/>
      <c r="C9055" s="84"/>
      <c r="D9055" s="116"/>
      <c r="E9055" s="116"/>
    </row>
    <row r="9056" spans="1:5" x14ac:dyDescent="0.25">
      <c r="A9056" s="83"/>
      <c r="B9056" s="84"/>
      <c r="C9056" s="84"/>
      <c r="D9056" s="116"/>
      <c r="E9056" s="116"/>
    </row>
    <row r="9057" spans="1:5" x14ac:dyDescent="0.25">
      <c r="A9057" s="83"/>
      <c r="B9057" s="84"/>
      <c r="C9057" s="84"/>
      <c r="D9057" s="116"/>
      <c r="E9057" s="116"/>
    </row>
    <row r="9058" spans="1:5" x14ac:dyDescent="0.25">
      <c r="A9058" s="83"/>
      <c r="B9058" s="84"/>
      <c r="C9058" s="84"/>
      <c r="D9058" s="116"/>
      <c r="E9058" s="116"/>
    </row>
    <row r="9059" spans="1:5" x14ac:dyDescent="0.25">
      <c r="A9059" s="83"/>
      <c r="B9059" s="84"/>
      <c r="C9059" s="84"/>
      <c r="D9059" s="116"/>
      <c r="E9059" s="116"/>
    </row>
    <row r="9060" spans="1:5" x14ac:dyDescent="0.25">
      <c r="A9060" s="83"/>
      <c r="B9060" s="84"/>
      <c r="C9060" s="84"/>
      <c r="D9060" s="116"/>
      <c r="E9060" s="116"/>
    </row>
    <row r="9061" spans="1:5" x14ac:dyDescent="0.25">
      <c r="A9061" s="83"/>
      <c r="B9061" s="84"/>
      <c r="C9061" s="84"/>
      <c r="D9061" s="116"/>
      <c r="E9061" s="116"/>
    </row>
    <row r="9062" spans="1:5" x14ac:dyDescent="0.25">
      <c r="A9062" s="83"/>
      <c r="B9062" s="84"/>
      <c r="C9062" s="84"/>
      <c r="D9062" s="116"/>
      <c r="E9062" s="116"/>
    </row>
    <row r="9063" spans="1:5" x14ac:dyDescent="0.25">
      <c r="A9063" s="83"/>
      <c r="B9063" s="84"/>
      <c r="C9063" s="84"/>
      <c r="D9063" s="116"/>
      <c r="E9063" s="116"/>
    </row>
    <row r="9064" spans="1:5" x14ac:dyDescent="0.25">
      <c r="A9064" s="83"/>
      <c r="B9064" s="84"/>
      <c r="C9064" s="84"/>
      <c r="D9064" s="116"/>
      <c r="E9064" s="116"/>
    </row>
    <row r="9065" spans="1:5" x14ac:dyDescent="0.25">
      <c r="A9065" s="83"/>
      <c r="B9065" s="84"/>
      <c r="C9065" s="84"/>
      <c r="D9065" s="116"/>
      <c r="E9065" s="116"/>
    </row>
    <row r="9066" spans="1:5" x14ac:dyDescent="0.25">
      <c r="A9066" s="83"/>
      <c r="B9066" s="84"/>
      <c r="C9066" s="84"/>
      <c r="D9066" s="116"/>
      <c r="E9066" s="116"/>
    </row>
    <row r="9067" spans="1:5" x14ac:dyDescent="0.25">
      <c r="A9067" s="83"/>
      <c r="B9067" s="84"/>
      <c r="C9067" s="84"/>
      <c r="D9067" s="116"/>
      <c r="E9067" s="116"/>
    </row>
    <row r="9068" spans="1:5" x14ac:dyDescent="0.25">
      <c r="A9068" s="83"/>
      <c r="B9068" s="84"/>
      <c r="C9068" s="84"/>
      <c r="D9068" s="116"/>
      <c r="E9068" s="116"/>
    </row>
    <row r="9069" spans="1:5" x14ac:dyDescent="0.25">
      <c r="A9069" s="83"/>
      <c r="B9069" s="84"/>
      <c r="C9069" s="84"/>
      <c r="D9069" s="116"/>
      <c r="E9069" s="116"/>
    </row>
    <row r="9070" spans="1:5" x14ac:dyDescent="0.25">
      <c r="A9070" s="83"/>
      <c r="B9070" s="84"/>
      <c r="C9070" s="84"/>
      <c r="D9070" s="116"/>
      <c r="E9070" s="116"/>
    </row>
    <row r="9071" spans="1:5" x14ac:dyDescent="0.25">
      <c r="A9071" s="83"/>
      <c r="B9071" s="84"/>
      <c r="C9071" s="84"/>
      <c r="D9071" s="116"/>
      <c r="E9071" s="116"/>
    </row>
    <row r="9072" spans="1:5" x14ac:dyDescent="0.25">
      <c r="A9072" s="83"/>
      <c r="B9072" s="84"/>
      <c r="C9072" s="84"/>
      <c r="D9072" s="116"/>
      <c r="E9072" s="116"/>
    </row>
    <row r="9073" spans="1:5" x14ac:dyDescent="0.25">
      <c r="A9073" s="83"/>
      <c r="B9073" s="84"/>
      <c r="C9073" s="84"/>
      <c r="D9073" s="116"/>
      <c r="E9073" s="116"/>
    </row>
    <row r="9074" spans="1:5" x14ac:dyDescent="0.25">
      <c r="A9074" s="83"/>
      <c r="B9074" s="84"/>
      <c r="C9074" s="84"/>
      <c r="D9074" s="116"/>
      <c r="E9074" s="116"/>
    </row>
    <row r="9075" spans="1:5" x14ac:dyDescent="0.25">
      <c r="A9075" s="83"/>
      <c r="B9075" s="84"/>
      <c r="C9075" s="84"/>
      <c r="D9075" s="116"/>
      <c r="E9075" s="116"/>
    </row>
    <row r="9076" spans="1:5" x14ac:dyDescent="0.25">
      <c r="A9076" s="83"/>
      <c r="B9076" s="84"/>
      <c r="C9076" s="84"/>
      <c r="D9076" s="116"/>
      <c r="E9076" s="116"/>
    </row>
    <row r="9077" spans="1:5" x14ac:dyDescent="0.25">
      <c r="A9077" s="83"/>
      <c r="B9077" s="84"/>
      <c r="C9077" s="84"/>
      <c r="D9077" s="116"/>
      <c r="E9077" s="116"/>
    </row>
    <row r="9078" spans="1:5" x14ac:dyDescent="0.25">
      <c r="A9078" s="83"/>
      <c r="B9078" s="84"/>
      <c r="C9078" s="84"/>
      <c r="D9078" s="116"/>
      <c r="E9078" s="116"/>
    </row>
    <row r="9079" spans="1:5" x14ac:dyDescent="0.25">
      <c r="A9079" s="83"/>
      <c r="B9079" s="84"/>
      <c r="C9079" s="84"/>
      <c r="D9079" s="116"/>
      <c r="E9079" s="116"/>
    </row>
    <row r="9080" spans="1:5" x14ac:dyDescent="0.25">
      <c r="A9080" s="83"/>
      <c r="B9080" s="84"/>
      <c r="C9080" s="84"/>
      <c r="D9080" s="116"/>
      <c r="E9080" s="116"/>
    </row>
    <row r="9081" spans="1:5" x14ac:dyDescent="0.25">
      <c r="A9081" s="83"/>
      <c r="B9081" s="84"/>
      <c r="C9081" s="84"/>
      <c r="D9081" s="116"/>
      <c r="E9081" s="116"/>
    </row>
    <row r="9082" spans="1:5" x14ac:dyDescent="0.25">
      <c r="A9082" s="83"/>
      <c r="B9082" s="84"/>
      <c r="C9082" s="84"/>
      <c r="D9082" s="116"/>
      <c r="E9082" s="116"/>
    </row>
    <row r="9083" spans="1:5" x14ac:dyDescent="0.25">
      <c r="A9083" s="83"/>
      <c r="B9083" s="84"/>
      <c r="C9083" s="84"/>
      <c r="D9083" s="116"/>
      <c r="E9083" s="116"/>
    </row>
    <row r="9084" spans="1:5" x14ac:dyDescent="0.25">
      <c r="A9084" s="83"/>
      <c r="B9084" s="84"/>
      <c r="C9084" s="84"/>
      <c r="D9084" s="116"/>
      <c r="E9084" s="116"/>
    </row>
    <row r="9085" spans="1:5" x14ac:dyDescent="0.25">
      <c r="A9085" s="83"/>
      <c r="B9085" s="84"/>
      <c r="C9085" s="84"/>
      <c r="D9085" s="116"/>
      <c r="E9085" s="116"/>
    </row>
    <row r="9086" spans="1:5" x14ac:dyDescent="0.25">
      <c r="A9086" s="83"/>
      <c r="B9086" s="84"/>
      <c r="C9086" s="84"/>
      <c r="D9086" s="116"/>
      <c r="E9086" s="116"/>
    </row>
    <row r="9087" spans="1:5" x14ac:dyDescent="0.25">
      <c r="A9087" s="83"/>
      <c r="B9087" s="84"/>
      <c r="C9087" s="84"/>
      <c r="D9087" s="116"/>
      <c r="E9087" s="116"/>
    </row>
    <row r="9088" spans="1:5" x14ac:dyDescent="0.25">
      <c r="A9088" s="83"/>
      <c r="B9088" s="84"/>
      <c r="C9088" s="84"/>
      <c r="D9088" s="116"/>
      <c r="E9088" s="116"/>
    </row>
    <row r="9089" spans="1:5" x14ac:dyDescent="0.25">
      <c r="A9089" s="83"/>
      <c r="B9089" s="84"/>
      <c r="C9089" s="84"/>
      <c r="D9089" s="116"/>
      <c r="E9089" s="116"/>
    </row>
    <row r="9090" spans="1:5" x14ac:dyDescent="0.25">
      <c r="A9090" s="83"/>
      <c r="B9090" s="84"/>
      <c r="C9090" s="84"/>
      <c r="D9090" s="116"/>
      <c r="E9090" s="116"/>
    </row>
    <row r="9091" spans="1:5" x14ac:dyDescent="0.25">
      <c r="A9091" s="83"/>
      <c r="B9091" s="84"/>
      <c r="C9091" s="84"/>
      <c r="D9091" s="116"/>
      <c r="E9091" s="116"/>
    </row>
    <row r="9092" spans="1:5" x14ac:dyDescent="0.25">
      <c r="A9092" s="83"/>
      <c r="B9092" s="84"/>
      <c r="C9092" s="84"/>
      <c r="D9092" s="116"/>
      <c r="E9092" s="116"/>
    </row>
    <row r="9093" spans="1:5" x14ac:dyDescent="0.25">
      <c r="A9093" s="83"/>
      <c r="B9093" s="84"/>
      <c r="C9093" s="84"/>
      <c r="D9093" s="116"/>
      <c r="E9093" s="116"/>
    </row>
    <row r="9094" spans="1:5" x14ac:dyDescent="0.25">
      <c r="A9094" s="83"/>
      <c r="B9094" s="84"/>
      <c r="C9094" s="84"/>
      <c r="D9094" s="116"/>
      <c r="E9094" s="116"/>
    </row>
    <row r="9095" spans="1:5" x14ac:dyDescent="0.25">
      <c r="A9095" s="83"/>
      <c r="B9095" s="84"/>
      <c r="C9095" s="84"/>
      <c r="D9095" s="116"/>
      <c r="E9095" s="116"/>
    </row>
    <row r="9096" spans="1:5" x14ac:dyDescent="0.25">
      <c r="A9096" s="83"/>
      <c r="B9096" s="84"/>
      <c r="C9096" s="84"/>
      <c r="D9096" s="116"/>
      <c r="E9096" s="116"/>
    </row>
    <row r="9097" spans="1:5" x14ac:dyDescent="0.25">
      <c r="A9097" s="83"/>
      <c r="B9097" s="84"/>
      <c r="C9097" s="84"/>
      <c r="D9097" s="116"/>
      <c r="E9097" s="116"/>
    </row>
    <row r="9098" spans="1:5" x14ac:dyDescent="0.25">
      <c r="A9098" s="83"/>
      <c r="B9098" s="84"/>
      <c r="C9098" s="84"/>
      <c r="D9098" s="116"/>
      <c r="E9098" s="116"/>
    </row>
    <row r="9099" spans="1:5" x14ac:dyDescent="0.25">
      <c r="A9099" s="83"/>
      <c r="B9099" s="84"/>
      <c r="C9099" s="84"/>
      <c r="D9099" s="116"/>
      <c r="E9099" s="116"/>
    </row>
    <row r="9100" spans="1:5" x14ac:dyDescent="0.25">
      <c r="A9100" s="83"/>
      <c r="B9100" s="84"/>
      <c r="C9100" s="84"/>
      <c r="D9100" s="116"/>
      <c r="E9100" s="116"/>
    </row>
    <row r="9101" spans="1:5" x14ac:dyDescent="0.25">
      <c r="A9101" s="83"/>
      <c r="B9101" s="84"/>
      <c r="C9101" s="84"/>
      <c r="D9101" s="116"/>
      <c r="E9101" s="116"/>
    </row>
    <row r="9102" spans="1:5" x14ac:dyDescent="0.25">
      <c r="A9102" s="83"/>
      <c r="B9102" s="84"/>
      <c r="C9102" s="84"/>
      <c r="D9102" s="116"/>
      <c r="E9102" s="116"/>
    </row>
    <row r="9103" spans="1:5" x14ac:dyDescent="0.25">
      <c r="A9103" s="83"/>
      <c r="B9103" s="84"/>
      <c r="C9103" s="84"/>
      <c r="D9103" s="116"/>
      <c r="E9103" s="116"/>
    </row>
    <row r="9104" spans="1:5" x14ac:dyDescent="0.25">
      <c r="A9104" s="83"/>
      <c r="B9104" s="84"/>
      <c r="C9104" s="84"/>
      <c r="D9104" s="116"/>
      <c r="E9104" s="116"/>
    </row>
    <row r="9105" spans="1:5" x14ac:dyDescent="0.25">
      <c r="A9105" s="83"/>
      <c r="B9105" s="84"/>
      <c r="C9105" s="84"/>
      <c r="D9105" s="116"/>
      <c r="E9105" s="116"/>
    </row>
    <row r="9106" spans="1:5" x14ac:dyDescent="0.25">
      <c r="A9106" s="83"/>
      <c r="B9106" s="84"/>
      <c r="C9106" s="84"/>
      <c r="D9106" s="116"/>
      <c r="E9106" s="116"/>
    </row>
    <row r="9107" spans="1:5" x14ac:dyDescent="0.25">
      <c r="A9107" s="83"/>
      <c r="B9107" s="84"/>
      <c r="C9107" s="84"/>
      <c r="D9107" s="116"/>
      <c r="E9107" s="116"/>
    </row>
    <row r="9108" spans="1:5" x14ac:dyDescent="0.25">
      <c r="A9108" s="83"/>
      <c r="B9108" s="84"/>
      <c r="C9108" s="84"/>
      <c r="D9108" s="116"/>
      <c r="E9108" s="116"/>
    </row>
    <row r="9109" spans="1:5" x14ac:dyDescent="0.25">
      <c r="A9109" s="83"/>
      <c r="B9109" s="84"/>
      <c r="C9109" s="84"/>
      <c r="D9109" s="116"/>
      <c r="E9109" s="116"/>
    </row>
    <row r="9110" spans="1:5" x14ac:dyDescent="0.25">
      <c r="A9110" s="83"/>
      <c r="B9110" s="84"/>
      <c r="C9110" s="84"/>
      <c r="D9110" s="116"/>
      <c r="E9110" s="116"/>
    </row>
    <row r="9111" spans="1:5" x14ac:dyDescent="0.25">
      <c r="A9111" s="83"/>
      <c r="B9111" s="84"/>
      <c r="C9111" s="84"/>
      <c r="D9111" s="116"/>
      <c r="E9111" s="116"/>
    </row>
    <row r="9112" spans="1:5" x14ac:dyDescent="0.25">
      <c r="A9112" s="83"/>
      <c r="B9112" s="84"/>
      <c r="C9112" s="84"/>
      <c r="D9112" s="116"/>
      <c r="E9112" s="116"/>
    </row>
    <row r="9113" spans="1:5" x14ac:dyDescent="0.25">
      <c r="A9113" s="83"/>
      <c r="B9113" s="84"/>
      <c r="C9113" s="84"/>
      <c r="D9113" s="116"/>
      <c r="E9113" s="116"/>
    </row>
    <row r="9114" spans="1:5" x14ac:dyDescent="0.25">
      <c r="A9114" s="83"/>
      <c r="B9114" s="84"/>
      <c r="C9114" s="84"/>
      <c r="D9114" s="116"/>
      <c r="E9114" s="116"/>
    </row>
    <row r="9115" spans="1:5" x14ac:dyDescent="0.25">
      <c r="A9115" s="83"/>
      <c r="B9115" s="84"/>
      <c r="C9115" s="84"/>
      <c r="D9115" s="116"/>
      <c r="E9115" s="116"/>
    </row>
    <row r="9116" spans="1:5" x14ac:dyDescent="0.25">
      <c r="A9116" s="83"/>
      <c r="B9116" s="84"/>
      <c r="C9116" s="84"/>
      <c r="D9116" s="116"/>
      <c r="E9116" s="116"/>
    </row>
    <row r="9117" spans="1:5" x14ac:dyDescent="0.25">
      <c r="A9117" s="83"/>
      <c r="B9117" s="84"/>
      <c r="C9117" s="84"/>
      <c r="D9117" s="116"/>
      <c r="E9117" s="116"/>
    </row>
    <row r="9118" spans="1:5" x14ac:dyDescent="0.25">
      <c r="A9118" s="83"/>
      <c r="B9118" s="84"/>
      <c r="C9118" s="84"/>
      <c r="D9118" s="116"/>
      <c r="E9118" s="116"/>
    </row>
    <row r="9119" spans="1:5" x14ac:dyDescent="0.25">
      <c r="A9119" s="83"/>
      <c r="B9119" s="84"/>
      <c r="C9119" s="84"/>
      <c r="D9119" s="116"/>
      <c r="E9119" s="116"/>
    </row>
    <row r="9120" spans="1:5" x14ac:dyDescent="0.25">
      <c r="A9120" s="83"/>
      <c r="B9120" s="84"/>
      <c r="C9120" s="84"/>
      <c r="D9120" s="116"/>
      <c r="E9120" s="116"/>
    </row>
    <row r="9121" spans="1:5" x14ac:dyDescent="0.25">
      <c r="A9121" s="83"/>
      <c r="B9121" s="84"/>
      <c r="C9121" s="84"/>
      <c r="D9121" s="116"/>
      <c r="E9121" s="116"/>
    </row>
    <row r="9122" spans="1:5" x14ac:dyDescent="0.25">
      <c r="A9122" s="83"/>
      <c r="B9122" s="84"/>
      <c r="C9122" s="84"/>
      <c r="D9122" s="116"/>
      <c r="E9122" s="116"/>
    </row>
    <row r="9123" spans="1:5" x14ac:dyDescent="0.25">
      <c r="A9123" s="83"/>
      <c r="B9123" s="84"/>
      <c r="C9123" s="84"/>
      <c r="D9123" s="116"/>
      <c r="E9123" s="116"/>
    </row>
    <row r="9124" spans="1:5" x14ac:dyDescent="0.25">
      <c r="A9124" s="83"/>
      <c r="B9124" s="84"/>
      <c r="C9124" s="84"/>
      <c r="D9124" s="116"/>
      <c r="E9124" s="116"/>
    </row>
    <row r="9125" spans="1:5" x14ac:dyDescent="0.25">
      <c r="A9125" s="83"/>
      <c r="B9125" s="84"/>
      <c r="C9125" s="84"/>
      <c r="D9125" s="116"/>
      <c r="E9125" s="116"/>
    </row>
    <row r="9126" spans="1:5" x14ac:dyDescent="0.25">
      <c r="A9126" s="83"/>
      <c r="B9126" s="84"/>
      <c r="C9126" s="84"/>
      <c r="D9126" s="116"/>
      <c r="E9126" s="116"/>
    </row>
    <row r="9127" spans="1:5" x14ac:dyDescent="0.25">
      <c r="A9127" s="83"/>
      <c r="B9127" s="84"/>
      <c r="C9127" s="84"/>
      <c r="D9127" s="116"/>
      <c r="E9127" s="116"/>
    </row>
    <row r="9128" spans="1:5" x14ac:dyDescent="0.25">
      <c r="A9128" s="83"/>
      <c r="B9128" s="84"/>
      <c r="C9128" s="84"/>
      <c r="D9128" s="116"/>
      <c r="E9128" s="116"/>
    </row>
    <row r="9129" spans="1:5" x14ac:dyDescent="0.25">
      <c r="A9129" s="83"/>
      <c r="B9129" s="84"/>
      <c r="C9129" s="84"/>
      <c r="D9129" s="116"/>
      <c r="E9129" s="116"/>
    </row>
    <row r="9130" spans="1:5" x14ac:dyDescent="0.25">
      <c r="A9130" s="83"/>
      <c r="B9130" s="84"/>
      <c r="C9130" s="84"/>
      <c r="D9130" s="116"/>
      <c r="E9130" s="116"/>
    </row>
    <row r="9131" spans="1:5" x14ac:dyDescent="0.25">
      <c r="A9131" s="83"/>
      <c r="B9131" s="84"/>
      <c r="C9131" s="84"/>
      <c r="D9131" s="116"/>
      <c r="E9131" s="116"/>
    </row>
    <row r="9132" spans="1:5" x14ac:dyDescent="0.25">
      <c r="A9132" s="83"/>
      <c r="B9132" s="84"/>
      <c r="C9132" s="84"/>
      <c r="D9132" s="116"/>
      <c r="E9132" s="116"/>
    </row>
    <row r="9133" spans="1:5" x14ac:dyDescent="0.25">
      <c r="A9133" s="83"/>
      <c r="B9133" s="84"/>
      <c r="C9133" s="84"/>
      <c r="D9133" s="116"/>
      <c r="E9133" s="116"/>
    </row>
    <row r="9134" spans="1:5" x14ac:dyDescent="0.25">
      <c r="A9134" s="83"/>
      <c r="B9134" s="84"/>
      <c r="C9134" s="84"/>
      <c r="D9134" s="116"/>
      <c r="E9134" s="116"/>
    </row>
    <row r="9135" spans="1:5" x14ac:dyDescent="0.25">
      <c r="A9135" s="83"/>
      <c r="B9135" s="84"/>
      <c r="C9135" s="84"/>
      <c r="D9135" s="116"/>
      <c r="E9135" s="116"/>
    </row>
    <row r="9136" spans="1:5" x14ac:dyDescent="0.25">
      <c r="A9136" s="83"/>
      <c r="B9136" s="84"/>
      <c r="C9136" s="84"/>
      <c r="D9136" s="116"/>
      <c r="E9136" s="116"/>
    </row>
    <row r="9137" spans="1:5" x14ac:dyDescent="0.25">
      <c r="A9137" s="83"/>
      <c r="B9137" s="84"/>
      <c r="C9137" s="84"/>
      <c r="D9137" s="116"/>
      <c r="E9137" s="116"/>
    </row>
    <row r="9138" spans="1:5" x14ac:dyDescent="0.25">
      <c r="A9138" s="83"/>
      <c r="B9138" s="84"/>
      <c r="C9138" s="84"/>
      <c r="D9138" s="116"/>
      <c r="E9138" s="116"/>
    </row>
    <row r="9139" spans="1:5" x14ac:dyDescent="0.25">
      <c r="A9139" s="83"/>
      <c r="B9139" s="84"/>
      <c r="C9139" s="84"/>
      <c r="D9139" s="116"/>
      <c r="E9139" s="116"/>
    </row>
    <row r="9140" spans="1:5" x14ac:dyDescent="0.25">
      <c r="A9140" s="83"/>
      <c r="B9140" s="84"/>
      <c r="C9140" s="84"/>
      <c r="D9140" s="116"/>
      <c r="E9140" s="116"/>
    </row>
    <row r="9141" spans="1:5" x14ac:dyDescent="0.25">
      <c r="A9141" s="83"/>
      <c r="B9141" s="84"/>
      <c r="C9141" s="84"/>
      <c r="D9141" s="116"/>
      <c r="E9141" s="116"/>
    </row>
    <row r="9142" spans="1:5" x14ac:dyDescent="0.25">
      <c r="A9142" s="83"/>
      <c r="B9142" s="84"/>
      <c r="C9142" s="84"/>
      <c r="D9142" s="116"/>
      <c r="E9142" s="116"/>
    </row>
    <row r="9143" spans="1:5" x14ac:dyDescent="0.25">
      <c r="A9143" s="83"/>
      <c r="B9143" s="84"/>
      <c r="C9143" s="84"/>
      <c r="D9143" s="116"/>
      <c r="E9143" s="116"/>
    </row>
    <row r="9144" spans="1:5" x14ac:dyDescent="0.25">
      <c r="A9144" s="83"/>
      <c r="B9144" s="84"/>
      <c r="C9144" s="84"/>
      <c r="D9144" s="116"/>
      <c r="E9144" s="116"/>
    </row>
    <row r="9145" spans="1:5" x14ac:dyDescent="0.25">
      <c r="A9145" s="83"/>
      <c r="B9145" s="84"/>
      <c r="C9145" s="84"/>
      <c r="D9145" s="116"/>
      <c r="E9145" s="116"/>
    </row>
    <row r="9146" spans="1:5" x14ac:dyDescent="0.25">
      <c r="A9146" s="83"/>
      <c r="B9146" s="84"/>
      <c r="C9146" s="84"/>
      <c r="D9146" s="116"/>
      <c r="E9146" s="116"/>
    </row>
    <row r="9147" spans="1:5" x14ac:dyDescent="0.25">
      <c r="A9147" s="83"/>
      <c r="B9147" s="84"/>
      <c r="C9147" s="84"/>
      <c r="D9147" s="116"/>
      <c r="E9147" s="116"/>
    </row>
    <row r="9148" spans="1:5" x14ac:dyDescent="0.25">
      <c r="A9148" s="83"/>
      <c r="B9148" s="84"/>
      <c r="C9148" s="84"/>
      <c r="D9148" s="116"/>
      <c r="E9148" s="116"/>
    </row>
    <row r="9149" spans="1:5" x14ac:dyDescent="0.25">
      <c r="A9149" s="83"/>
      <c r="B9149" s="84"/>
      <c r="C9149" s="84"/>
      <c r="D9149" s="116"/>
      <c r="E9149" s="116"/>
    </row>
    <row r="9150" spans="1:5" x14ac:dyDescent="0.25">
      <c r="A9150" s="83"/>
      <c r="B9150" s="84"/>
      <c r="C9150" s="84"/>
      <c r="D9150" s="116"/>
      <c r="E9150" s="116"/>
    </row>
    <row r="9151" spans="1:5" x14ac:dyDescent="0.25">
      <c r="A9151" s="83"/>
      <c r="B9151" s="84"/>
      <c r="C9151" s="84"/>
      <c r="D9151" s="116"/>
      <c r="E9151" s="116"/>
    </row>
    <row r="9152" spans="1:5" x14ac:dyDescent="0.25">
      <c r="A9152" s="83"/>
      <c r="B9152" s="84"/>
      <c r="C9152" s="84"/>
      <c r="D9152" s="116"/>
      <c r="E9152" s="116"/>
    </row>
    <row r="9153" spans="1:5" x14ac:dyDescent="0.25">
      <c r="A9153" s="83"/>
      <c r="B9153" s="84"/>
      <c r="C9153" s="84"/>
      <c r="D9153" s="116"/>
      <c r="E9153" s="116"/>
    </row>
    <row r="9154" spans="1:5" x14ac:dyDescent="0.25">
      <c r="A9154" s="83"/>
      <c r="B9154" s="84"/>
      <c r="C9154" s="84"/>
      <c r="D9154" s="116"/>
      <c r="E9154" s="116"/>
    </row>
    <row r="9155" spans="1:5" x14ac:dyDescent="0.25">
      <c r="A9155" s="83"/>
      <c r="B9155" s="84"/>
      <c r="C9155" s="84"/>
      <c r="D9155" s="116"/>
      <c r="E9155" s="116"/>
    </row>
    <row r="9156" spans="1:5" x14ac:dyDescent="0.25">
      <c r="A9156" s="83"/>
      <c r="B9156" s="84"/>
      <c r="C9156" s="84"/>
      <c r="D9156" s="116"/>
      <c r="E9156" s="116"/>
    </row>
    <row r="9157" spans="1:5" x14ac:dyDescent="0.25">
      <c r="A9157" s="83"/>
      <c r="B9157" s="84"/>
      <c r="C9157" s="84"/>
      <c r="D9157" s="116"/>
      <c r="E9157" s="116"/>
    </row>
    <row r="9158" spans="1:5" x14ac:dyDescent="0.25">
      <c r="A9158" s="83"/>
      <c r="B9158" s="84"/>
      <c r="C9158" s="84"/>
      <c r="D9158" s="116"/>
      <c r="E9158" s="116"/>
    </row>
    <row r="9159" spans="1:5" x14ac:dyDescent="0.25">
      <c r="A9159" s="83"/>
      <c r="B9159" s="84"/>
      <c r="C9159" s="84"/>
      <c r="D9159" s="116"/>
      <c r="E9159" s="116"/>
    </row>
    <row r="9160" spans="1:5" x14ac:dyDescent="0.25">
      <c r="A9160" s="83"/>
      <c r="B9160" s="84"/>
      <c r="C9160" s="84"/>
      <c r="D9160" s="116"/>
      <c r="E9160" s="116"/>
    </row>
    <row r="9161" spans="1:5" x14ac:dyDescent="0.25">
      <c r="A9161" s="83"/>
      <c r="B9161" s="84"/>
      <c r="C9161" s="84"/>
      <c r="D9161" s="116"/>
      <c r="E9161" s="116"/>
    </row>
    <row r="9162" spans="1:5" x14ac:dyDescent="0.25">
      <c r="A9162" s="83"/>
      <c r="B9162" s="84"/>
      <c r="C9162" s="84"/>
      <c r="D9162" s="116"/>
      <c r="E9162" s="116"/>
    </row>
    <row r="9163" spans="1:5" x14ac:dyDescent="0.25">
      <c r="A9163" s="83"/>
      <c r="B9163" s="84"/>
      <c r="C9163" s="84"/>
      <c r="D9163" s="116"/>
      <c r="E9163" s="116"/>
    </row>
    <row r="9164" spans="1:5" x14ac:dyDescent="0.25">
      <c r="A9164" s="83"/>
      <c r="B9164" s="84"/>
      <c r="C9164" s="84"/>
      <c r="D9164" s="116"/>
      <c r="E9164" s="116"/>
    </row>
    <row r="9165" spans="1:5" x14ac:dyDescent="0.25">
      <c r="A9165" s="83"/>
      <c r="B9165" s="84"/>
      <c r="C9165" s="84"/>
      <c r="D9165" s="116"/>
      <c r="E9165" s="116"/>
    </row>
    <row r="9166" spans="1:5" x14ac:dyDescent="0.25">
      <c r="A9166" s="83"/>
      <c r="B9166" s="84"/>
      <c r="C9166" s="84"/>
      <c r="D9166" s="116"/>
      <c r="E9166" s="116"/>
    </row>
    <row r="9167" spans="1:5" x14ac:dyDescent="0.25">
      <c r="A9167" s="83"/>
      <c r="B9167" s="84"/>
      <c r="C9167" s="84"/>
      <c r="D9167" s="116"/>
      <c r="E9167" s="116"/>
    </row>
    <row r="9168" spans="1:5" x14ac:dyDescent="0.25">
      <c r="A9168" s="83"/>
      <c r="B9168" s="84"/>
      <c r="C9168" s="84"/>
      <c r="D9168" s="116"/>
      <c r="E9168" s="116"/>
    </row>
    <row r="9169" spans="1:5" x14ac:dyDescent="0.25">
      <c r="A9169" s="83"/>
      <c r="B9169" s="84"/>
      <c r="C9169" s="84"/>
      <c r="D9169" s="116"/>
      <c r="E9169" s="116"/>
    </row>
    <row r="9170" spans="1:5" x14ac:dyDescent="0.25">
      <c r="A9170" s="83"/>
      <c r="B9170" s="84"/>
      <c r="C9170" s="84"/>
      <c r="D9170" s="116"/>
      <c r="E9170" s="116"/>
    </row>
    <row r="9171" spans="1:5" x14ac:dyDescent="0.25">
      <c r="A9171" s="83"/>
      <c r="B9171" s="84"/>
      <c r="C9171" s="84"/>
      <c r="D9171" s="116"/>
      <c r="E9171" s="116"/>
    </row>
    <row r="9172" spans="1:5" x14ac:dyDescent="0.25">
      <c r="A9172" s="83"/>
      <c r="B9172" s="84"/>
      <c r="C9172" s="84"/>
      <c r="D9172" s="116"/>
      <c r="E9172" s="116"/>
    </row>
    <row r="9173" spans="1:5" x14ac:dyDescent="0.25">
      <c r="A9173" s="83"/>
      <c r="B9173" s="84"/>
      <c r="C9173" s="84"/>
      <c r="D9173" s="116"/>
      <c r="E9173" s="116"/>
    </row>
    <row r="9174" spans="1:5" x14ac:dyDescent="0.25">
      <c r="A9174" s="83"/>
      <c r="B9174" s="84"/>
      <c r="C9174" s="84"/>
      <c r="D9174" s="116"/>
      <c r="E9174" s="116"/>
    </row>
    <row r="9175" spans="1:5" x14ac:dyDescent="0.25">
      <c r="A9175" s="83"/>
      <c r="B9175" s="84"/>
      <c r="C9175" s="84"/>
      <c r="D9175" s="116"/>
      <c r="E9175" s="116"/>
    </row>
    <row r="9176" spans="1:5" x14ac:dyDescent="0.25">
      <c r="A9176" s="83"/>
      <c r="B9176" s="84"/>
      <c r="C9176" s="84"/>
      <c r="D9176" s="116"/>
      <c r="E9176" s="116"/>
    </row>
    <row r="9177" spans="1:5" x14ac:dyDescent="0.25">
      <c r="A9177" s="83"/>
      <c r="B9177" s="84"/>
      <c r="C9177" s="84"/>
      <c r="D9177" s="116"/>
      <c r="E9177" s="116"/>
    </row>
    <row r="9178" spans="1:5" x14ac:dyDescent="0.25">
      <c r="A9178" s="83"/>
      <c r="B9178" s="84"/>
      <c r="C9178" s="84"/>
      <c r="D9178" s="116"/>
      <c r="E9178" s="116"/>
    </row>
    <row r="9179" spans="1:5" x14ac:dyDescent="0.25">
      <c r="A9179" s="83"/>
      <c r="B9179" s="84"/>
      <c r="C9179" s="84"/>
      <c r="D9179" s="116"/>
      <c r="E9179" s="116"/>
    </row>
    <row r="9180" spans="1:5" x14ac:dyDescent="0.25">
      <c r="A9180" s="83"/>
      <c r="B9180" s="84"/>
      <c r="C9180" s="84"/>
      <c r="D9180" s="116"/>
      <c r="E9180" s="116"/>
    </row>
    <row r="9181" spans="1:5" x14ac:dyDescent="0.25">
      <c r="A9181" s="83"/>
      <c r="B9181" s="84"/>
      <c r="C9181" s="84"/>
      <c r="D9181" s="116"/>
      <c r="E9181" s="116"/>
    </row>
    <row r="9182" spans="1:5" x14ac:dyDescent="0.25">
      <c r="A9182" s="83"/>
      <c r="B9182" s="84"/>
      <c r="C9182" s="84"/>
      <c r="D9182" s="116"/>
      <c r="E9182" s="116"/>
    </row>
    <row r="9183" spans="1:5" x14ac:dyDescent="0.25">
      <c r="A9183" s="83"/>
      <c r="B9183" s="84"/>
      <c r="C9183" s="84"/>
      <c r="D9183" s="116"/>
      <c r="E9183" s="116"/>
    </row>
    <row r="9184" spans="1:5" x14ac:dyDescent="0.25">
      <c r="A9184" s="83"/>
      <c r="B9184" s="84"/>
      <c r="C9184" s="84"/>
      <c r="D9184" s="116"/>
      <c r="E9184" s="116"/>
    </row>
    <row r="9185" spans="1:5" x14ac:dyDescent="0.25">
      <c r="A9185" s="83"/>
      <c r="B9185" s="84"/>
      <c r="C9185" s="84"/>
      <c r="D9185" s="116"/>
      <c r="E9185" s="116"/>
    </row>
    <row r="9186" spans="1:5" x14ac:dyDescent="0.25">
      <c r="A9186" s="83"/>
      <c r="B9186" s="84"/>
      <c r="C9186" s="84"/>
      <c r="D9186" s="116"/>
      <c r="E9186" s="116"/>
    </row>
    <row r="9187" spans="1:5" x14ac:dyDescent="0.25">
      <c r="A9187" s="83"/>
      <c r="B9187" s="84"/>
      <c r="C9187" s="84"/>
      <c r="D9187" s="116"/>
      <c r="E9187" s="116"/>
    </row>
    <row r="9188" spans="1:5" x14ac:dyDescent="0.25">
      <c r="A9188" s="83"/>
      <c r="B9188" s="84"/>
      <c r="C9188" s="84"/>
      <c r="D9188" s="116"/>
      <c r="E9188" s="116"/>
    </row>
    <row r="9189" spans="1:5" x14ac:dyDescent="0.25">
      <c r="A9189" s="83"/>
      <c r="B9189" s="84"/>
      <c r="C9189" s="84"/>
      <c r="D9189" s="116"/>
      <c r="E9189" s="116"/>
    </row>
    <row r="9190" spans="1:5" x14ac:dyDescent="0.25">
      <c r="A9190" s="83"/>
      <c r="B9190" s="84"/>
      <c r="C9190" s="84"/>
      <c r="D9190" s="116"/>
      <c r="E9190" s="116"/>
    </row>
    <row r="9191" spans="1:5" x14ac:dyDescent="0.25">
      <c r="A9191" s="83"/>
      <c r="B9191" s="84"/>
      <c r="C9191" s="84"/>
      <c r="D9191" s="116"/>
      <c r="E9191" s="116"/>
    </row>
    <row r="9192" spans="1:5" x14ac:dyDescent="0.25">
      <c r="A9192" s="83"/>
      <c r="B9192" s="84"/>
      <c r="C9192" s="84"/>
      <c r="D9192" s="116"/>
      <c r="E9192" s="116"/>
    </row>
    <row r="9193" spans="1:5" x14ac:dyDescent="0.25">
      <c r="A9193" s="83"/>
      <c r="B9193" s="84"/>
      <c r="C9193" s="84"/>
      <c r="D9193" s="116"/>
      <c r="E9193" s="116"/>
    </row>
    <row r="9194" spans="1:5" x14ac:dyDescent="0.25">
      <c r="A9194" s="83"/>
      <c r="B9194" s="84"/>
      <c r="C9194" s="84"/>
      <c r="D9194" s="116"/>
      <c r="E9194" s="116"/>
    </row>
    <row r="9195" spans="1:5" x14ac:dyDescent="0.25">
      <c r="A9195" s="83"/>
      <c r="B9195" s="84"/>
      <c r="C9195" s="84"/>
      <c r="D9195" s="116"/>
      <c r="E9195" s="116"/>
    </row>
    <row r="9196" spans="1:5" x14ac:dyDescent="0.25">
      <c r="A9196" s="83"/>
      <c r="B9196" s="84"/>
      <c r="C9196" s="84"/>
      <c r="D9196" s="116"/>
      <c r="E9196" s="116"/>
    </row>
    <row r="9197" spans="1:5" x14ac:dyDescent="0.25">
      <c r="A9197" s="83"/>
      <c r="B9197" s="84"/>
      <c r="C9197" s="84"/>
      <c r="D9197" s="116"/>
      <c r="E9197" s="116"/>
    </row>
    <row r="9198" spans="1:5" x14ac:dyDescent="0.25">
      <c r="A9198" s="83"/>
      <c r="B9198" s="84"/>
      <c r="C9198" s="84"/>
      <c r="D9198" s="116"/>
      <c r="E9198" s="116"/>
    </row>
    <row r="9199" spans="1:5" x14ac:dyDescent="0.25">
      <c r="A9199" s="83"/>
      <c r="B9199" s="84"/>
      <c r="C9199" s="84"/>
      <c r="D9199" s="116"/>
      <c r="E9199" s="116"/>
    </row>
    <row r="9200" spans="1:5" x14ac:dyDescent="0.25">
      <c r="A9200" s="83"/>
      <c r="B9200" s="84"/>
      <c r="C9200" s="84"/>
      <c r="D9200" s="116"/>
      <c r="E9200" s="116"/>
    </row>
    <row r="9201" spans="1:5" x14ac:dyDescent="0.25">
      <c r="A9201" s="83"/>
      <c r="B9201" s="84"/>
      <c r="C9201" s="84"/>
      <c r="D9201" s="116"/>
      <c r="E9201" s="116"/>
    </row>
    <row r="9202" spans="1:5" x14ac:dyDescent="0.25">
      <c r="A9202" s="83"/>
      <c r="B9202" s="84"/>
      <c r="C9202" s="84"/>
      <c r="D9202" s="116"/>
      <c r="E9202" s="116"/>
    </row>
    <row r="9203" spans="1:5" x14ac:dyDescent="0.25">
      <c r="A9203" s="83"/>
      <c r="B9203" s="84"/>
      <c r="C9203" s="84"/>
      <c r="D9203" s="116"/>
      <c r="E9203" s="116"/>
    </row>
    <row r="9204" spans="1:5" x14ac:dyDescent="0.25">
      <c r="A9204" s="83"/>
      <c r="B9204" s="84"/>
      <c r="C9204" s="84"/>
      <c r="D9204" s="116"/>
      <c r="E9204" s="116"/>
    </row>
    <row r="9205" spans="1:5" x14ac:dyDescent="0.25">
      <c r="A9205" s="83"/>
      <c r="B9205" s="84"/>
      <c r="C9205" s="84"/>
      <c r="D9205" s="116"/>
      <c r="E9205" s="116"/>
    </row>
    <row r="9206" spans="1:5" x14ac:dyDescent="0.25">
      <c r="A9206" s="83"/>
      <c r="B9206" s="84"/>
      <c r="C9206" s="84"/>
      <c r="D9206" s="116"/>
      <c r="E9206" s="116"/>
    </row>
    <row r="9207" spans="1:5" x14ac:dyDescent="0.25">
      <c r="A9207" s="83"/>
      <c r="B9207" s="84"/>
      <c r="C9207" s="84"/>
      <c r="D9207" s="116"/>
      <c r="E9207" s="116"/>
    </row>
    <row r="9208" spans="1:5" x14ac:dyDescent="0.25">
      <c r="A9208" s="83"/>
      <c r="B9208" s="84"/>
      <c r="C9208" s="84"/>
      <c r="D9208" s="116"/>
      <c r="E9208" s="116"/>
    </row>
    <row r="9209" spans="1:5" x14ac:dyDescent="0.25">
      <c r="A9209" s="83"/>
      <c r="B9209" s="84"/>
      <c r="C9209" s="84"/>
      <c r="D9209" s="116"/>
      <c r="E9209" s="116"/>
    </row>
    <row r="9210" spans="1:5" x14ac:dyDescent="0.25">
      <c r="A9210" s="83"/>
      <c r="B9210" s="84"/>
      <c r="C9210" s="84"/>
      <c r="D9210" s="116"/>
      <c r="E9210" s="116"/>
    </row>
    <row r="9211" spans="1:5" x14ac:dyDescent="0.25">
      <c r="A9211" s="83"/>
      <c r="B9211" s="84"/>
      <c r="C9211" s="84"/>
      <c r="D9211" s="116"/>
      <c r="E9211" s="116"/>
    </row>
    <row r="9212" spans="1:5" x14ac:dyDescent="0.25">
      <c r="A9212" s="83"/>
      <c r="B9212" s="84"/>
      <c r="C9212" s="84"/>
      <c r="D9212" s="116"/>
      <c r="E9212" s="116"/>
    </row>
    <row r="9213" spans="1:5" x14ac:dyDescent="0.25">
      <c r="A9213" s="83"/>
      <c r="B9213" s="84"/>
      <c r="C9213" s="84"/>
      <c r="D9213" s="116"/>
      <c r="E9213" s="116"/>
    </row>
    <row r="9214" spans="1:5" x14ac:dyDescent="0.25">
      <c r="A9214" s="83"/>
      <c r="B9214" s="84"/>
      <c r="C9214" s="84"/>
      <c r="D9214" s="116"/>
      <c r="E9214" s="116"/>
    </row>
    <row r="9215" spans="1:5" x14ac:dyDescent="0.25">
      <c r="A9215" s="83"/>
      <c r="B9215" s="84"/>
      <c r="C9215" s="84"/>
      <c r="D9215" s="116"/>
      <c r="E9215" s="116"/>
    </row>
    <row r="9216" spans="1:5" x14ac:dyDescent="0.25">
      <c r="A9216" s="83"/>
      <c r="B9216" s="84"/>
      <c r="C9216" s="84"/>
      <c r="D9216" s="116"/>
      <c r="E9216" s="116"/>
    </row>
    <row r="9217" spans="1:5" x14ac:dyDescent="0.25">
      <c r="A9217" s="83"/>
      <c r="B9217" s="84"/>
      <c r="C9217" s="84"/>
      <c r="D9217" s="116"/>
      <c r="E9217" s="116"/>
    </row>
    <row r="9218" spans="1:5" x14ac:dyDescent="0.25">
      <c r="A9218" s="83"/>
      <c r="B9218" s="84"/>
      <c r="C9218" s="84"/>
      <c r="D9218" s="116"/>
      <c r="E9218" s="116"/>
    </row>
    <row r="9219" spans="1:5" x14ac:dyDescent="0.25">
      <c r="A9219" s="83"/>
      <c r="B9219" s="84"/>
      <c r="C9219" s="84"/>
      <c r="D9219" s="116"/>
      <c r="E9219" s="116"/>
    </row>
    <row r="9220" spans="1:5" x14ac:dyDescent="0.25">
      <c r="A9220" s="83"/>
      <c r="B9220" s="84"/>
      <c r="C9220" s="84"/>
      <c r="D9220" s="116"/>
      <c r="E9220" s="116"/>
    </row>
    <row r="9221" spans="1:5" x14ac:dyDescent="0.25">
      <c r="A9221" s="83"/>
      <c r="B9221" s="84"/>
      <c r="C9221" s="84"/>
      <c r="D9221" s="116"/>
      <c r="E9221" s="116"/>
    </row>
    <row r="9222" spans="1:5" x14ac:dyDescent="0.25">
      <c r="A9222" s="83"/>
      <c r="B9222" s="84"/>
      <c r="C9222" s="84"/>
      <c r="D9222" s="116"/>
      <c r="E9222" s="116"/>
    </row>
    <row r="9223" spans="1:5" x14ac:dyDescent="0.25">
      <c r="A9223" s="83"/>
      <c r="B9223" s="84"/>
      <c r="C9223" s="84"/>
      <c r="D9223" s="116"/>
      <c r="E9223" s="116"/>
    </row>
    <row r="9224" spans="1:5" x14ac:dyDescent="0.25">
      <c r="A9224" s="83"/>
      <c r="B9224" s="84"/>
      <c r="C9224" s="84"/>
      <c r="D9224" s="116"/>
      <c r="E9224" s="116"/>
    </row>
    <row r="9225" spans="1:5" x14ac:dyDescent="0.25">
      <c r="A9225" s="83"/>
      <c r="B9225" s="84"/>
      <c r="C9225" s="84"/>
      <c r="D9225" s="116"/>
      <c r="E9225" s="116"/>
    </row>
    <row r="9226" spans="1:5" x14ac:dyDescent="0.25">
      <c r="A9226" s="83"/>
      <c r="B9226" s="84"/>
      <c r="C9226" s="84"/>
      <c r="D9226" s="116"/>
      <c r="E9226" s="116"/>
    </row>
    <row r="9227" spans="1:5" x14ac:dyDescent="0.25">
      <c r="A9227" s="83"/>
      <c r="B9227" s="84"/>
      <c r="C9227" s="84"/>
      <c r="D9227" s="116"/>
      <c r="E9227" s="116"/>
    </row>
    <row r="9228" spans="1:5" x14ac:dyDescent="0.25">
      <c r="A9228" s="83"/>
      <c r="B9228" s="84"/>
      <c r="C9228" s="84"/>
      <c r="D9228" s="116"/>
      <c r="E9228" s="116"/>
    </row>
    <row r="9229" spans="1:5" x14ac:dyDescent="0.25">
      <c r="A9229" s="83"/>
      <c r="B9229" s="84"/>
      <c r="C9229" s="84"/>
      <c r="D9229" s="116"/>
      <c r="E9229" s="116"/>
    </row>
    <row r="9230" spans="1:5" x14ac:dyDescent="0.25">
      <c r="A9230" s="83"/>
      <c r="B9230" s="84"/>
      <c r="C9230" s="84"/>
      <c r="D9230" s="116"/>
      <c r="E9230" s="116"/>
    </row>
    <row r="9231" spans="1:5" x14ac:dyDescent="0.25">
      <c r="A9231" s="83"/>
      <c r="B9231" s="84"/>
      <c r="C9231" s="84"/>
      <c r="D9231" s="116"/>
      <c r="E9231" s="116"/>
    </row>
    <row r="9232" spans="1:5" x14ac:dyDescent="0.25">
      <c r="A9232" s="83"/>
      <c r="B9232" s="84"/>
      <c r="C9232" s="84"/>
      <c r="D9232" s="116"/>
      <c r="E9232" s="116"/>
    </row>
    <row r="9233" spans="1:5" x14ac:dyDescent="0.25">
      <c r="A9233" s="83"/>
      <c r="B9233" s="84"/>
      <c r="C9233" s="84"/>
      <c r="D9233" s="116"/>
      <c r="E9233" s="116"/>
    </row>
    <row r="9234" spans="1:5" x14ac:dyDescent="0.25">
      <c r="A9234" s="83"/>
      <c r="B9234" s="84"/>
      <c r="C9234" s="84"/>
      <c r="D9234" s="116"/>
      <c r="E9234" s="116"/>
    </row>
    <row r="9235" spans="1:5" x14ac:dyDescent="0.25">
      <c r="A9235" s="83"/>
      <c r="B9235" s="84"/>
      <c r="C9235" s="84"/>
      <c r="D9235" s="116"/>
      <c r="E9235" s="116"/>
    </row>
    <row r="9236" spans="1:5" x14ac:dyDescent="0.25">
      <c r="A9236" s="83"/>
      <c r="B9236" s="84"/>
      <c r="C9236" s="84"/>
      <c r="D9236" s="116"/>
      <c r="E9236" s="116"/>
    </row>
    <row r="9237" spans="1:5" x14ac:dyDescent="0.25">
      <c r="A9237" s="83"/>
      <c r="B9237" s="84"/>
      <c r="C9237" s="84"/>
      <c r="D9237" s="116"/>
      <c r="E9237" s="116"/>
    </row>
    <row r="9238" spans="1:5" x14ac:dyDescent="0.25">
      <c r="A9238" s="83"/>
      <c r="B9238" s="84"/>
      <c r="C9238" s="84"/>
      <c r="D9238" s="116"/>
      <c r="E9238" s="116"/>
    </row>
    <row r="9239" spans="1:5" x14ac:dyDescent="0.25">
      <c r="A9239" s="83"/>
      <c r="B9239" s="84"/>
      <c r="C9239" s="84"/>
      <c r="D9239" s="116"/>
      <c r="E9239" s="116"/>
    </row>
    <row r="9240" spans="1:5" x14ac:dyDescent="0.25">
      <c r="A9240" s="83"/>
      <c r="B9240" s="84"/>
      <c r="C9240" s="84"/>
      <c r="D9240" s="116"/>
      <c r="E9240" s="116"/>
    </row>
    <row r="9241" spans="1:5" x14ac:dyDescent="0.25">
      <c r="A9241" s="83"/>
      <c r="B9241" s="84"/>
      <c r="C9241" s="84"/>
      <c r="D9241" s="116"/>
      <c r="E9241" s="116"/>
    </row>
    <row r="9242" spans="1:5" x14ac:dyDescent="0.25">
      <c r="A9242" s="83"/>
      <c r="B9242" s="84"/>
      <c r="C9242" s="84"/>
      <c r="D9242" s="116"/>
      <c r="E9242" s="116"/>
    </row>
    <row r="9243" spans="1:5" x14ac:dyDescent="0.25">
      <c r="A9243" s="83"/>
      <c r="B9243" s="84"/>
      <c r="C9243" s="84"/>
      <c r="D9243" s="116"/>
      <c r="E9243" s="116"/>
    </row>
    <row r="9244" spans="1:5" x14ac:dyDescent="0.25">
      <c r="A9244" s="83"/>
      <c r="B9244" s="84"/>
      <c r="C9244" s="84"/>
      <c r="D9244" s="116"/>
      <c r="E9244" s="116"/>
    </row>
    <row r="9245" spans="1:5" x14ac:dyDescent="0.25">
      <c r="A9245" s="83"/>
      <c r="B9245" s="84"/>
      <c r="C9245" s="84"/>
      <c r="D9245" s="116"/>
      <c r="E9245" s="116"/>
    </row>
    <row r="9246" spans="1:5" x14ac:dyDescent="0.25">
      <c r="A9246" s="83"/>
      <c r="B9246" s="84"/>
      <c r="C9246" s="84"/>
      <c r="D9246" s="116"/>
      <c r="E9246" s="116"/>
    </row>
    <row r="9247" spans="1:5" x14ac:dyDescent="0.25">
      <c r="A9247" s="83"/>
      <c r="B9247" s="84"/>
      <c r="C9247" s="84"/>
      <c r="D9247" s="116"/>
      <c r="E9247" s="116"/>
    </row>
    <row r="9248" spans="1:5" x14ac:dyDescent="0.25">
      <c r="A9248" s="83"/>
      <c r="B9248" s="84"/>
      <c r="C9248" s="84"/>
      <c r="D9248" s="116"/>
      <c r="E9248" s="116"/>
    </row>
    <row r="9249" spans="1:5" x14ac:dyDescent="0.25">
      <c r="A9249" s="83"/>
      <c r="B9249" s="84"/>
      <c r="C9249" s="84"/>
      <c r="D9249" s="116"/>
      <c r="E9249" s="116"/>
    </row>
    <row r="9250" spans="1:5" x14ac:dyDescent="0.25">
      <c r="A9250" s="83"/>
      <c r="B9250" s="84"/>
      <c r="C9250" s="84"/>
      <c r="D9250" s="116"/>
      <c r="E9250" s="116"/>
    </row>
    <row r="9251" spans="1:5" x14ac:dyDescent="0.25">
      <c r="A9251" s="83"/>
      <c r="B9251" s="84"/>
      <c r="C9251" s="84"/>
      <c r="D9251" s="116"/>
      <c r="E9251" s="116"/>
    </row>
    <row r="9252" spans="1:5" x14ac:dyDescent="0.25">
      <c r="A9252" s="83"/>
      <c r="B9252" s="84"/>
      <c r="C9252" s="84"/>
      <c r="D9252" s="116"/>
      <c r="E9252" s="116"/>
    </row>
    <row r="9253" spans="1:5" x14ac:dyDescent="0.25">
      <c r="A9253" s="83"/>
      <c r="B9253" s="84"/>
      <c r="C9253" s="84"/>
      <c r="D9253" s="116"/>
      <c r="E9253" s="116"/>
    </row>
    <row r="9254" spans="1:5" x14ac:dyDescent="0.25">
      <c r="A9254" s="83"/>
      <c r="B9254" s="84"/>
      <c r="C9254" s="84"/>
      <c r="D9254" s="116"/>
      <c r="E9254" s="116"/>
    </row>
    <row r="9255" spans="1:5" x14ac:dyDescent="0.25">
      <c r="A9255" s="83"/>
      <c r="B9255" s="84"/>
      <c r="C9255" s="84"/>
      <c r="D9255" s="116"/>
      <c r="E9255" s="116"/>
    </row>
    <row r="9256" spans="1:5" x14ac:dyDescent="0.25">
      <c r="A9256" s="83"/>
      <c r="B9256" s="84"/>
      <c r="C9256" s="84"/>
      <c r="D9256" s="116"/>
      <c r="E9256" s="116"/>
    </row>
    <row r="9257" spans="1:5" x14ac:dyDescent="0.25">
      <c r="A9257" s="83"/>
      <c r="B9257" s="84"/>
      <c r="C9257" s="84"/>
      <c r="D9257" s="116"/>
      <c r="E9257" s="116"/>
    </row>
    <row r="9258" spans="1:5" x14ac:dyDescent="0.25">
      <c r="A9258" s="83"/>
      <c r="B9258" s="84"/>
      <c r="C9258" s="84"/>
      <c r="D9258" s="116"/>
      <c r="E9258" s="116"/>
    </row>
    <row r="9259" spans="1:5" x14ac:dyDescent="0.25">
      <c r="A9259" s="83"/>
      <c r="B9259" s="84"/>
      <c r="C9259" s="84"/>
      <c r="D9259" s="116"/>
      <c r="E9259" s="116"/>
    </row>
    <row r="9260" spans="1:5" x14ac:dyDescent="0.25">
      <c r="A9260" s="83"/>
      <c r="B9260" s="84"/>
      <c r="C9260" s="84"/>
      <c r="D9260" s="116"/>
      <c r="E9260" s="116"/>
    </row>
    <row r="9261" spans="1:5" x14ac:dyDescent="0.25">
      <c r="A9261" s="83"/>
      <c r="B9261" s="84"/>
      <c r="C9261" s="84"/>
      <c r="D9261" s="116"/>
      <c r="E9261" s="116"/>
    </row>
    <row r="9262" spans="1:5" x14ac:dyDescent="0.25">
      <c r="A9262" s="83"/>
      <c r="B9262" s="84"/>
      <c r="C9262" s="84"/>
      <c r="D9262" s="116"/>
      <c r="E9262" s="116"/>
    </row>
    <row r="9263" spans="1:5" x14ac:dyDescent="0.25">
      <c r="A9263" s="83"/>
      <c r="B9263" s="84"/>
      <c r="C9263" s="84"/>
      <c r="D9263" s="116"/>
      <c r="E9263" s="116"/>
    </row>
    <row r="9264" spans="1:5" x14ac:dyDescent="0.25">
      <c r="A9264" s="83"/>
      <c r="B9264" s="84"/>
      <c r="C9264" s="84"/>
      <c r="D9264" s="116"/>
      <c r="E9264" s="116"/>
    </row>
    <row r="9265" spans="1:5" x14ac:dyDescent="0.25">
      <c r="A9265" s="83"/>
      <c r="B9265" s="84"/>
      <c r="C9265" s="84"/>
      <c r="D9265" s="116"/>
      <c r="E9265" s="116"/>
    </row>
    <row r="9266" spans="1:5" x14ac:dyDescent="0.25">
      <c r="A9266" s="83"/>
      <c r="B9266" s="84"/>
      <c r="C9266" s="84"/>
      <c r="D9266" s="116"/>
      <c r="E9266" s="116"/>
    </row>
    <row r="9267" spans="1:5" x14ac:dyDescent="0.25">
      <c r="A9267" s="83"/>
      <c r="B9267" s="84"/>
      <c r="C9267" s="84"/>
      <c r="D9267" s="116"/>
      <c r="E9267" s="116"/>
    </row>
    <row r="9268" spans="1:5" x14ac:dyDescent="0.25">
      <c r="A9268" s="83"/>
      <c r="B9268" s="84"/>
      <c r="C9268" s="84"/>
      <c r="D9268" s="116"/>
      <c r="E9268" s="116"/>
    </row>
    <row r="9269" spans="1:5" x14ac:dyDescent="0.25">
      <c r="A9269" s="83"/>
      <c r="B9269" s="84"/>
      <c r="C9269" s="84"/>
      <c r="D9269" s="116"/>
      <c r="E9269" s="116"/>
    </row>
    <row r="9270" spans="1:5" x14ac:dyDescent="0.25">
      <c r="A9270" s="83"/>
      <c r="B9270" s="84"/>
      <c r="C9270" s="84"/>
      <c r="D9270" s="116"/>
      <c r="E9270" s="116"/>
    </row>
    <row r="9271" spans="1:5" x14ac:dyDescent="0.25">
      <c r="A9271" s="83"/>
      <c r="B9271" s="84"/>
      <c r="C9271" s="84"/>
      <c r="D9271" s="116"/>
      <c r="E9271" s="116"/>
    </row>
    <row r="9272" spans="1:5" x14ac:dyDescent="0.25">
      <c r="A9272" s="83"/>
      <c r="B9272" s="84"/>
      <c r="C9272" s="84"/>
      <c r="D9272" s="116"/>
      <c r="E9272" s="116"/>
    </row>
    <row r="9273" spans="1:5" x14ac:dyDescent="0.25">
      <c r="A9273" s="83"/>
      <c r="B9273" s="84"/>
      <c r="C9273" s="84"/>
      <c r="D9273" s="116"/>
      <c r="E9273" s="116"/>
    </row>
    <row r="9274" spans="1:5" x14ac:dyDescent="0.25">
      <c r="A9274" s="83"/>
      <c r="B9274" s="84"/>
      <c r="C9274" s="84"/>
      <c r="D9274" s="116"/>
      <c r="E9274" s="116"/>
    </row>
    <row r="9275" spans="1:5" x14ac:dyDescent="0.25">
      <c r="A9275" s="83"/>
      <c r="B9275" s="84"/>
      <c r="C9275" s="84"/>
      <c r="D9275" s="116"/>
      <c r="E9275" s="116"/>
    </row>
    <row r="9276" spans="1:5" x14ac:dyDescent="0.25">
      <c r="A9276" s="83"/>
      <c r="B9276" s="84"/>
      <c r="C9276" s="84"/>
      <c r="D9276" s="116"/>
      <c r="E9276" s="116"/>
    </row>
    <row r="9277" spans="1:5" x14ac:dyDescent="0.25">
      <c r="A9277" s="83"/>
      <c r="B9277" s="84"/>
      <c r="C9277" s="84"/>
      <c r="D9277" s="116"/>
      <c r="E9277" s="116"/>
    </row>
    <row r="9278" spans="1:5" x14ac:dyDescent="0.25">
      <c r="A9278" s="83"/>
      <c r="B9278" s="84"/>
      <c r="C9278" s="84"/>
      <c r="D9278" s="116"/>
      <c r="E9278" s="116"/>
    </row>
    <row r="9279" spans="1:5" x14ac:dyDescent="0.25">
      <c r="A9279" s="83"/>
      <c r="B9279" s="84"/>
      <c r="C9279" s="84"/>
      <c r="D9279" s="116"/>
      <c r="E9279" s="116"/>
    </row>
    <row r="9280" spans="1:5" x14ac:dyDescent="0.25">
      <c r="A9280" s="83"/>
      <c r="B9280" s="84"/>
      <c r="C9280" s="84"/>
      <c r="D9280" s="116"/>
      <c r="E9280" s="116"/>
    </row>
    <row r="9281" spans="1:5" x14ac:dyDescent="0.25">
      <c r="A9281" s="83"/>
      <c r="B9281" s="84"/>
      <c r="C9281" s="84"/>
      <c r="D9281" s="116"/>
      <c r="E9281" s="116"/>
    </row>
    <row r="9282" spans="1:5" x14ac:dyDescent="0.25">
      <c r="A9282" s="83"/>
      <c r="B9282" s="84"/>
      <c r="C9282" s="84"/>
      <c r="D9282" s="116"/>
      <c r="E9282" s="116"/>
    </row>
    <row r="9283" spans="1:5" x14ac:dyDescent="0.25">
      <c r="A9283" s="83"/>
      <c r="B9283" s="84"/>
      <c r="C9283" s="84"/>
      <c r="D9283" s="116"/>
      <c r="E9283" s="116"/>
    </row>
    <row r="9284" spans="1:5" x14ac:dyDescent="0.25">
      <c r="A9284" s="83"/>
      <c r="B9284" s="84"/>
      <c r="C9284" s="84"/>
      <c r="D9284" s="116"/>
      <c r="E9284" s="116"/>
    </row>
    <row r="9285" spans="1:5" x14ac:dyDescent="0.25">
      <c r="A9285" s="83"/>
      <c r="B9285" s="84"/>
      <c r="C9285" s="84"/>
      <c r="D9285" s="116"/>
      <c r="E9285" s="116"/>
    </row>
    <row r="9286" spans="1:5" x14ac:dyDescent="0.25">
      <c r="A9286" s="83"/>
      <c r="B9286" s="84"/>
      <c r="C9286" s="84"/>
      <c r="D9286" s="116"/>
      <c r="E9286" s="116"/>
    </row>
    <row r="9287" spans="1:5" x14ac:dyDescent="0.25">
      <c r="A9287" s="83"/>
      <c r="B9287" s="84"/>
      <c r="C9287" s="84"/>
      <c r="D9287" s="116"/>
      <c r="E9287" s="116"/>
    </row>
    <row r="9288" spans="1:5" x14ac:dyDescent="0.25">
      <c r="A9288" s="83"/>
      <c r="B9288" s="84"/>
      <c r="C9288" s="84"/>
      <c r="D9288" s="116"/>
      <c r="E9288" s="116"/>
    </row>
    <row r="9289" spans="1:5" x14ac:dyDescent="0.25">
      <c r="A9289" s="83"/>
      <c r="B9289" s="84"/>
      <c r="C9289" s="84"/>
      <c r="D9289" s="116"/>
      <c r="E9289" s="116"/>
    </row>
    <row r="9290" spans="1:5" x14ac:dyDescent="0.25">
      <c r="A9290" s="83"/>
      <c r="B9290" s="84"/>
      <c r="C9290" s="84"/>
      <c r="D9290" s="116"/>
      <c r="E9290" s="116"/>
    </row>
    <row r="9291" spans="1:5" x14ac:dyDescent="0.25">
      <c r="A9291" s="83"/>
      <c r="B9291" s="84"/>
      <c r="C9291" s="84"/>
      <c r="D9291" s="116"/>
      <c r="E9291" s="116"/>
    </row>
    <row r="9292" spans="1:5" x14ac:dyDescent="0.25">
      <c r="A9292" s="83"/>
      <c r="B9292" s="84"/>
      <c r="C9292" s="84"/>
      <c r="D9292" s="116"/>
      <c r="E9292" s="116"/>
    </row>
    <row r="9293" spans="1:5" x14ac:dyDescent="0.25">
      <c r="A9293" s="83"/>
      <c r="B9293" s="84"/>
      <c r="C9293" s="84"/>
      <c r="D9293" s="116"/>
      <c r="E9293" s="116"/>
    </row>
    <row r="9294" spans="1:5" x14ac:dyDescent="0.25">
      <c r="A9294" s="83"/>
      <c r="B9294" s="84"/>
      <c r="C9294" s="84"/>
      <c r="D9294" s="116"/>
      <c r="E9294" s="116"/>
    </row>
    <row r="9295" spans="1:5" x14ac:dyDescent="0.25">
      <c r="A9295" s="83"/>
      <c r="B9295" s="84"/>
      <c r="C9295" s="84"/>
      <c r="D9295" s="116"/>
      <c r="E9295" s="116"/>
    </row>
    <row r="9296" spans="1:5" x14ac:dyDescent="0.25">
      <c r="A9296" s="83"/>
      <c r="B9296" s="84"/>
      <c r="C9296" s="84"/>
      <c r="D9296" s="116"/>
      <c r="E9296" s="116"/>
    </row>
    <row r="9297" spans="1:5" x14ac:dyDescent="0.25">
      <c r="A9297" s="83"/>
      <c r="B9297" s="84"/>
      <c r="C9297" s="84"/>
      <c r="D9297" s="116"/>
      <c r="E9297" s="116"/>
    </row>
    <row r="9298" spans="1:5" x14ac:dyDescent="0.25">
      <c r="A9298" s="83"/>
      <c r="B9298" s="84"/>
      <c r="C9298" s="84"/>
      <c r="D9298" s="116"/>
      <c r="E9298" s="116"/>
    </row>
    <row r="9299" spans="1:5" x14ac:dyDescent="0.25">
      <c r="A9299" s="83"/>
      <c r="B9299" s="84"/>
      <c r="C9299" s="84"/>
      <c r="D9299" s="116"/>
      <c r="E9299" s="116"/>
    </row>
    <row r="9300" spans="1:5" x14ac:dyDescent="0.25">
      <c r="A9300" s="83"/>
      <c r="B9300" s="84"/>
      <c r="C9300" s="84"/>
      <c r="D9300" s="116"/>
      <c r="E9300" s="116"/>
    </row>
    <row r="9301" spans="1:5" x14ac:dyDescent="0.25">
      <c r="A9301" s="83"/>
      <c r="B9301" s="84"/>
      <c r="C9301" s="84"/>
      <c r="D9301" s="116"/>
      <c r="E9301" s="116"/>
    </row>
    <row r="9302" spans="1:5" x14ac:dyDescent="0.25">
      <c r="A9302" s="83"/>
      <c r="B9302" s="84"/>
      <c r="C9302" s="84"/>
      <c r="D9302" s="116"/>
      <c r="E9302" s="116"/>
    </row>
    <row r="9303" spans="1:5" x14ac:dyDescent="0.25">
      <c r="A9303" s="83"/>
      <c r="B9303" s="84"/>
      <c r="C9303" s="84"/>
      <c r="D9303" s="116"/>
      <c r="E9303" s="116"/>
    </row>
    <row r="9304" spans="1:5" x14ac:dyDescent="0.25">
      <c r="A9304" s="83"/>
      <c r="B9304" s="84"/>
      <c r="C9304" s="84"/>
      <c r="D9304" s="116"/>
      <c r="E9304" s="116"/>
    </row>
    <row r="9305" spans="1:5" x14ac:dyDescent="0.25">
      <c r="A9305" s="83"/>
      <c r="B9305" s="84"/>
      <c r="C9305" s="84"/>
      <c r="D9305" s="116"/>
      <c r="E9305" s="116"/>
    </row>
    <row r="9306" spans="1:5" x14ac:dyDescent="0.25">
      <c r="A9306" s="83"/>
      <c r="B9306" s="84"/>
      <c r="C9306" s="84"/>
      <c r="D9306" s="116"/>
      <c r="E9306" s="116"/>
    </row>
    <row r="9307" spans="1:5" x14ac:dyDescent="0.25">
      <c r="A9307" s="83"/>
      <c r="B9307" s="84"/>
      <c r="C9307" s="84"/>
      <c r="D9307" s="116"/>
      <c r="E9307" s="116"/>
    </row>
    <row r="9308" spans="1:5" x14ac:dyDescent="0.25">
      <c r="A9308" s="83"/>
      <c r="B9308" s="84"/>
      <c r="C9308" s="84"/>
      <c r="D9308" s="116"/>
      <c r="E9308" s="116"/>
    </row>
    <row r="9309" spans="1:5" x14ac:dyDescent="0.25">
      <c r="A9309" s="83"/>
      <c r="B9309" s="84"/>
      <c r="C9309" s="84"/>
      <c r="D9309" s="116"/>
      <c r="E9309" s="116"/>
    </row>
    <row r="9310" spans="1:5" x14ac:dyDescent="0.25">
      <c r="A9310" s="83"/>
      <c r="B9310" s="84"/>
      <c r="C9310" s="84"/>
      <c r="D9310" s="116"/>
      <c r="E9310" s="116"/>
    </row>
    <row r="9311" spans="1:5" x14ac:dyDescent="0.25">
      <c r="A9311" s="83"/>
      <c r="B9311" s="84"/>
      <c r="C9311" s="84"/>
      <c r="D9311" s="116"/>
      <c r="E9311" s="116"/>
    </row>
    <row r="9312" spans="1:5" x14ac:dyDescent="0.25">
      <c r="A9312" s="83"/>
      <c r="B9312" s="84"/>
      <c r="C9312" s="84"/>
      <c r="D9312" s="116"/>
      <c r="E9312" s="116"/>
    </row>
    <row r="9313" spans="1:5" x14ac:dyDescent="0.25">
      <c r="A9313" s="83"/>
      <c r="B9313" s="84"/>
      <c r="C9313" s="84"/>
      <c r="D9313" s="116"/>
      <c r="E9313" s="116"/>
    </row>
    <row r="9314" spans="1:5" x14ac:dyDescent="0.25">
      <c r="A9314" s="83"/>
      <c r="B9314" s="84"/>
      <c r="C9314" s="84"/>
      <c r="D9314" s="116"/>
      <c r="E9314" s="116"/>
    </row>
    <row r="9315" spans="1:5" x14ac:dyDescent="0.25">
      <c r="A9315" s="83"/>
      <c r="B9315" s="84"/>
      <c r="C9315" s="84"/>
      <c r="D9315" s="116"/>
      <c r="E9315" s="116"/>
    </row>
    <row r="9316" spans="1:5" x14ac:dyDescent="0.25">
      <c r="A9316" s="83"/>
      <c r="B9316" s="84"/>
      <c r="C9316" s="84"/>
      <c r="D9316" s="116"/>
      <c r="E9316" s="116"/>
    </row>
    <row r="9317" spans="1:5" x14ac:dyDescent="0.25">
      <c r="A9317" s="83"/>
      <c r="B9317" s="84"/>
      <c r="C9317" s="84"/>
      <c r="D9317" s="116"/>
      <c r="E9317" s="116"/>
    </row>
    <row r="9318" spans="1:5" x14ac:dyDescent="0.25">
      <c r="A9318" s="83"/>
      <c r="B9318" s="84"/>
      <c r="C9318" s="84"/>
      <c r="D9318" s="116"/>
      <c r="E9318" s="116"/>
    </row>
    <row r="9319" spans="1:5" x14ac:dyDescent="0.25">
      <c r="A9319" s="83"/>
      <c r="B9319" s="84"/>
      <c r="C9319" s="84"/>
      <c r="D9319" s="116"/>
      <c r="E9319" s="116"/>
    </row>
    <row r="9320" spans="1:5" x14ac:dyDescent="0.25">
      <c r="A9320" s="83"/>
      <c r="B9320" s="84"/>
      <c r="C9320" s="84"/>
      <c r="D9320" s="116"/>
      <c r="E9320" s="116"/>
    </row>
    <row r="9321" spans="1:5" x14ac:dyDescent="0.25">
      <c r="A9321" s="83"/>
      <c r="B9321" s="84"/>
      <c r="C9321" s="84"/>
      <c r="D9321" s="116"/>
      <c r="E9321" s="116"/>
    </row>
    <row r="9322" spans="1:5" x14ac:dyDescent="0.25">
      <c r="A9322" s="83"/>
      <c r="B9322" s="84"/>
      <c r="C9322" s="84"/>
      <c r="D9322" s="116"/>
      <c r="E9322" s="116"/>
    </row>
    <row r="9323" spans="1:5" x14ac:dyDescent="0.25">
      <c r="A9323" s="83"/>
      <c r="B9323" s="84"/>
      <c r="C9323" s="84"/>
      <c r="D9323" s="116"/>
      <c r="E9323" s="116"/>
    </row>
    <row r="9324" spans="1:5" x14ac:dyDescent="0.25">
      <c r="A9324" s="83"/>
      <c r="B9324" s="84"/>
      <c r="C9324" s="84"/>
      <c r="D9324" s="116"/>
      <c r="E9324" s="116"/>
    </row>
    <row r="9325" spans="1:5" x14ac:dyDescent="0.25">
      <c r="A9325" s="83"/>
      <c r="B9325" s="84"/>
      <c r="C9325" s="84"/>
      <c r="D9325" s="116"/>
      <c r="E9325" s="116"/>
    </row>
    <row r="9326" spans="1:5" x14ac:dyDescent="0.25">
      <c r="A9326" s="83"/>
      <c r="B9326" s="84"/>
      <c r="C9326" s="84"/>
      <c r="D9326" s="116"/>
      <c r="E9326" s="116"/>
    </row>
    <row r="9327" spans="1:5" x14ac:dyDescent="0.25">
      <c r="A9327" s="83"/>
      <c r="B9327" s="84"/>
      <c r="C9327" s="84"/>
      <c r="D9327" s="116"/>
      <c r="E9327" s="116"/>
    </row>
    <row r="9328" spans="1:5" x14ac:dyDescent="0.25">
      <c r="A9328" s="83"/>
      <c r="B9328" s="84"/>
      <c r="C9328" s="84"/>
      <c r="D9328" s="116"/>
      <c r="E9328" s="116"/>
    </row>
    <row r="9329" spans="1:5" x14ac:dyDescent="0.25">
      <c r="A9329" s="83"/>
      <c r="B9329" s="84"/>
      <c r="C9329" s="84"/>
      <c r="D9329" s="116"/>
      <c r="E9329" s="116"/>
    </row>
    <row r="9330" spans="1:5" x14ac:dyDescent="0.25">
      <c r="A9330" s="83"/>
      <c r="B9330" s="84"/>
      <c r="C9330" s="84"/>
      <c r="D9330" s="116"/>
      <c r="E9330" s="116"/>
    </row>
    <row r="9331" spans="1:5" x14ac:dyDescent="0.25">
      <c r="A9331" s="83"/>
      <c r="B9331" s="84"/>
      <c r="C9331" s="84"/>
      <c r="D9331" s="116"/>
      <c r="E9331" s="116"/>
    </row>
    <row r="9332" spans="1:5" x14ac:dyDescent="0.25">
      <c r="A9332" s="83"/>
      <c r="B9332" s="84"/>
      <c r="C9332" s="84"/>
      <c r="D9332" s="116"/>
      <c r="E9332" s="116"/>
    </row>
    <row r="9333" spans="1:5" x14ac:dyDescent="0.25">
      <c r="A9333" s="83"/>
      <c r="B9333" s="84"/>
      <c r="C9333" s="84"/>
      <c r="D9333" s="116"/>
      <c r="E9333" s="116"/>
    </row>
    <row r="9334" spans="1:5" x14ac:dyDescent="0.25">
      <c r="A9334" s="83"/>
      <c r="B9334" s="84"/>
      <c r="C9334" s="84"/>
      <c r="D9334" s="116"/>
      <c r="E9334" s="116"/>
    </row>
    <row r="9335" spans="1:5" x14ac:dyDescent="0.25">
      <c r="A9335" s="83"/>
      <c r="B9335" s="84"/>
      <c r="C9335" s="84"/>
      <c r="D9335" s="116"/>
      <c r="E9335" s="116"/>
    </row>
    <row r="9336" spans="1:5" x14ac:dyDescent="0.25">
      <c r="A9336" s="83"/>
      <c r="B9336" s="84"/>
      <c r="C9336" s="84"/>
      <c r="D9336" s="116"/>
      <c r="E9336" s="116"/>
    </row>
    <row r="9337" spans="1:5" x14ac:dyDescent="0.25">
      <c r="A9337" s="83"/>
      <c r="B9337" s="84"/>
      <c r="C9337" s="84"/>
      <c r="D9337" s="116"/>
      <c r="E9337" s="116"/>
    </row>
    <row r="9338" spans="1:5" x14ac:dyDescent="0.25">
      <c r="A9338" s="83"/>
      <c r="B9338" s="84"/>
      <c r="C9338" s="84"/>
      <c r="D9338" s="116"/>
      <c r="E9338" s="116"/>
    </row>
    <row r="9339" spans="1:5" x14ac:dyDescent="0.25">
      <c r="A9339" s="83"/>
      <c r="B9339" s="84"/>
      <c r="C9339" s="84"/>
      <c r="D9339" s="116"/>
      <c r="E9339" s="116"/>
    </row>
    <row r="9340" spans="1:5" x14ac:dyDescent="0.25">
      <c r="A9340" s="83"/>
      <c r="B9340" s="84"/>
      <c r="C9340" s="84"/>
      <c r="D9340" s="116"/>
      <c r="E9340" s="116"/>
    </row>
    <row r="9341" spans="1:5" x14ac:dyDescent="0.25">
      <c r="A9341" s="83"/>
      <c r="B9341" s="84"/>
      <c r="C9341" s="84"/>
      <c r="D9341" s="116"/>
      <c r="E9341" s="116"/>
    </row>
    <row r="9342" spans="1:5" x14ac:dyDescent="0.25">
      <c r="A9342" s="83"/>
      <c r="B9342" s="84"/>
      <c r="C9342" s="84"/>
      <c r="D9342" s="116"/>
      <c r="E9342" s="116"/>
    </row>
    <row r="9343" spans="1:5" x14ac:dyDescent="0.25">
      <c r="A9343" s="83"/>
      <c r="B9343" s="84"/>
      <c r="C9343" s="84"/>
      <c r="D9343" s="116"/>
      <c r="E9343" s="116"/>
    </row>
    <row r="9344" spans="1:5" x14ac:dyDescent="0.25">
      <c r="A9344" s="83"/>
      <c r="B9344" s="84"/>
      <c r="C9344" s="84"/>
      <c r="D9344" s="116"/>
      <c r="E9344" s="116"/>
    </row>
    <row r="9345" spans="1:5" x14ac:dyDescent="0.25">
      <c r="A9345" s="83"/>
      <c r="B9345" s="84"/>
      <c r="C9345" s="84"/>
      <c r="D9345" s="116"/>
      <c r="E9345" s="116"/>
    </row>
    <row r="9346" spans="1:5" x14ac:dyDescent="0.25">
      <c r="A9346" s="83"/>
      <c r="B9346" s="84"/>
      <c r="C9346" s="84"/>
      <c r="D9346" s="116"/>
      <c r="E9346" s="116"/>
    </row>
    <row r="9347" spans="1:5" x14ac:dyDescent="0.25">
      <c r="A9347" s="83"/>
      <c r="B9347" s="84"/>
      <c r="C9347" s="84"/>
      <c r="D9347" s="116"/>
      <c r="E9347" s="116"/>
    </row>
    <row r="9348" spans="1:5" x14ac:dyDescent="0.25">
      <c r="A9348" s="83"/>
      <c r="B9348" s="84"/>
      <c r="C9348" s="84"/>
      <c r="D9348" s="116"/>
      <c r="E9348" s="116"/>
    </row>
    <row r="9349" spans="1:5" x14ac:dyDescent="0.25">
      <c r="A9349" s="83"/>
      <c r="B9349" s="84"/>
      <c r="C9349" s="84"/>
      <c r="D9349" s="116"/>
      <c r="E9349" s="116"/>
    </row>
    <row r="9350" spans="1:5" x14ac:dyDescent="0.25">
      <c r="A9350" s="83"/>
      <c r="B9350" s="84"/>
      <c r="C9350" s="84"/>
      <c r="D9350" s="116"/>
      <c r="E9350" s="116"/>
    </row>
    <row r="9351" spans="1:5" x14ac:dyDescent="0.25">
      <c r="A9351" s="83"/>
      <c r="B9351" s="84"/>
      <c r="C9351" s="84"/>
      <c r="D9351" s="116"/>
      <c r="E9351" s="116"/>
    </row>
    <row r="9352" spans="1:5" x14ac:dyDescent="0.25">
      <c r="A9352" s="83"/>
      <c r="B9352" s="84"/>
      <c r="C9352" s="84"/>
      <c r="D9352" s="116"/>
      <c r="E9352" s="116"/>
    </row>
    <row r="9353" spans="1:5" x14ac:dyDescent="0.25">
      <c r="A9353" s="83"/>
      <c r="B9353" s="84"/>
      <c r="C9353" s="84"/>
      <c r="D9353" s="116"/>
      <c r="E9353" s="116"/>
    </row>
    <row r="9354" spans="1:5" x14ac:dyDescent="0.25">
      <c r="A9354" s="83"/>
      <c r="B9354" s="84"/>
      <c r="C9354" s="84"/>
      <c r="D9354" s="116"/>
      <c r="E9354" s="116"/>
    </row>
    <row r="9355" spans="1:5" x14ac:dyDescent="0.25">
      <c r="A9355" s="83"/>
      <c r="B9355" s="84"/>
      <c r="C9355" s="84"/>
      <c r="D9355" s="116"/>
      <c r="E9355" s="116"/>
    </row>
    <row r="9356" spans="1:5" x14ac:dyDescent="0.25">
      <c r="A9356" s="83"/>
      <c r="B9356" s="84"/>
      <c r="C9356" s="84"/>
      <c r="D9356" s="116"/>
      <c r="E9356" s="116"/>
    </row>
    <row r="9357" spans="1:5" x14ac:dyDescent="0.25">
      <c r="A9357" s="83"/>
      <c r="B9357" s="84"/>
      <c r="C9357" s="84"/>
      <c r="D9357" s="116"/>
      <c r="E9357" s="116"/>
    </row>
    <row r="9358" spans="1:5" x14ac:dyDescent="0.25">
      <c r="A9358" s="83"/>
      <c r="B9358" s="84"/>
      <c r="C9358" s="84"/>
      <c r="D9358" s="116"/>
      <c r="E9358" s="116"/>
    </row>
    <row r="9359" spans="1:5" x14ac:dyDescent="0.25">
      <c r="A9359" s="83"/>
      <c r="B9359" s="84"/>
      <c r="C9359" s="84"/>
      <c r="D9359" s="116"/>
      <c r="E9359" s="116"/>
    </row>
    <row r="9360" spans="1:5" x14ac:dyDescent="0.25">
      <c r="A9360" s="83"/>
      <c r="B9360" s="84"/>
      <c r="C9360" s="84"/>
      <c r="D9360" s="116"/>
      <c r="E9360" s="116"/>
    </row>
    <row r="9361" spans="1:5" x14ac:dyDescent="0.25">
      <c r="A9361" s="83"/>
      <c r="B9361" s="84"/>
      <c r="C9361" s="84"/>
      <c r="D9361" s="116"/>
      <c r="E9361" s="116"/>
    </row>
    <row r="9362" spans="1:5" x14ac:dyDescent="0.25">
      <c r="A9362" s="83"/>
      <c r="B9362" s="84"/>
      <c r="C9362" s="84"/>
      <c r="D9362" s="116"/>
      <c r="E9362" s="116"/>
    </row>
    <row r="9363" spans="1:5" x14ac:dyDescent="0.25">
      <c r="A9363" s="83"/>
      <c r="B9363" s="84"/>
      <c r="C9363" s="84"/>
      <c r="D9363" s="116"/>
      <c r="E9363" s="116"/>
    </row>
    <row r="9364" spans="1:5" x14ac:dyDescent="0.25">
      <c r="A9364" s="83"/>
      <c r="B9364" s="84"/>
      <c r="C9364" s="84"/>
      <c r="D9364" s="116"/>
      <c r="E9364" s="116"/>
    </row>
    <row r="9365" spans="1:5" x14ac:dyDescent="0.25">
      <c r="A9365" s="83"/>
      <c r="B9365" s="84"/>
      <c r="C9365" s="84"/>
      <c r="D9365" s="116"/>
      <c r="E9365" s="116"/>
    </row>
    <row r="9366" spans="1:5" x14ac:dyDescent="0.25">
      <c r="A9366" s="83"/>
      <c r="B9366" s="84"/>
      <c r="C9366" s="84"/>
      <c r="D9366" s="116"/>
      <c r="E9366" s="116"/>
    </row>
    <row r="9367" spans="1:5" x14ac:dyDescent="0.25">
      <c r="A9367" s="83"/>
      <c r="B9367" s="84"/>
      <c r="C9367" s="84"/>
      <c r="D9367" s="116"/>
      <c r="E9367" s="116"/>
    </row>
    <row r="9368" spans="1:5" x14ac:dyDescent="0.25">
      <c r="A9368" s="83"/>
      <c r="B9368" s="84"/>
      <c r="C9368" s="84"/>
      <c r="D9368" s="116"/>
      <c r="E9368" s="116"/>
    </row>
    <row r="9369" spans="1:5" x14ac:dyDescent="0.25">
      <c r="A9369" s="83"/>
      <c r="B9369" s="84"/>
      <c r="C9369" s="84"/>
      <c r="D9369" s="116"/>
      <c r="E9369" s="116"/>
    </row>
    <row r="9370" spans="1:5" x14ac:dyDescent="0.25">
      <c r="A9370" s="83"/>
      <c r="B9370" s="84"/>
      <c r="C9370" s="84"/>
      <c r="D9370" s="116"/>
      <c r="E9370" s="116"/>
    </row>
    <row r="9371" spans="1:5" x14ac:dyDescent="0.25">
      <c r="A9371" s="83"/>
      <c r="B9371" s="84"/>
      <c r="C9371" s="84"/>
      <c r="D9371" s="116"/>
      <c r="E9371" s="116"/>
    </row>
    <row r="9372" spans="1:5" x14ac:dyDescent="0.25">
      <c r="A9372" s="83"/>
      <c r="B9372" s="84"/>
      <c r="C9372" s="84"/>
      <c r="D9372" s="116"/>
      <c r="E9372" s="116"/>
    </row>
    <row r="9373" spans="1:5" x14ac:dyDescent="0.25">
      <c r="A9373" s="83"/>
      <c r="B9373" s="84"/>
      <c r="C9373" s="84"/>
      <c r="D9373" s="116"/>
      <c r="E9373" s="116"/>
    </row>
    <row r="9374" spans="1:5" x14ac:dyDescent="0.25">
      <c r="A9374" s="83"/>
      <c r="B9374" s="84"/>
      <c r="C9374" s="84"/>
      <c r="D9374" s="116"/>
      <c r="E9374" s="116"/>
    </row>
    <row r="9375" spans="1:5" x14ac:dyDescent="0.25">
      <c r="A9375" s="83"/>
      <c r="B9375" s="84"/>
      <c r="C9375" s="84"/>
      <c r="D9375" s="116"/>
      <c r="E9375" s="116"/>
    </row>
    <row r="9376" spans="1:5" x14ac:dyDescent="0.25">
      <c r="A9376" s="83"/>
      <c r="B9376" s="84"/>
      <c r="C9376" s="84"/>
      <c r="D9376" s="116"/>
      <c r="E9376" s="116"/>
    </row>
    <row r="9377" spans="1:5" x14ac:dyDescent="0.25">
      <c r="A9377" s="83"/>
      <c r="B9377" s="84"/>
      <c r="C9377" s="84"/>
      <c r="D9377" s="116"/>
      <c r="E9377" s="116"/>
    </row>
    <row r="9378" spans="1:5" x14ac:dyDescent="0.25">
      <c r="A9378" s="83"/>
      <c r="B9378" s="84"/>
      <c r="C9378" s="84"/>
      <c r="D9378" s="116"/>
      <c r="E9378" s="116"/>
    </row>
    <row r="9379" spans="1:5" x14ac:dyDescent="0.25">
      <c r="A9379" s="83"/>
      <c r="B9379" s="84"/>
      <c r="C9379" s="84"/>
      <c r="D9379" s="116"/>
      <c r="E9379" s="116"/>
    </row>
    <row r="9380" spans="1:5" x14ac:dyDescent="0.25">
      <c r="A9380" s="83"/>
      <c r="B9380" s="84"/>
      <c r="C9380" s="84"/>
      <c r="D9380" s="116"/>
      <c r="E9380" s="116"/>
    </row>
    <row r="9381" spans="1:5" x14ac:dyDescent="0.25">
      <c r="A9381" s="83"/>
      <c r="B9381" s="84"/>
      <c r="C9381" s="84"/>
      <c r="D9381" s="116"/>
      <c r="E9381" s="116"/>
    </row>
    <row r="9382" spans="1:5" x14ac:dyDescent="0.25">
      <c r="A9382" s="83"/>
      <c r="B9382" s="84"/>
      <c r="C9382" s="84"/>
      <c r="D9382" s="116"/>
      <c r="E9382" s="116"/>
    </row>
    <row r="9383" spans="1:5" x14ac:dyDescent="0.25">
      <c r="A9383" s="83"/>
      <c r="B9383" s="84"/>
      <c r="C9383" s="84"/>
      <c r="D9383" s="116"/>
      <c r="E9383" s="116"/>
    </row>
    <row r="9384" spans="1:5" x14ac:dyDescent="0.25">
      <c r="A9384" s="83"/>
      <c r="B9384" s="84"/>
      <c r="C9384" s="84"/>
      <c r="D9384" s="116"/>
      <c r="E9384" s="116"/>
    </row>
    <row r="9385" spans="1:5" x14ac:dyDescent="0.25">
      <c r="A9385" s="83"/>
      <c r="B9385" s="84"/>
      <c r="C9385" s="84"/>
      <c r="D9385" s="116"/>
      <c r="E9385" s="116"/>
    </row>
    <row r="9386" spans="1:5" x14ac:dyDescent="0.25">
      <c r="A9386" s="83"/>
      <c r="B9386" s="84"/>
      <c r="C9386" s="84"/>
      <c r="D9386" s="116"/>
      <c r="E9386" s="116"/>
    </row>
    <row r="9387" spans="1:5" x14ac:dyDescent="0.25">
      <c r="A9387" s="83"/>
      <c r="B9387" s="84"/>
      <c r="C9387" s="84"/>
      <c r="D9387" s="116"/>
      <c r="E9387" s="116"/>
    </row>
    <row r="9388" spans="1:5" x14ac:dyDescent="0.25">
      <c r="A9388" s="83"/>
      <c r="B9388" s="84"/>
      <c r="C9388" s="84"/>
      <c r="D9388" s="116"/>
      <c r="E9388" s="116"/>
    </row>
    <row r="9389" spans="1:5" x14ac:dyDescent="0.25">
      <c r="A9389" s="83"/>
      <c r="B9389" s="84"/>
      <c r="C9389" s="84"/>
      <c r="D9389" s="116"/>
      <c r="E9389" s="116"/>
    </row>
    <row r="9390" spans="1:5" x14ac:dyDescent="0.25">
      <c r="A9390" s="83"/>
      <c r="B9390" s="84"/>
      <c r="C9390" s="84"/>
      <c r="D9390" s="116"/>
      <c r="E9390" s="116"/>
    </row>
    <row r="9391" spans="1:5" x14ac:dyDescent="0.25">
      <c r="A9391" s="83"/>
      <c r="B9391" s="84"/>
      <c r="C9391" s="84"/>
      <c r="D9391" s="116"/>
      <c r="E9391" s="116"/>
    </row>
    <row r="9392" spans="1:5" x14ac:dyDescent="0.25">
      <c r="A9392" s="83"/>
      <c r="B9392" s="84"/>
      <c r="C9392" s="84"/>
      <c r="D9392" s="116"/>
      <c r="E9392" s="116"/>
    </row>
    <row r="9393" spans="1:5" x14ac:dyDescent="0.25">
      <c r="A9393" s="83"/>
      <c r="B9393" s="84"/>
      <c r="C9393" s="84"/>
      <c r="D9393" s="116"/>
      <c r="E9393" s="116"/>
    </row>
    <row r="9394" spans="1:5" x14ac:dyDescent="0.25">
      <c r="A9394" s="83"/>
      <c r="B9394" s="84"/>
      <c r="C9394" s="84"/>
      <c r="D9394" s="116"/>
      <c r="E9394" s="116"/>
    </row>
    <row r="9395" spans="1:5" x14ac:dyDescent="0.25">
      <c r="A9395" s="83"/>
      <c r="B9395" s="84"/>
      <c r="C9395" s="84"/>
      <c r="D9395" s="116"/>
      <c r="E9395" s="116"/>
    </row>
    <row r="9396" spans="1:5" x14ac:dyDescent="0.25">
      <c r="A9396" s="83"/>
      <c r="B9396" s="84"/>
      <c r="C9396" s="84"/>
      <c r="D9396" s="116"/>
      <c r="E9396" s="116"/>
    </row>
    <row r="9397" spans="1:5" x14ac:dyDescent="0.25">
      <c r="A9397" s="83"/>
      <c r="B9397" s="84"/>
      <c r="C9397" s="84"/>
      <c r="D9397" s="116"/>
      <c r="E9397" s="116"/>
    </row>
    <row r="9398" spans="1:5" x14ac:dyDescent="0.25">
      <c r="A9398" s="83"/>
      <c r="B9398" s="84"/>
      <c r="C9398" s="84"/>
      <c r="D9398" s="116"/>
      <c r="E9398" s="116"/>
    </row>
    <row r="9399" spans="1:5" x14ac:dyDescent="0.25">
      <c r="A9399" s="83"/>
      <c r="B9399" s="84"/>
      <c r="C9399" s="84"/>
      <c r="D9399" s="116"/>
      <c r="E9399" s="116"/>
    </row>
    <row r="9400" spans="1:5" x14ac:dyDescent="0.25">
      <c r="A9400" s="83"/>
      <c r="B9400" s="84"/>
      <c r="C9400" s="84"/>
      <c r="D9400" s="116"/>
      <c r="E9400" s="116"/>
    </row>
    <row r="9401" spans="1:5" x14ac:dyDescent="0.25">
      <c r="A9401" s="83"/>
      <c r="B9401" s="84"/>
      <c r="C9401" s="84"/>
      <c r="D9401" s="116"/>
      <c r="E9401" s="116"/>
    </row>
    <row r="9402" spans="1:5" x14ac:dyDescent="0.25">
      <c r="A9402" s="83"/>
      <c r="B9402" s="84"/>
      <c r="C9402" s="84"/>
      <c r="D9402" s="116"/>
      <c r="E9402" s="116"/>
    </row>
    <row r="9403" spans="1:5" x14ac:dyDescent="0.25">
      <c r="A9403" s="83"/>
      <c r="B9403" s="84"/>
      <c r="C9403" s="84"/>
      <c r="D9403" s="116"/>
      <c r="E9403" s="116"/>
    </row>
    <row r="9404" spans="1:5" x14ac:dyDescent="0.25">
      <c r="A9404" s="83"/>
      <c r="B9404" s="84"/>
      <c r="C9404" s="84"/>
      <c r="D9404" s="116"/>
      <c r="E9404" s="116"/>
    </row>
    <row r="9405" spans="1:5" x14ac:dyDescent="0.25">
      <c r="A9405" s="83"/>
      <c r="B9405" s="84"/>
      <c r="C9405" s="84"/>
      <c r="D9405" s="116"/>
      <c r="E9405" s="116"/>
    </row>
    <row r="9406" spans="1:5" x14ac:dyDescent="0.25">
      <c r="A9406" s="83"/>
      <c r="B9406" s="84"/>
      <c r="C9406" s="84"/>
      <c r="D9406" s="116"/>
      <c r="E9406" s="116"/>
    </row>
    <row r="9407" spans="1:5" x14ac:dyDescent="0.25">
      <c r="A9407" s="83"/>
      <c r="B9407" s="84"/>
      <c r="C9407" s="84"/>
      <c r="D9407" s="116"/>
      <c r="E9407" s="116"/>
    </row>
    <row r="9408" spans="1:5" x14ac:dyDescent="0.25">
      <c r="A9408" s="83"/>
      <c r="B9408" s="84"/>
      <c r="C9408" s="84"/>
      <c r="D9408" s="116"/>
      <c r="E9408" s="116"/>
    </row>
    <row r="9409" spans="1:5" x14ac:dyDescent="0.25">
      <c r="A9409" s="83"/>
      <c r="B9409" s="84"/>
      <c r="C9409" s="84"/>
      <c r="D9409" s="116"/>
      <c r="E9409" s="116"/>
    </row>
    <row r="9410" spans="1:5" x14ac:dyDescent="0.25">
      <c r="A9410" s="83"/>
      <c r="B9410" s="84"/>
      <c r="C9410" s="84"/>
      <c r="D9410" s="116"/>
      <c r="E9410" s="116"/>
    </row>
    <row r="9411" spans="1:5" x14ac:dyDescent="0.25">
      <c r="A9411" s="83"/>
      <c r="B9411" s="84"/>
      <c r="C9411" s="84"/>
      <c r="D9411" s="116"/>
      <c r="E9411" s="116"/>
    </row>
    <row r="9412" spans="1:5" x14ac:dyDescent="0.25">
      <c r="A9412" s="83"/>
      <c r="B9412" s="84"/>
      <c r="C9412" s="84"/>
      <c r="D9412" s="116"/>
      <c r="E9412" s="116"/>
    </row>
    <row r="9413" spans="1:5" x14ac:dyDescent="0.25">
      <c r="A9413" s="83"/>
      <c r="B9413" s="84"/>
      <c r="C9413" s="84"/>
      <c r="D9413" s="116"/>
      <c r="E9413" s="116"/>
    </row>
    <row r="9414" spans="1:5" x14ac:dyDescent="0.25">
      <c r="A9414" s="83"/>
      <c r="B9414" s="84"/>
      <c r="C9414" s="84"/>
      <c r="D9414" s="116"/>
      <c r="E9414" s="116"/>
    </row>
    <row r="9415" spans="1:5" x14ac:dyDescent="0.25">
      <c r="A9415" s="83"/>
      <c r="B9415" s="84"/>
      <c r="C9415" s="84"/>
      <c r="D9415" s="116"/>
      <c r="E9415" s="116"/>
    </row>
    <row r="9416" spans="1:5" x14ac:dyDescent="0.25">
      <c r="A9416" s="83"/>
      <c r="B9416" s="84"/>
      <c r="C9416" s="84"/>
      <c r="D9416" s="116"/>
      <c r="E9416" s="116"/>
    </row>
    <row r="9417" spans="1:5" x14ac:dyDescent="0.25">
      <c r="A9417" s="83"/>
      <c r="B9417" s="84"/>
      <c r="C9417" s="84"/>
      <c r="D9417" s="116"/>
      <c r="E9417" s="116"/>
    </row>
    <row r="9418" spans="1:5" x14ac:dyDescent="0.25">
      <c r="A9418" s="83"/>
      <c r="B9418" s="84"/>
      <c r="C9418" s="84"/>
      <c r="D9418" s="116"/>
      <c r="E9418" s="116"/>
    </row>
    <row r="9419" spans="1:5" x14ac:dyDescent="0.25">
      <c r="A9419" s="83"/>
      <c r="B9419" s="84"/>
      <c r="C9419" s="84"/>
      <c r="D9419" s="116"/>
      <c r="E9419" s="116"/>
    </row>
    <row r="9420" spans="1:5" x14ac:dyDescent="0.25">
      <c r="A9420" s="83"/>
      <c r="B9420" s="84"/>
      <c r="C9420" s="84"/>
      <c r="D9420" s="116"/>
      <c r="E9420" s="116"/>
    </row>
    <row r="9421" spans="1:5" x14ac:dyDescent="0.25">
      <c r="A9421" s="83"/>
      <c r="B9421" s="84"/>
      <c r="C9421" s="84"/>
      <c r="D9421" s="116"/>
      <c r="E9421" s="116"/>
    </row>
    <row r="9422" spans="1:5" x14ac:dyDescent="0.25">
      <c r="A9422" s="83"/>
      <c r="B9422" s="84"/>
      <c r="C9422" s="84"/>
      <c r="D9422" s="116"/>
      <c r="E9422" s="116"/>
    </row>
    <row r="9423" spans="1:5" x14ac:dyDescent="0.25">
      <c r="A9423" s="83"/>
      <c r="B9423" s="84"/>
      <c r="C9423" s="84"/>
      <c r="D9423" s="116"/>
      <c r="E9423" s="116"/>
    </row>
    <row r="9424" spans="1:5" x14ac:dyDescent="0.25">
      <c r="A9424" s="83"/>
      <c r="B9424" s="84"/>
      <c r="C9424" s="84"/>
      <c r="D9424" s="116"/>
      <c r="E9424" s="116"/>
    </row>
    <row r="9425" spans="1:5" x14ac:dyDescent="0.25">
      <c r="A9425" s="83"/>
      <c r="B9425" s="84"/>
      <c r="C9425" s="84"/>
      <c r="D9425" s="116"/>
      <c r="E9425" s="116"/>
    </row>
    <row r="9426" spans="1:5" x14ac:dyDescent="0.25">
      <c r="A9426" s="83"/>
      <c r="B9426" s="84"/>
      <c r="C9426" s="84"/>
      <c r="D9426" s="116"/>
      <c r="E9426" s="116"/>
    </row>
    <row r="9427" spans="1:5" x14ac:dyDescent="0.25">
      <c r="A9427" s="83"/>
      <c r="B9427" s="84"/>
      <c r="C9427" s="84"/>
      <c r="D9427" s="116"/>
      <c r="E9427" s="116"/>
    </row>
    <row r="9428" spans="1:5" x14ac:dyDescent="0.25">
      <c r="A9428" s="83"/>
      <c r="B9428" s="84"/>
      <c r="C9428" s="84"/>
      <c r="D9428" s="116"/>
      <c r="E9428" s="116"/>
    </row>
    <row r="9429" spans="1:5" x14ac:dyDescent="0.25">
      <c r="A9429" s="83"/>
      <c r="B9429" s="84"/>
      <c r="C9429" s="84"/>
      <c r="D9429" s="116"/>
      <c r="E9429" s="116"/>
    </row>
    <row r="9430" spans="1:5" x14ac:dyDescent="0.25">
      <c r="A9430" s="83"/>
      <c r="B9430" s="84"/>
      <c r="C9430" s="84"/>
      <c r="D9430" s="116"/>
      <c r="E9430" s="116"/>
    </row>
    <row r="9431" spans="1:5" x14ac:dyDescent="0.25">
      <c r="A9431" s="83"/>
      <c r="B9431" s="84"/>
      <c r="C9431" s="84"/>
      <c r="D9431" s="116"/>
      <c r="E9431" s="116"/>
    </row>
    <row r="9432" spans="1:5" x14ac:dyDescent="0.25">
      <c r="A9432" s="83"/>
      <c r="B9432" s="84"/>
      <c r="C9432" s="84"/>
      <c r="D9432" s="116"/>
      <c r="E9432" s="116"/>
    </row>
    <row r="9433" spans="1:5" x14ac:dyDescent="0.25">
      <c r="A9433" s="83"/>
      <c r="B9433" s="84"/>
      <c r="C9433" s="84"/>
      <c r="D9433" s="116"/>
      <c r="E9433" s="116"/>
    </row>
    <row r="9434" spans="1:5" x14ac:dyDescent="0.25">
      <c r="A9434" s="83"/>
      <c r="B9434" s="84"/>
      <c r="C9434" s="84"/>
      <c r="D9434" s="116"/>
      <c r="E9434" s="116"/>
    </row>
    <row r="9435" spans="1:5" x14ac:dyDescent="0.25">
      <c r="A9435" s="83"/>
      <c r="B9435" s="84"/>
      <c r="C9435" s="84"/>
      <c r="D9435" s="116"/>
      <c r="E9435" s="116"/>
    </row>
    <row r="9436" spans="1:5" x14ac:dyDescent="0.25">
      <c r="A9436" s="83"/>
      <c r="B9436" s="84"/>
      <c r="C9436" s="84"/>
      <c r="D9436" s="116"/>
      <c r="E9436" s="116"/>
    </row>
    <row r="9437" spans="1:5" x14ac:dyDescent="0.25">
      <c r="A9437" s="83"/>
      <c r="B9437" s="84"/>
      <c r="C9437" s="84"/>
      <c r="D9437" s="116"/>
      <c r="E9437" s="116"/>
    </row>
    <row r="9438" spans="1:5" x14ac:dyDescent="0.25">
      <c r="A9438" s="83"/>
      <c r="B9438" s="84"/>
      <c r="C9438" s="84"/>
      <c r="D9438" s="116"/>
      <c r="E9438" s="116"/>
    </row>
    <row r="9439" spans="1:5" x14ac:dyDescent="0.25">
      <c r="A9439" s="83"/>
      <c r="B9439" s="84"/>
      <c r="C9439" s="84"/>
      <c r="D9439" s="116"/>
      <c r="E9439" s="116"/>
    </row>
    <row r="9440" spans="1:5" x14ac:dyDescent="0.25">
      <c r="A9440" s="83"/>
      <c r="B9440" s="84"/>
      <c r="C9440" s="84"/>
      <c r="D9440" s="116"/>
      <c r="E9440" s="116"/>
    </row>
    <row r="9441" spans="1:5" x14ac:dyDescent="0.25">
      <c r="A9441" s="83"/>
      <c r="B9441" s="84"/>
      <c r="C9441" s="84"/>
      <c r="D9441" s="116"/>
      <c r="E9441" s="116"/>
    </row>
    <row r="9442" spans="1:5" x14ac:dyDescent="0.25">
      <c r="A9442" s="83"/>
      <c r="B9442" s="84"/>
      <c r="C9442" s="84"/>
      <c r="D9442" s="116"/>
      <c r="E9442" s="116"/>
    </row>
    <row r="9443" spans="1:5" x14ac:dyDescent="0.25">
      <c r="A9443" s="83"/>
      <c r="B9443" s="84"/>
      <c r="C9443" s="84"/>
      <c r="D9443" s="116"/>
      <c r="E9443" s="116"/>
    </row>
    <row r="9444" spans="1:5" x14ac:dyDescent="0.25">
      <c r="A9444" s="83"/>
      <c r="B9444" s="84"/>
      <c r="C9444" s="84"/>
      <c r="D9444" s="116"/>
      <c r="E9444" s="116"/>
    </row>
    <row r="9445" spans="1:5" x14ac:dyDescent="0.25">
      <c r="A9445" s="83"/>
      <c r="B9445" s="84"/>
      <c r="C9445" s="84"/>
      <c r="D9445" s="116"/>
      <c r="E9445" s="116"/>
    </row>
    <row r="9446" spans="1:5" x14ac:dyDescent="0.25">
      <c r="A9446" s="83"/>
      <c r="B9446" s="84"/>
      <c r="C9446" s="84"/>
      <c r="D9446" s="116"/>
      <c r="E9446" s="116"/>
    </row>
    <row r="9447" spans="1:5" x14ac:dyDescent="0.25">
      <c r="A9447" s="83"/>
      <c r="B9447" s="84"/>
      <c r="C9447" s="84"/>
      <c r="D9447" s="116"/>
      <c r="E9447" s="116"/>
    </row>
    <row r="9448" spans="1:5" x14ac:dyDescent="0.25">
      <c r="A9448" s="83"/>
      <c r="B9448" s="84"/>
      <c r="C9448" s="84"/>
      <c r="D9448" s="116"/>
      <c r="E9448" s="116"/>
    </row>
    <row r="9449" spans="1:5" x14ac:dyDescent="0.25">
      <c r="A9449" s="83"/>
      <c r="B9449" s="84"/>
      <c r="C9449" s="84"/>
      <c r="D9449" s="116"/>
      <c r="E9449" s="116"/>
    </row>
    <row r="9450" spans="1:5" x14ac:dyDescent="0.25">
      <c r="A9450" s="83"/>
      <c r="B9450" s="84"/>
      <c r="C9450" s="84"/>
      <c r="D9450" s="116"/>
      <c r="E9450" s="116"/>
    </row>
    <row r="9451" spans="1:5" x14ac:dyDescent="0.25">
      <c r="A9451" s="83"/>
      <c r="B9451" s="84"/>
      <c r="C9451" s="84"/>
      <c r="D9451" s="116"/>
      <c r="E9451" s="116"/>
    </row>
    <row r="9452" spans="1:5" x14ac:dyDescent="0.25">
      <c r="A9452" s="83"/>
      <c r="B9452" s="84"/>
      <c r="C9452" s="84"/>
      <c r="D9452" s="116"/>
      <c r="E9452" s="116"/>
    </row>
    <row r="9453" spans="1:5" x14ac:dyDescent="0.25">
      <c r="A9453" s="83"/>
      <c r="B9453" s="84"/>
      <c r="C9453" s="84"/>
      <c r="D9453" s="116"/>
      <c r="E9453" s="116"/>
    </row>
    <row r="9454" spans="1:5" x14ac:dyDescent="0.25">
      <c r="A9454" s="83"/>
      <c r="B9454" s="84"/>
      <c r="C9454" s="84"/>
      <c r="D9454" s="116"/>
      <c r="E9454" s="116"/>
    </row>
    <row r="9455" spans="1:5" x14ac:dyDescent="0.25">
      <c r="A9455" s="83"/>
      <c r="B9455" s="84"/>
      <c r="C9455" s="84"/>
      <c r="D9455" s="116"/>
      <c r="E9455" s="116"/>
    </row>
    <row r="9456" spans="1:5" x14ac:dyDescent="0.25">
      <c r="A9456" s="83"/>
      <c r="B9456" s="84"/>
      <c r="C9456" s="84"/>
      <c r="D9456" s="116"/>
      <c r="E9456" s="116"/>
    </row>
    <row r="9457" spans="1:5" x14ac:dyDescent="0.25">
      <c r="A9457" s="83"/>
      <c r="B9457" s="84"/>
      <c r="C9457" s="84"/>
      <c r="D9457" s="116"/>
      <c r="E9457" s="116"/>
    </row>
    <row r="9458" spans="1:5" x14ac:dyDescent="0.25">
      <c r="A9458" s="83"/>
      <c r="B9458" s="84"/>
      <c r="C9458" s="84"/>
      <c r="D9458" s="116"/>
      <c r="E9458" s="116"/>
    </row>
    <row r="9459" spans="1:5" x14ac:dyDescent="0.25">
      <c r="A9459" s="83"/>
      <c r="B9459" s="84"/>
      <c r="C9459" s="84"/>
      <c r="D9459" s="116"/>
      <c r="E9459" s="116"/>
    </row>
    <row r="9460" spans="1:5" x14ac:dyDescent="0.25">
      <c r="A9460" s="83"/>
      <c r="B9460" s="84"/>
      <c r="C9460" s="84"/>
      <c r="D9460" s="116"/>
      <c r="E9460" s="116"/>
    </row>
    <row r="9461" spans="1:5" x14ac:dyDescent="0.25">
      <c r="A9461" s="83"/>
      <c r="B9461" s="84"/>
      <c r="C9461" s="84"/>
      <c r="D9461" s="116"/>
      <c r="E9461" s="116"/>
    </row>
    <row r="9462" spans="1:5" x14ac:dyDescent="0.25">
      <c r="A9462" s="83"/>
      <c r="B9462" s="84"/>
      <c r="C9462" s="84"/>
      <c r="D9462" s="116"/>
      <c r="E9462" s="116"/>
    </row>
    <row r="9463" spans="1:5" x14ac:dyDescent="0.25">
      <c r="A9463" s="83"/>
      <c r="B9463" s="84"/>
      <c r="C9463" s="84"/>
      <c r="D9463" s="116"/>
      <c r="E9463" s="116"/>
    </row>
    <row r="9464" spans="1:5" x14ac:dyDescent="0.25">
      <c r="A9464" s="83"/>
      <c r="B9464" s="84"/>
      <c r="C9464" s="84"/>
      <c r="D9464" s="116"/>
      <c r="E9464" s="116"/>
    </row>
    <row r="9465" spans="1:5" x14ac:dyDescent="0.25">
      <c r="A9465" s="83"/>
      <c r="B9465" s="84"/>
      <c r="C9465" s="84"/>
      <c r="D9465" s="116"/>
      <c r="E9465" s="116"/>
    </row>
    <row r="9466" spans="1:5" x14ac:dyDescent="0.25">
      <c r="A9466" s="83"/>
      <c r="B9466" s="84"/>
      <c r="C9466" s="84"/>
      <c r="D9466" s="116"/>
      <c r="E9466" s="116"/>
    </row>
    <row r="9467" spans="1:5" x14ac:dyDescent="0.25">
      <c r="A9467" s="83"/>
      <c r="B9467" s="84"/>
      <c r="C9467" s="84"/>
      <c r="D9467" s="116"/>
      <c r="E9467" s="116"/>
    </row>
    <row r="9468" spans="1:5" x14ac:dyDescent="0.25">
      <c r="A9468" s="83"/>
      <c r="B9468" s="84"/>
      <c r="C9468" s="84"/>
      <c r="D9468" s="116"/>
      <c r="E9468" s="116"/>
    </row>
    <row r="9469" spans="1:5" x14ac:dyDescent="0.25">
      <c r="A9469" s="83"/>
      <c r="B9469" s="84"/>
      <c r="C9469" s="84"/>
      <c r="D9469" s="116"/>
      <c r="E9469" s="116"/>
    </row>
    <row r="9470" spans="1:5" x14ac:dyDescent="0.25">
      <c r="A9470" s="83"/>
      <c r="B9470" s="84"/>
      <c r="C9470" s="84"/>
      <c r="D9470" s="116"/>
      <c r="E9470" s="116"/>
    </row>
    <row r="9471" spans="1:5" x14ac:dyDescent="0.25">
      <c r="A9471" s="83"/>
      <c r="B9471" s="84"/>
      <c r="C9471" s="84"/>
      <c r="D9471" s="116"/>
      <c r="E9471" s="116"/>
    </row>
    <row r="9472" spans="1:5" x14ac:dyDescent="0.25">
      <c r="A9472" s="83"/>
      <c r="B9472" s="84"/>
      <c r="C9472" s="84"/>
      <c r="D9472" s="116"/>
      <c r="E9472" s="116"/>
    </row>
    <row r="9473" spans="1:5" x14ac:dyDescent="0.25">
      <c r="A9473" s="83"/>
      <c r="B9473" s="84"/>
      <c r="C9473" s="84"/>
      <c r="D9473" s="116"/>
      <c r="E9473" s="116"/>
    </row>
    <row r="9474" spans="1:5" x14ac:dyDescent="0.25">
      <c r="A9474" s="83"/>
      <c r="B9474" s="84"/>
      <c r="C9474" s="84"/>
      <c r="D9474" s="116"/>
      <c r="E9474" s="116"/>
    </row>
    <row r="9475" spans="1:5" x14ac:dyDescent="0.25">
      <c r="A9475" s="83"/>
      <c r="B9475" s="84"/>
      <c r="C9475" s="84"/>
      <c r="D9475" s="116"/>
      <c r="E9475" s="116"/>
    </row>
    <row r="9476" spans="1:5" x14ac:dyDescent="0.25">
      <c r="A9476" s="83"/>
      <c r="B9476" s="84"/>
      <c r="C9476" s="84"/>
      <c r="D9476" s="116"/>
      <c r="E9476" s="116"/>
    </row>
    <row r="9477" spans="1:5" x14ac:dyDescent="0.25">
      <c r="A9477" s="83"/>
      <c r="B9477" s="84"/>
      <c r="C9477" s="84"/>
      <c r="D9477" s="116"/>
      <c r="E9477" s="116"/>
    </row>
    <row r="9478" spans="1:5" x14ac:dyDescent="0.25">
      <c r="A9478" s="83"/>
      <c r="B9478" s="84"/>
      <c r="C9478" s="84"/>
      <c r="D9478" s="116"/>
      <c r="E9478" s="116"/>
    </row>
    <row r="9479" spans="1:5" x14ac:dyDescent="0.25">
      <c r="A9479" s="83"/>
      <c r="B9479" s="84"/>
      <c r="C9479" s="84"/>
      <c r="D9479" s="116"/>
      <c r="E9479" s="116"/>
    </row>
    <row r="9480" spans="1:5" x14ac:dyDescent="0.25">
      <c r="A9480" s="83"/>
      <c r="B9480" s="84"/>
      <c r="C9480" s="84"/>
      <c r="D9480" s="116"/>
      <c r="E9480" s="116"/>
    </row>
    <row r="9481" spans="1:5" x14ac:dyDescent="0.25">
      <c r="A9481" s="83"/>
      <c r="B9481" s="84"/>
      <c r="C9481" s="84"/>
      <c r="D9481" s="116"/>
      <c r="E9481" s="116"/>
    </row>
    <row r="9482" spans="1:5" x14ac:dyDescent="0.25">
      <c r="A9482" s="83"/>
      <c r="B9482" s="84"/>
      <c r="C9482" s="84"/>
      <c r="D9482" s="116"/>
      <c r="E9482" s="116"/>
    </row>
    <row r="9483" spans="1:5" x14ac:dyDescent="0.25">
      <c r="A9483" s="83"/>
      <c r="B9483" s="84"/>
      <c r="C9483" s="84"/>
      <c r="D9483" s="116"/>
      <c r="E9483" s="116"/>
    </row>
    <row r="9484" spans="1:5" x14ac:dyDescent="0.25">
      <c r="A9484" s="83"/>
      <c r="B9484" s="84"/>
      <c r="C9484" s="84"/>
      <c r="D9484" s="116"/>
      <c r="E9484" s="116"/>
    </row>
    <row r="9485" spans="1:5" x14ac:dyDescent="0.25">
      <c r="A9485" s="83"/>
      <c r="B9485" s="84"/>
      <c r="C9485" s="84"/>
      <c r="D9485" s="116"/>
      <c r="E9485" s="116"/>
    </row>
    <row r="9486" spans="1:5" x14ac:dyDescent="0.25">
      <c r="A9486" s="83"/>
      <c r="B9486" s="84"/>
      <c r="C9486" s="84"/>
      <c r="D9486" s="116"/>
      <c r="E9486" s="116"/>
    </row>
    <row r="9487" spans="1:5" x14ac:dyDescent="0.25">
      <c r="A9487" s="83"/>
      <c r="B9487" s="84"/>
      <c r="C9487" s="84"/>
      <c r="D9487" s="116"/>
      <c r="E9487" s="116"/>
    </row>
    <row r="9488" spans="1:5" x14ac:dyDescent="0.25">
      <c r="A9488" s="83"/>
      <c r="B9488" s="84"/>
      <c r="C9488" s="84"/>
      <c r="D9488" s="116"/>
      <c r="E9488" s="116"/>
    </row>
    <row r="9489" spans="1:5" x14ac:dyDescent="0.25">
      <c r="A9489" s="83"/>
      <c r="B9489" s="84"/>
      <c r="C9489" s="84"/>
      <c r="D9489" s="116"/>
      <c r="E9489" s="116"/>
    </row>
    <row r="9490" spans="1:5" x14ac:dyDescent="0.25">
      <c r="A9490" s="83"/>
      <c r="B9490" s="84"/>
      <c r="C9490" s="84"/>
      <c r="D9490" s="116"/>
      <c r="E9490" s="116"/>
    </row>
    <row r="9491" spans="1:5" x14ac:dyDescent="0.25">
      <c r="A9491" s="83"/>
      <c r="B9491" s="84"/>
      <c r="C9491" s="84"/>
      <c r="D9491" s="116"/>
      <c r="E9491" s="116"/>
    </row>
    <row r="9492" spans="1:5" x14ac:dyDescent="0.25">
      <c r="A9492" s="83"/>
      <c r="B9492" s="84"/>
      <c r="C9492" s="84"/>
      <c r="D9492" s="116"/>
      <c r="E9492" s="116"/>
    </row>
    <row r="9493" spans="1:5" x14ac:dyDescent="0.25">
      <c r="A9493" s="83"/>
      <c r="B9493" s="84"/>
      <c r="C9493" s="84"/>
      <c r="D9493" s="116"/>
      <c r="E9493" s="116"/>
    </row>
    <row r="9494" spans="1:5" x14ac:dyDescent="0.25">
      <c r="A9494" s="83"/>
      <c r="B9494" s="84"/>
      <c r="C9494" s="84"/>
      <c r="D9494" s="116"/>
      <c r="E9494" s="116"/>
    </row>
    <row r="9495" spans="1:5" x14ac:dyDescent="0.25">
      <c r="A9495" s="83"/>
      <c r="B9495" s="84"/>
      <c r="C9495" s="84"/>
      <c r="D9495" s="116"/>
      <c r="E9495" s="116"/>
    </row>
    <row r="9496" spans="1:5" x14ac:dyDescent="0.25">
      <c r="A9496" s="83"/>
      <c r="B9496" s="84"/>
      <c r="C9496" s="84"/>
      <c r="D9496" s="116"/>
      <c r="E9496" s="116"/>
    </row>
    <row r="9497" spans="1:5" x14ac:dyDescent="0.25">
      <c r="A9497" s="83"/>
      <c r="B9497" s="84"/>
      <c r="C9497" s="84"/>
      <c r="D9497" s="116"/>
      <c r="E9497" s="116"/>
    </row>
    <row r="9498" spans="1:5" x14ac:dyDescent="0.25">
      <c r="A9498" s="83"/>
      <c r="B9498" s="84"/>
      <c r="C9498" s="84"/>
      <c r="D9498" s="116"/>
      <c r="E9498" s="116"/>
    </row>
    <row r="9499" spans="1:5" x14ac:dyDescent="0.25">
      <c r="A9499" s="83"/>
      <c r="B9499" s="84"/>
      <c r="C9499" s="84"/>
      <c r="D9499" s="116"/>
      <c r="E9499" s="116"/>
    </row>
    <row r="9500" spans="1:5" x14ac:dyDescent="0.25">
      <c r="A9500" s="83"/>
      <c r="B9500" s="84"/>
      <c r="C9500" s="84"/>
      <c r="D9500" s="116"/>
      <c r="E9500" s="116"/>
    </row>
    <row r="9501" spans="1:5" x14ac:dyDescent="0.25">
      <c r="A9501" s="83"/>
      <c r="B9501" s="84"/>
      <c r="C9501" s="84"/>
      <c r="D9501" s="116"/>
      <c r="E9501" s="116"/>
    </row>
    <row r="9502" spans="1:5" x14ac:dyDescent="0.25">
      <c r="A9502" s="83"/>
      <c r="B9502" s="84"/>
      <c r="C9502" s="84"/>
      <c r="D9502" s="116"/>
      <c r="E9502" s="116"/>
    </row>
    <row r="9503" spans="1:5" x14ac:dyDescent="0.25">
      <c r="A9503" s="83"/>
      <c r="B9503" s="84"/>
      <c r="C9503" s="84"/>
      <c r="D9503" s="116"/>
      <c r="E9503" s="116"/>
    </row>
    <row r="9504" spans="1:5" x14ac:dyDescent="0.25">
      <c r="A9504" s="83"/>
      <c r="B9504" s="84"/>
      <c r="C9504" s="84"/>
      <c r="D9504" s="116"/>
      <c r="E9504" s="116"/>
    </row>
    <row r="9505" spans="1:5" x14ac:dyDescent="0.25">
      <c r="A9505" s="83"/>
      <c r="B9505" s="84"/>
      <c r="C9505" s="84"/>
      <c r="D9505" s="116"/>
      <c r="E9505" s="116"/>
    </row>
    <row r="9506" spans="1:5" x14ac:dyDescent="0.25">
      <c r="A9506" s="83"/>
      <c r="B9506" s="84"/>
      <c r="C9506" s="84"/>
      <c r="D9506" s="116"/>
      <c r="E9506" s="116"/>
    </row>
    <row r="9507" spans="1:5" x14ac:dyDescent="0.25">
      <c r="A9507" s="83"/>
      <c r="B9507" s="84"/>
      <c r="C9507" s="84"/>
      <c r="D9507" s="116"/>
      <c r="E9507" s="116"/>
    </row>
    <row r="9508" spans="1:5" x14ac:dyDescent="0.25">
      <c r="A9508" s="83"/>
      <c r="B9508" s="84"/>
      <c r="C9508" s="84"/>
      <c r="D9508" s="116"/>
      <c r="E9508" s="116"/>
    </row>
    <row r="9509" spans="1:5" x14ac:dyDescent="0.25">
      <c r="A9509" s="83"/>
      <c r="B9509" s="84"/>
      <c r="C9509" s="84"/>
      <c r="D9509" s="116"/>
      <c r="E9509" s="116"/>
    </row>
    <row r="9510" spans="1:5" x14ac:dyDescent="0.25">
      <c r="A9510" s="83"/>
      <c r="B9510" s="84"/>
      <c r="C9510" s="84"/>
      <c r="D9510" s="116"/>
      <c r="E9510" s="116"/>
    </row>
    <row r="9511" spans="1:5" x14ac:dyDescent="0.25">
      <c r="A9511" s="83"/>
      <c r="B9511" s="84"/>
      <c r="C9511" s="84"/>
      <c r="D9511" s="116"/>
      <c r="E9511" s="116"/>
    </row>
    <row r="9512" spans="1:5" x14ac:dyDescent="0.25">
      <c r="A9512" s="83"/>
      <c r="B9512" s="84"/>
      <c r="C9512" s="84"/>
      <c r="D9512" s="116"/>
      <c r="E9512" s="116"/>
    </row>
    <row r="9513" spans="1:5" x14ac:dyDescent="0.25">
      <c r="A9513" s="83"/>
      <c r="B9513" s="84"/>
      <c r="C9513" s="84"/>
      <c r="D9513" s="116"/>
      <c r="E9513" s="116"/>
    </row>
    <row r="9514" spans="1:5" x14ac:dyDescent="0.25">
      <c r="A9514" s="83"/>
      <c r="B9514" s="84"/>
      <c r="C9514" s="84"/>
      <c r="D9514" s="116"/>
      <c r="E9514" s="116"/>
    </row>
    <row r="9515" spans="1:5" x14ac:dyDescent="0.25">
      <c r="A9515" s="83"/>
      <c r="B9515" s="84"/>
      <c r="C9515" s="84"/>
      <c r="D9515" s="116"/>
      <c r="E9515" s="116"/>
    </row>
    <row r="9516" spans="1:5" x14ac:dyDescent="0.25">
      <c r="A9516" s="83"/>
      <c r="B9516" s="84"/>
      <c r="C9516" s="84"/>
      <c r="D9516" s="116"/>
      <c r="E9516" s="116"/>
    </row>
    <row r="9517" spans="1:5" x14ac:dyDescent="0.25">
      <c r="A9517" s="83"/>
      <c r="B9517" s="84"/>
      <c r="C9517" s="84"/>
      <c r="D9517" s="116"/>
      <c r="E9517" s="116"/>
    </row>
    <row r="9518" spans="1:5" x14ac:dyDescent="0.25">
      <c r="A9518" s="83"/>
      <c r="B9518" s="84"/>
      <c r="C9518" s="84"/>
      <c r="D9518" s="116"/>
      <c r="E9518" s="116"/>
    </row>
    <row r="9519" spans="1:5" x14ac:dyDescent="0.25">
      <c r="A9519" s="83"/>
      <c r="B9519" s="84"/>
      <c r="C9519" s="84"/>
      <c r="D9519" s="116"/>
      <c r="E9519" s="116"/>
    </row>
    <row r="9520" spans="1:5" x14ac:dyDescent="0.25">
      <c r="A9520" s="83"/>
      <c r="B9520" s="84"/>
      <c r="C9520" s="84"/>
      <c r="D9520" s="116"/>
      <c r="E9520" s="116"/>
    </row>
    <row r="9521" spans="1:5" x14ac:dyDescent="0.25">
      <c r="A9521" s="83"/>
      <c r="B9521" s="84"/>
      <c r="C9521" s="84"/>
      <c r="D9521" s="116"/>
      <c r="E9521" s="116"/>
    </row>
    <row r="9522" spans="1:5" x14ac:dyDescent="0.25">
      <c r="A9522" s="83"/>
      <c r="B9522" s="84"/>
      <c r="C9522" s="84"/>
      <c r="D9522" s="116"/>
      <c r="E9522" s="116"/>
    </row>
    <row r="9523" spans="1:5" x14ac:dyDescent="0.25">
      <c r="A9523" s="83"/>
      <c r="B9523" s="84"/>
      <c r="C9523" s="84"/>
      <c r="D9523" s="116"/>
      <c r="E9523" s="116"/>
    </row>
    <row r="9524" spans="1:5" x14ac:dyDescent="0.25">
      <c r="A9524" s="83"/>
      <c r="B9524" s="84"/>
      <c r="C9524" s="84"/>
      <c r="D9524" s="116"/>
      <c r="E9524" s="116"/>
    </row>
    <row r="9525" spans="1:5" x14ac:dyDescent="0.25">
      <c r="A9525" s="83"/>
      <c r="B9525" s="84"/>
      <c r="C9525" s="84"/>
      <c r="D9525" s="116"/>
      <c r="E9525" s="116"/>
    </row>
    <row r="9526" spans="1:5" x14ac:dyDescent="0.25">
      <c r="A9526" s="83"/>
      <c r="B9526" s="84"/>
      <c r="C9526" s="84"/>
      <c r="D9526" s="116"/>
      <c r="E9526" s="116"/>
    </row>
    <row r="9527" spans="1:5" x14ac:dyDescent="0.25">
      <c r="A9527" s="83"/>
      <c r="B9527" s="84"/>
      <c r="C9527" s="84"/>
      <c r="D9527" s="116"/>
      <c r="E9527" s="116"/>
    </row>
    <row r="9528" spans="1:5" x14ac:dyDescent="0.25">
      <c r="A9528" s="83"/>
      <c r="B9528" s="84"/>
      <c r="C9528" s="84"/>
      <c r="D9528" s="116"/>
      <c r="E9528" s="116"/>
    </row>
    <row r="9529" spans="1:5" x14ac:dyDescent="0.25">
      <c r="A9529" s="83"/>
      <c r="B9529" s="84"/>
      <c r="C9529" s="84"/>
      <c r="D9529" s="116"/>
      <c r="E9529" s="116"/>
    </row>
    <row r="9530" spans="1:5" x14ac:dyDescent="0.25">
      <c r="A9530" s="83"/>
      <c r="B9530" s="84"/>
      <c r="C9530" s="84"/>
      <c r="D9530" s="116"/>
      <c r="E9530" s="116"/>
    </row>
    <row r="9531" spans="1:5" x14ac:dyDescent="0.25">
      <c r="A9531" s="83"/>
      <c r="B9531" s="84"/>
      <c r="C9531" s="84"/>
      <c r="D9531" s="116"/>
      <c r="E9531" s="116"/>
    </row>
    <row r="9532" spans="1:5" x14ac:dyDescent="0.25">
      <c r="A9532" s="83"/>
      <c r="B9532" s="84"/>
      <c r="C9532" s="84"/>
      <c r="D9532" s="116"/>
      <c r="E9532" s="116"/>
    </row>
    <row r="9533" spans="1:5" x14ac:dyDescent="0.25">
      <c r="A9533" s="83"/>
      <c r="B9533" s="84"/>
      <c r="C9533" s="84"/>
      <c r="D9533" s="116"/>
      <c r="E9533" s="116"/>
    </row>
    <row r="9534" spans="1:5" x14ac:dyDescent="0.25">
      <c r="A9534" s="83"/>
      <c r="B9534" s="84"/>
      <c r="C9534" s="84"/>
      <c r="D9534" s="116"/>
      <c r="E9534" s="116"/>
    </row>
    <row r="9535" spans="1:5" x14ac:dyDescent="0.25">
      <c r="A9535" s="83"/>
      <c r="B9535" s="84"/>
      <c r="C9535" s="84"/>
      <c r="D9535" s="116"/>
      <c r="E9535" s="116"/>
    </row>
    <row r="9536" spans="1:5" x14ac:dyDescent="0.25">
      <c r="A9536" s="83"/>
      <c r="B9536" s="84"/>
      <c r="C9536" s="84"/>
      <c r="D9536" s="116"/>
      <c r="E9536" s="116"/>
    </row>
    <row r="9537" spans="1:5" x14ac:dyDescent="0.25">
      <c r="A9537" s="83"/>
      <c r="B9537" s="84"/>
      <c r="C9537" s="84"/>
      <c r="D9537" s="116"/>
      <c r="E9537" s="116"/>
    </row>
    <row r="9538" spans="1:5" x14ac:dyDescent="0.25">
      <c r="A9538" s="83"/>
      <c r="B9538" s="84"/>
      <c r="C9538" s="84"/>
      <c r="D9538" s="116"/>
      <c r="E9538" s="116"/>
    </row>
    <row r="9539" spans="1:5" x14ac:dyDescent="0.25">
      <c r="A9539" s="83"/>
      <c r="B9539" s="84"/>
      <c r="C9539" s="84"/>
      <c r="D9539" s="116"/>
      <c r="E9539" s="116"/>
    </row>
    <row r="9540" spans="1:5" x14ac:dyDescent="0.25">
      <c r="A9540" s="83"/>
      <c r="B9540" s="84"/>
      <c r="C9540" s="84"/>
      <c r="D9540" s="116"/>
      <c r="E9540" s="116"/>
    </row>
    <row r="9541" spans="1:5" x14ac:dyDescent="0.25">
      <c r="A9541" s="83"/>
      <c r="B9541" s="84"/>
      <c r="C9541" s="84"/>
      <c r="D9541" s="116"/>
      <c r="E9541" s="116"/>
    </row>
    <row r="9542" spans="1:5" x14ac:dyDescent="0.25">
      <c r="A9542" s="83"/>
      <c r="B9542" s="84"/>
      <c r="C9542" s="84"/>
      <c r="D9542" s="116"/>
      <c r="E9542" s="116"/>
    </row>
    <row r="9543" spans="1:5" x14ac:dyDescent="0.25">
      <c r="A9543" s="83"/>
      <c r="B9543" s="84"/>
      <c r="C9543" s="84"/>
      <c r="D9543" s="116"/>
      <c r="E9543" s="116"/>
    </row>
    <row r="9544" spans="1:5" x14ac:dyDescent="0.25">
      <c r="A9544" s="83"/>
      <c r="B9544" s="84"/>
      <c r="C9544" s="84"/>
      <c r="D9544" s="116"/>
      <c r="E9544" s="116"/>
    </row>
    <row r="9545" spans="1:5" x14ac:dyDescent="0.25">
      <c r="A9545" s="83"/>
      <c r="B9545" s="84"/>
      <c r="C9545" s="84"/>
      <c r="D9545" s="116"/>
      <c r="E9545" s="116"/>
    </row>
    <row r="9546" spans="1:5" x14ac:dyDescent="0.25">
      <c r="A9546" s="83"/>
      <c r="B9546" s="84"/>
      <c r="C9546" s="84"/>
      <c r="D9546" s="116"/>
      <c r="E9546" s="116"/>
    </row>
    <row r="9547" spans="1:5" x14ac:dyDescent="0.25">
      <c r="A9547" s="83"/>
      <c r="B9547" s="84"/>
      <c r="C9547" s="84"/>
      <c r="D9547" s="116"/>
      <c r="E9547" s="116"/>
    </row>
    <row r="9548" spans="1:5" x14ac:dyDescent="0.25">
      <c r="A9548" s="83"/>
      <c r="B9548" s="84"/>
      <c r="C9548" s="84"/>
      <c r="D9548" s="116"/>
      <c r="E9548" s="116"/>
    </row>
    <row r="9549" spans="1:5" x14ac:dyDescent="0.25">
      <c r="A9549" s="83"/>
      <c r="B9549" s="84"/>
      <c r="C9549" s="84"/>
      <c r="D9549" s="116"/>
      <c r="E9549" s="116"/>
    </row>
    <row r="9550" spans="1:5" x14ac:dyDescent="0.25">
      <c r="A9550" s="83"/>
      <c r="B9550" s="84"/>
      <c r="C9550" s="84"/>
      <c r="D9550" s="116"/>
      <c r="E9550" s="116"/>
    </row>
    <row r="9551" spans="1:5" x14ac:dyDescent="0.25">
      <c r="A9551" s="83"/>
      <c r="B9551" s="84"/>
      <c r="C9551" s="84"/>
      <c r="D9551" s="116"/>
      <c r="E9551" s="116"/>
    </row>
    <row r="9552" spans="1:5" x14ac:dyDescent="0.25">
      <c r="A9552" s="83"/>
      <c r="B9552" s="84"/>
      <c r="C9552" s="84"/>
      <c r="D9552" s="116"/>
      <c r="E9552" s="116"/>
    </row>
    <row r="9553" spans="1:5" x14ac:dyDescent="0.25">
      <c r="A9553" s="83"/>
      <c r="B9553" s="84"/>
      <c r="C9553" s="84"/>
      <c r="D9553" s="116"/>
      <c r="E9553" s="116"/>
    </row>
    <row r="9554" spans="1:5" x14ac:dyDescent="0.25">
      <c r="A9554" s="83"/>
      <c r="B9554" s="84"/>
      <c r="C9554" s="84"/>
      <c r="D9554" s="116"/>
      <c r="E9554" s="116"/>
    </row>
    <row r="9555" spans="1:5" x14ac:dyDescent="0.25">
      <c r="A9555" s="83"/>
      <c r="B9555" s="84"/>
      <c r="C9555" s="84"/>
      <c r="D9555" s="116"/>
      <c r="E9555" s="116"/>
    </row>
    <row r="9556" spans="1:5" x14ac:dyDescent="0.25">
      <c r="A9556" s="83"/>
      <c r="B9556" s="84"/>
      <c r="C9556" s="84"/>
      <c r="D9556" s="116"/>
      <c r="E9556" s="116"/>
    </row>
    <row r="9557" spans="1:5" x14ac:dyDescent="0.25">
      <c r="A9557" s="83"/>
      <c r="B9557" s="84"/>
      <c r="C9557" s="84"/>
      <c r="D9557" s="116"/>
      <c r="E9557" s="116"/>
    </row>
    <row r="9558" spans="1:5" x14ac:dyDescent="0.25">
      <c r="A9558" s="83"/>
      <c r="B9558" s="84"/>
      <c r="C9558" s="84"/>
      <c r="D9558" s="116"/>
      <c r="E9558" s="116"/>
    </row>
    <row r="9559" spans="1:5" x14ac:dyDescent="0.25">
      <c r="A9559" s="83"/>
      <c r="B9559" s="84"/>
      <c r="C9559" s="84"/>
      <c r="D9559" s="116"/>
      <c r="E9559" s="116"/>
    </row>
    <row r="9560" spans="1:5" x14ac:dyDescent="0.25">
      <c r="A9560" s="83"/>
      <c r="B9560" s="84"/>
      <c r="C9560" s="84"/>
      <c r="D9560" s="116"/>
      <c r="E9560" s="116"/>
    </row>
    <row r="9561" spans="1:5" x14ac:dyDescent="0.25">
      <c r="A9561" s="83"/>
      <c r="B9561" s="84"/>
      <c r="C9561" s="84"/>
      <c r="D9561" s="116"/>
      <c r="E9561" s="116"/>
    </row>
    <row r="9562" spans="1:5" x14ac:dyDescent="0.25">
      <c r="A9562" s="83"/>
      <c r="B9562" s="84"/>
      <c r="C9562" s="84"/>
      <c r="D9562" s="116"/>
      <c r="E9562" s="116"/>
    </row>
    <row r="9563" spans="1:5" x14ac:dyDescent="0.25">
      <c r="A9563" s="83"/>
      <c r="B9563" s="84"/>
      <c r="C9563" s="84"/>
      <c r="D9563" s="116"/>
      <c r="E9563" s="116"/>
    </row>
    <row r="9564" spans="1:5" x14ac:dyDescent="0.25">
      <c r="A9564" s="83"/>
      <c r="B9564" s="84"/>
      <c r="C9564" s="84"/>
      <c r="D9564" s="116"/>
      <c r="E9564" s="116"/>
    </row>
    <row r="9565" spans="1:5" x14ac:dyDescent="0.25">
      <c r="A9565" s="83"/>
      <c r="B9565" s="84"/>
      <c r="C9565" s="84"/>
      <c r="D9565" s="116"/>
      <c r="E9565" s="116"/>
    </row>
    <row r="9566" spans="1:5" x14ac:dyDescent="0.25">
      <c r="A9566" s="83"/>
      <c r="B9566" s="84"/>
      <c r="C9566" s="84"/>
      <c r="D9566" s="116"/>
      <c r="E9566" s="116"/>
    </row>
    <row r="9567" spans="1:5" x14ac:dyDescent="0.25">
      <c r="A9567" s="83"/>
      <c r="B9567" s="84"/>
      <c r="C9567" s="84"/>
      <c r="D9567" s="116"/>
      <c r="E9567" s="116"/>
    </row>
    <row r="9568" spans="1:5" x14ac:dyDescent="0.25">
      <c r="A9568" s="83"/>
      <c r="B9568" s="84"/>
      <c r="C9568" s="84"/>
      <c r="D9568" s="116"/>
      <c r="E9568" s="116"/>
    </row>
    <row r="9569" spans="1:5" x14ac:dyDescent="0.25">
      <c r="A9569" s="83"/>
      <c r="B9569" s="84"/>
      <c r="C9569" s="84"/>
      <c r="D9569" s="116"/>
      <c r="E9569" s="116"/>
    </row>
    <row r="9570" spans="1:5" x14ac:dyDescent="0.25">
      <c r="A9570" s="83"/>
      <c r="B9570" s="84"/>
      <c r="C9570" s="84"/>
      <c r="D9570" s="116"/>
      <c r="E9570" s="116"/>
    </row>
    <row r="9571" spans="1:5" x14ac:dyDescent="0.25">
      <c r="A9571" s="83"/>
      <c r="B9571" s="84"/>
      <c r="C9571" s="84"/>
      <c r="D9571" s="116"/>
      <c r="E9571" s="116"/>
    </row>
    <row r="9572" spans="1:5" x14ac:dyDescent="0.25">
      <c r="A9572" s="83"/>
      <c r="B9572" s="84"/>
      <c r="C9572" s="84"/>
      <c r="D9572" s="116"/>
      <c r="E9572" s="116"/>
    </row>
    <row r="9573" spans="1:5" x14ac:dyDescent="0.25">
      <c r="A9573" s="83"/>
      <c r="B9573" s="84"/>
      <c r="C9573" s="84"/>
      <c r="D9573" s="116"/>
      <c r="E9573" s="116"/>
    </row>
    <row r="9574" spans="1:5" x14ac:dyDescent="0.25">
      <c r="A9574" s="83"/>
      <c r="B9574" s="84"/>
      <c r="C9574" s="84"/>
      <c r="D9574" s="116"/>
      <c r="E9574" s="116"/>
    </row>
    <row r="9575" spans="1:5" x14ac:dyDescent="0.25">
      <c r="A9575" s="83"/>
      <c r="B9575" s="84"/>
      <c r="C9575" s="84"/>
      <c r="D9575" s="116"/>
      <c r="E9575" s="116"/>
    </row>
    <row r="9576" spans="1:5" x14ac:dyDescent="0.25">
      <c r="A9576" s="83"/>
      <c r="B9576" s="84"/>
      <c r="C9576" s="84"/>
      <c r="D9576" s="116"/>
      <c r="E9576" s="116"/>
    </row>
    <row r="9577" spans="1:5" x14ac:dyDescent="0.25">
      <c r="A9577" s="83"/>
      <c r="B9577" s="84"/>
      <c r="C9577" s="84"/>
      <c r="D9577" s="116"/>
      <c r="E9577" s="116"/>
    </row>
    <row r="9578" spans="1:5" x14ac:dyDescent="0.25">
      <c r="A9578" s="83"/>
      <c r="B9578" s="84"/>
      <c r="C9578" s="84"/>
      <c r="D9578" s="116"/>
      <c r="E9578" s="116"/>
    </row>
    <row r="9579" spans="1:5" x14ac:dyDescent="0.25">
      <c r="A9579" s="83"/>
      <c r="B9579" s="84"/>
      <c r="C9579" s="84"/>
      <c r="D9579" s="116"/>
      <c r="E9579" s="116"/>
    </row>
    <row r="9580" spans="1:5" x14ac:dyDescent="0.25">
      <c r="A9580" s="83"/>
      <c r="B9580" s="84"/>
      <c r="C9580" s="84"/>
      <c r="D9580" s="116"/>
      <c r="E9580" s="116"/>
    </row>
    <row r="9581" spans="1:5" x14ac:dyDescent="0.25">
      <c r="A9581" s="83"/>
      <c r="B9581" s="84"/>
      <c r="C9581" s="84"/>
      <c r="D9581" s="116"/>
      <c r="E9581" s="116"/>
    </row>
    <row r="9582" spans="1:5" x14ac:dyDescent="0.25">
      <c r="A9582" s="83"/>
      <c r="B9582" s="84"/>
      <c r="C9582" s="84"/>
      <c r="D9582" s="116"/>
      <c r="E9582" s="116"/>
    </row>
    <row r="9583" spans="1:5" x14ac:dyDescent="0.25">
      <c r="A9583" s="83"/>
      <c r="B9583" s="84"/>
      <c r="C9583" s="84"/>
      <c r="D9583" s="116"/>
      <c r="E9583" s="116"/>
    </row>
    <row r="9584" spans="1:5" x14ac:dyDescent="0.25">
      <c r="A9584" s="83"/>
      <c r="B9584" s="84"/>
      <c r="C9584" s="84"/>
      <c r="D9584" s="116"/>
      <c r="E9584" s="116"/>
    </row>
    <row r="9585" spans="1:5" x14ac:dyDescent="0.25">
      <c r="A9585" s="83"/>
      <c r="B9585" s="84"/>
      <c r="C9585" s="84"/>
      <c r="D9585" s="116"/>
      <c r="E9585" s="116"/>
    </row>
    <row r="9586" spans="1:5" x14ac:dyDescent="0.25">
      <c r="A9586" s="83"/>
      <c r="B9586" s="84"/>
      <c r="C9586" s="84"/>
      <c r="D9586" s="116"/>
      <c r="E9586" s="116"/>
    </row>
    <row r="9587" spans="1:5" x14ac:dyDescent="0.25">
      <c r="A9587" s="83"/>
      <c r="B9587" s="84"/>
      <c r="C9587" s="84"/>
      <c r="D9587" s="116"/>
      <c r="E9587" s="116"/>
    </row>
    <row r="9588" spans="1:5" x14ac:dyDescent="0.25">
      <c r="A9588" s="83"/>
      <c r="B9588" s="84"/>
      <c r="C9588" s="84"/>
      <c r="D9588" s="116"/>
      <c r="E9588" s="116"/>
    </row>
    <row r="9589" spans="1:5" x14ac:dyDescent="0.25">
      <c r="A9589" s="83"/>
      <c r="B9589" s="84"/>
      <c r="C9589" s="84"/>
      <c r="D9589" s="116"/>
      <c r="E9589" s="116"/>
    </row>
    <row r="9590" spans="1:5" x14ac:dyDescent="0.25">
      <c r="A9590" s="83"/>
      <c r="B9590" s="84"/>
      <c r="C9590" s="84"/>
      <c r="D9590" s="116"/>
      <c r="E9590" s="116"/>
    </row>
    <row r="9591" spans="1:5" x14ac:dyDescent="0.25">
      <c r="A9591" s="83"/>
      <c r="B9591" s="84"/>
      <c r="C9591" s="84"/>
      <c r="D9591" s="116"/>
      <c r="E9591" s="116"/>
    </row>
    <row r="9592" spans="1:5" x14ac:dyDescent="0.25">
      <c r="A9592" s="83"/>
      <c r="B9592" s="84"/>
      <c r="C9592" s="84"/>
      <c r="D9592" s="116"/>
      <c r="E9592" s="116"/>
    </row>
    <row r="9593" spans="1:5" x14ac:dyDescent="0.25">
      <c r="A9593" s="83"/>
      <c r="B9593" s="84"/>
      <c r="C9593" s="84"/>
      <c r="D9593" s="116"/>
      <c r="E9593" s="116"/>
    </row>
    <row r="9594" spans="1:5" x14ac:dyDescent="0.25">
      <c r="A9594" s="83"/>
      <c r="B9594" s="84"/>
      <c r="C9594" s="84"/>
      <c r="D9594" s="116"/>
      <c r="E9594" s="116"/>
    </row>
    <row r="9595" spans="1:5" x14ac:dyDescent="0.25">
      <c r="A9595" s="83"/>
      <c r="B9595" s="84"/>
      <c r="C9595" s="84"/>
      <c r="D9595" s="116"/>
      <c r="E9595" s="116"/>
    </row>
    <row r="9596" spans="1:5" x14ac:dyDescent="0.25">
      <c r="A9596" s="83"/>
      <c r="B9596" s="84"/>
      <c r="C9596" s="84"/>
      <c r="D9596" s="116"/>
      <c r="E9596" s="116"/>
    </row>
    <row r="9597" spans="1:5" x14ac:dyDescent="0.25">
      <c r="A9597" s="83"/>
      <c r="B9597" s="84"/>
      <c r="C9597" s="84"/>
      <c r="D9597" s="116"/>
      <c r="E9597" s="116"/>
    </row>
    <row r="9598" spans="1:5" x14ac:dyDescent="0.25">
      <c r="A9598" s="83"/>
      <c r="B9598" s="84"/>
      <c r="C9598" s="84"/>
      <c r="D9598" s="116"/>
      <c r="E9598" s="116"/>
    </row>
    <row r="9599" spans="1:5" x14ac:dyDescent="0.25">
      <c r="A9599" s="83"/>
      <c r="B9599" s="84"/>
      <c r="C9599" s="84"/>
      <c r="D9599" s="116"/>
      <c r="E9599" s="116"/>
    </row>
    <row r="9600" spans="1:5" x14ac:dyDescent="0.25">
      <c r="A9600" s="83"/>
      <c r="B9600" s="84"/>
      <c r="C9600" s="84"/>
      <c r="D9600" s="116"/>
      <c r="E9600" s="116"/>
    </row>
    <row r="9601" spans="1:5" x14ac:dyDescent="0.25">
      <c r="A9601" s="83"/>
      <c r="B9601" s="84"/>
      <c r="C9601" s="84"/>
      <c r="D9601" s="116"/>
      <c r="E9601" s="116"/>
    </row>
    <row r="9602" spans="1:5" x14ac:dyDescent="0.25">
      <c r="A9602" s="83"/>
      <c r="B9602" s="84"/>
      <c r="C9602" s="84"/>
      <c r="D9602" s="116"/>
      <c r="E9602" s="116"/>
    </row>
    <row r="9603" spans="1:5" x14ac:dyDescent="0.25">
      <c r="A9603" s="83"/>
      <c r="B9603" s="84"/>
      <c r="C9603" s="84"/>
      <c r="D9603" s="116"/>
      <c r="E9603" s="116"/>
    </row>
    <row r="9604" spans="1:5" x14ac:dyDescent="0.25">
      <c r="A9604" s="83"/>
      <c r="B9604" s="84"/>
      <c r="C9604" s="84"/>
      <c r="D9604" s="116"/>
      <c r="E9604" s="116"/>
    </row>
    <row r="9605" spans="1:5" x14ac:dyDescent="0.25">
      <c r="A9605" s="83"/>
      <c r="B9605" s="84"/>
      <c r="C9605" s="84"/>
      <c r="D9605" s="116"/>
      <c r="E9605" s="116"/>
    </row>
    <row r="9606" spans="1:5" x14ac:dyDescent="0.25">
      <c r="A9606" s="83"/>
      <c r="B9606" s="84"/>
      <c r="C9606" s="84"/>
      <c r="D9606" s="116"/>
      <c r="E9606" s="116"/>
    </row>
    <row r="9607" spans="1:5" x14ac:dyDescent="0.25">
      <c r="A9607" s="83"/>
      <c r="B9607" s="84"/>
      <c r="C9607" s="84"/>
      <c r="D9607" s="116"/>
      <c r="E9607" s="116"/>
    </row>
    <row r="9608" spans="1:5" x14ac:dyDescent="0.25">
      <c r="A9608" s="83"/>
      <c r="B9608" s="84"/>
      <c r="C9608" s="84"/>
      <c r="D9608" s="116"/>
      <c r="E9608" s="116"/>
    </row>
    <row r="9609" spans="1:5" x14ac:dyDescent="0.25">
      <c r="A9609" s="83"/>
      <c r="B9609" s="84"/>
      <c r="C9609" s="84"/>
      <c r="D9609" s="116"/>
      <c r="E9609" s="116"/>
    </row>
    <row r="9610" spans="1:5" x14ac:dyDescent="0.25">
      <c r="A9610" s="83"/>
      <c r="B9610" s="84"/>
      <c r="C9610" s="84"/>
      <c r="D9610" s="116"/>
      <c r="E9610" s="116"/>
    </row>
    <row r="9611" spans="1:5" x14ac:dyDescent="0.25">
      <c r="A9611" s="83"/>
      <c r="B9611" s="84"/>
      <c r="C9611" s="84"/>
      <c r="D9611" s="116"/>
      <c r="E9611" s="116"/>
    </row>
    <row r="9612" spans="1:5" x14ac:dyDescent="0.25">
      <c r="A9612" s="83"/>
      <c r="B9612" s="84"/>
      <c r="C9612" s="84"/>
      <c r="D9612" s="116"/>
      <c r="E9612" s="116"/>
    </row>
    <row r="9613" spans="1:5" x14ac:dyDescent="0.25">
      <c r="A9613" s="83"/>
      <c r="B9613" s="84"/>
      <c r="C9613" s="84"/>
      <c r="D9613" s="116"/>
      <c r="E9613" s="116"/>
    </row>
    <row r="9614" spans="1:5" x14ac:dyDescent="0.25">
      <c r="A9614" s="83"/>
      <c r="B9614" s="84"/>
      <c r="C9614" s="84"/>
      <c r="D9614" s="116"/>
      <c r="E9614" s="116"/>
    </row>
    <row r="9615" spans="1:5" x14ac:dyDescent="0.25">
      <c r="A9615" s="83"/>
      <c r="B9615" s="84"/>
      <c r="C9615" s="84"/>
      <c r="D9615" s="116"/>
      <c r="E9615" s="116"/>
    </row>
    <row r="9616" spans="1:5" x14ac:dyDescent="0.25">
      <c r="A9616" s="83"/>
      <c r="B9616" s="84"/>
      <c r="C9616" s="84"/>
      <c r="D9616" s="116"/>
      <c r="E9616" s="116"/>
    </row>
    <row r="9617" spans="1:5" x14ac:dyDescent="0.25">
      <c r="A9617" s="83"/>
      <c r="B9617" s="84"/>
      <c r="C9617" s="84"/>
      <c r="D9617" s="116"/>
      <c r="E9617" s="116"/>
    </row>
    <row r="9618" spans="1:5" x14ac:dyDescent="0.25">
      <c r="A9618" s="83"/>
      <c r="B9618" s="84"/>
      <c r="C9618" s="84"/>
      <c r="D9618" s="116"/>
      <c r="E9618" s="116"/>
    </row>
    <row r="9619" spans="1:5" x14ac:dyDescent="0.25">
      <c r="A9619" s="83"/>
      <c r="B9619" s="84"/>
      <c r="C9619" s="84"/>
      <c r="D9619" s="116"/>
      <c r="E9619" s="116"/>
    </row>
    <row r="9620" spans="1:5" x14ac:dyDescent="0.25">
      <c r="A9620" s="83"/>
      <c r="B9620" s="84"/>
      <c r="C9620" s="84"/>
      <c r="D9620" s="116"/>
      <c r="E9620" s="116"/>
    </row>
    <row r="9621" spans="1:5" x14ac:dyDescent="0.25">
      <c r="A9621" s="83"/>
      <c r="B9621" s="84"/>
      <c r="C9621" s="84"/>
      <c r="D9621" s="116"/>
      <c r="E9621" s="116"/>
    </row>
    <row r="9622" spans="1:5" x14ac:dyDescent="0.25">
      <c r="A9622" s="83"/>
      <c r="B9622" s="84"/>
      <c r="C9622" s="84"/>
      <c r="D9622" s="116"/>
      <c r="E9622" s="116"/>
    </row>
    <row r="9623" spans="1:5" x14ac:dyDescent="0.25">
      <c r="A9623" s="83"/>
      <c r="B9623" s="84"/>
      <c r="C9623" s="84"/>
      <c r="D9623" s="116"/>
      <c r="E9623" s="116"/>
    </row>
    <row r="9624" spans="1:5" x14ac:dyDescent="0.25">
      <c r="A9624" s="83"/>
      <c r="B9624" s="84"/>
      <c r="C9624" s="84"/>
      <c r="D9624" s="116"/>
      <c r="E9624" s="116"/>
    </row>
    <row r="9625" spans="1:5" x14ac:dyDescent="0.25">
      <c r="A9625" s="83"/>
      <c r="B9625" s="84"/>
      <c r="C9625" s="84"/>
      <c r="D9625" s="116"/>
      <c r="E9625" s="116"/>
    </row>
    <row r="9626" spans="1:5" x14ac:dyDescent="0.25">
      <c r="A9626" s="83"/>
      <c r="B9626" s="84"/>
      <c r="C9626" s="84"/>
      <c r="D9626" s="116"/>
      <c r="E9626" s="116"/>
    </row>
    <row r="9627" spans="1:5" x14ac:dyDescent="0.25">
      <c r="A9627" s="83"/>
      <c r="B9627" s="84"/>
      <c r="C9627" s="84"/>
      <c r="D9627" s="116"/>
      <c r="E9627" s="116"/>
    </row>
    <row r="9628" spans="1:5" x14ac:dyDescent="0.25">
      <c r="A9628" s="83"/>
      <c r="B9628" s="84"/>
      <c r="C9628" s="84"/>
      <c r="D9628" s="116"/>
      <c r="E9628" s="116"/>
    </row>
    <row r="9629" spans="1:5" x14ac:dyDescent="0.25">
      <c r="A9629" s="83"/>
      <c r="B9629" s="84"/>
      <c r="C9629" s="84"/>
      <c r="D9629" s="116"/>
      <c r="E9629" s="116"/>
    </row>
    <row r="9630" spans="1:5" x14ac:dyDescent="0.25">
      <c r="A9630" s="83"/>
      <c r="B9630" s="84"/>
      <c r="C9630" s="84"/>
      <c r="D9630" s="116"/>
      <c r="E9630" s="116"/>
    </row>
    <row r="9631" spans="1:5" x14ac:dyDescent="0.25">
      <c r="A9631" s="83"/>
      <c r="B9631" s="84"/>
      <c r="C9631" s="84"/>
      <c r="D9631" s="116"/>
      <c r="E9631" s="116"/>
    </row>
    <row r="9632" spans="1:5" x14ac:dyDescent="0.25">
      <c r="A9632" s="83"/>
      <c r="B9632" s="84"/>
      <c r="C9632" s="84"/>
      <c r="D9632" s="116"/>
      <c r="E9632" s="116"/>
    </row>
    <row r="9633" spans="1:5" x14ac:dyDescent="0.25">
      <c r="A9633" s="83"/>
      <c r="B9633" s="84"/>
      <c r="C9633" s="84"/>
      <c r="D9633" s="116"/>
      <c r="E9633" s="116"/>
    </row>
    <row r="9634" spans="1:5" x14ac:dyDescent="0.25">
      <c r="A9634" s="83"/>
      <c r="B9634" s="84"/>
      <c r="C9634" s="84"/>
      <c r="D9634" s="116"/>
      <c r="E9634" s="116"/>
    </row>
    <row r="9635" spans="1:5" x14ac:dyDescent="0.25">
      <c r="A9635" s="83"/>
      <c r="B9635" s="84"/>
      <c r="C9635" s="84"/>
      <c r="D9635" s="116"/>
      <c r="E9635" s="116"/>
    </row>
    <row r="9636" spans="1:5" x14ac:dyDescent="0.25">
      <c r="A9636" s="83"/>
      <c r="B9636" s="84"/>
      <c r="C9636" s="84"/>
      <c r="D9636" s="116"/>
      <c r="E9636" s="116"/>
    </row>
    <row r="9637" spans="1:5" x14ac:dyDescent="0.25">
      <c r="A9637" s="83"/>
      <c r="B9637" s="84"/>
      <c r="C9637" s="84"/>
      <c r="D9637" s="116"/>
      <c r="E9637" s="116"/>
    </row>
    <row r="9638" spans="1:5" x14ac:dyDescent="0.25">
      <c r="A9638" s="83"/>
      <c r="B9638" s="84"/>
      <c r="C9638" s="84"/>
      <c r="D9638" s="116"/>
      <c r="E9638" s="116"/>
    </row>
    <row r="9639" spans="1:5" x14ac:dyDescent="0.25">
      <c r="A9639" s="83"/>
      <c r="B9639" s="84"/>
      <c r="C9639" s="84"/>
      <c r="D9639" s="116"/>
      <c r="E9639" s="116"/>
    </row>
    <row r="9640" spans="1:5" x14ac:dyDescent="0.25">
      <c r="A9640" s="83"/>
      <c r="B9640" s="84"/>
      <c r="C9640" s="84"/>
      <c r="D9640" s="116"/>
      <c r="E9640" s="116"/>
    </row>
    <row r="9641" spans="1:5" x14ac:dyDescent="0.25">
      <c r="A9641" s="83"/>
      <c r="B9641" s="84"/>
      <c r="C9641" s="84"/>
      <c r="D9641" s="116"/>
      <c r="E9641" s="116"/>
    </row>
    <row r="9642" spans="1:5" x14ac:dyDescent="0.25">
      <c r="A9642" s="83"/>
      <c r="B9642" s="84"/>
      <c r="C9642" s="84"/>
      <c r="D9642" s="116"/>
      <c r="E9642" s="116"/>
    </row>
    <row r="9643" spans="1:5" x14ac:dyDescent="0.25">
      <c r="A9643" s="83"/>
      <c r="B9643" s="84"/>
      <c r="C9643" s="84"/>
      <c r="D9643" s="116"/>
      <c r="E9643" s="116"/>
    </row>
    <row r="9644" spans="1:5" x14ac:dyDescent="0.25">
      <c r="A9644" s="83"/>
      <c r="B9644" s="84"/>
      <c r="C9644" s="84"/>
      <c r="D9644" s="116"/>
      <c r="E9644" s="116"/>
    </row>
    <row r="9645" spans="1:5" x14ac:dyDescent="0.25">
      <c r="A9645" s="83"/>
      <c r="B9645" s="84"/>
      <c r="C9645" s="84"/>
      <c r="D9645" s="116"/>
      <c r="E9645" s="116"/>
    </row>
    <row r="9646" spans="1:5" x14ac:dyDescent="0.25">
      <c r="A9646" s="83"/>
      <c r="B9646" s="84"/>
      <c r="C9646" s="84"/>
      <c r="D9646" s="116"/>
      <c r="E9646" s="116"/>
    </row>
    <row r="9647" spans="1:5" x14ac:dyDescent="0.25">
      <c r="A9647" s="83"/>
      <c r="B9647" s="84"/>
      <c r="C9647" s="84"/>
      <c r="D9647" s="116"/>
      <c r="E9647" s="116"/>
    </row>
    <row r="9648" spans="1:5" x14ac:dyDescent="0.25">
      <c r="A9648" s="83"/>
      <c r="B9648" s="84"/>
      <c r="C9648" s="84"/>
      <c r="D9648" s="116"/>
      <c r="E9648" s="116"/>
    </row>
    <row r="9649" spans="1:5" x14ac:dyDescent="0.25">
      <c r="A9649" s="83"/>
      <c r="B9649" s="84"/>
      <c r="C9649" s="84"/>
      <c r="D9649" s="116"/>
      <c r="E9649" s="116"/>
    </row>
    <row r="9650" spans="1:5" x14ac:dyDescent="0.25">
      <c r="A9650" s="83"/>
      <c r="B9650" s="84"/>
      <c r="C9650" s="84"/>
      <c r="D9650" s="116"/>
      <c r="E9650" s="116"/>
    </row>
    <row r="9651" spans="1:5" x14ac:dyDescent="0.25">
      <c r="A9651" s="83"/>
      <c r="B9651" s="84"/>
      <c r="C9651" s="84"/>
      <c r="D9651" s="116"/>
      <c r="E9651" s="116"/>
    </row>
    <row r="9652" spans="1:5" x14ac:dyDescent="0.25">
      <c r="A9652" s="83"/>
      <c r="B9652" s="84"/>
      <c r="C9652" s="84"/>
      <c r="D9652" s="116"/>
      <c r="E9652" s="116"/>
    </row>
    <row r="9653" spans="1:5" x14ac:dyDescent="0.25">
      <c r="A9653" s="83"/>
      <c r="B9653" s="84"/>
      <c r="C9653" s="84"/>
      <c r="D9653" s="116"/>
      <c r="E9653" s="116"/>
    </row>
    <row r="9654" spans="1:5" x14ac:dyDescent="0.25">
      <c r="A9654" s="83"/>
      <c r="B9654" s="84"/>
      <c r="C9654" s="84"/>
      <c r="D9654" s="116"/>
      <c r="E9654" s="116"/>
    </row>
    <row r="9655" spans="1:5" x14ac:dyDescent="0.25">
      <c r="A9655" s="83"/>
      <c r="B9655" s="84"/>
      <c r="C9655" s="84"/>
      <c r="D9655" s="116"/>
      <c r="E9655" s="116"/>
    </row>
    <row r="9656" spans="1:5" x14ac:dyDescent="0.25">
      <c r="A9656" s="83"/>
      <c r="B9656" s="84"/>
      <c r="C9656" s="84"/>
      <c r="D9656" s="116"/>
      <c r="E9656" s="116"/>
    </row>
    <row r="9657" spans="1:5" x14ac:dyDescent="0.25">
      <c r="A9657" s="83"/>
      <c r="B9657" s="84"/>
      <c r="C9657" s="84"/>
      <c r="D9657" s="116"/>
      <c r="E9657" s="116"/>
    </row>
    <row r="9658" spans="1:5" x14ac:dyDescent="0.25">
      <c r="A9658" s="83"/>
      <c r="B9658" s="84"/>
      <c r="C9658" s="84"/>
      <c r="D9658" s="116"/>
      <c r="E9658" s="116"/>
    </row>
    <row r="9659" spans="1:5" x14ac:dyDescent="0.25">
      <c r="A9659" s="83"/>
      <c r="B9659" s="84"/>
      <c r="C9659" s="84"/>
      <c r="D9659" s="116"/>
      <c r="E9659" s="116"/>
    </row>
    <row r="9660" spans="1:5" x14ac:dyDescent="0.25">
      <c r="A9660" s="83"/>
      <c r="B9660" s="84"/>
      <c r="C9660" s="84"/>
      <c r="D9660" s="116"/>
      <c r="E9660" s="116"/>
    </row>
    <row r="9661" spans="1:5" x14ac:dyDescent="0.25">
      <c r="A9661" s="83"/>
      <c r="B9661" s="84"/>
      <c r="C9661" s="84"/>
      <c r="D9661" s="116"/>
      <c r="E9661" s="116"/>
    </row>
    <row r="9662" spans="1:5" x14ac:dyDescent="0.25">
      <c r="A9662" s="83"/>
      <c r="B9662" s="84"/>
      <c r="C9662" s="84"/>
      <c r="D9662" s="116"/>
      <c r="E9662" s="116"/>
    </row>
    <row r="9663" spans="1:5" x14ac:dyDescent="0.25">
      <c r="A9663" s="83"/>
      <c r="B9663" s="84"/>
      <c r="C9663" s="84"/>
      <c r="D9663" s="116"/>
      <c r="E9663" s="116"/>
    </row>
    <row r="9664" spans="1:5" x14ac:dyDescent="0.25">
      <c r="A9664" s="83"/>
      <c r="B9664" s="84"/>
      <c r="C9664" s="84"/>
      <c r="D9664" s="116"/>
      <c r="E9664" s="116"/>
    </row>
    <row r="9665" spans="1:5" x14ac:dyDescent="0.25">
      <c r="A9665" s="83"/>
      <c r="B9665" s="84"/>
      <c r="C9665" s="84"/>
      <c r="D9665" s="116"/>
      <c r="E9665" s="116"/>
    </row>
    <row r="9666" spans="1:5" x14ac:dyDescent="0.25">
      <c r="A9666" s="83"/>
      <c r="B9666" s="84"/>
      <c r="C9666" s="84"/>
      <c r="D9666" s="116"/>
      <c r="E9666" s="116"/>
    </row>
    <row r="9667" spans="1:5" x14ac:dyDescent="0.25">
      <c r="A9667" s="83"/>
      <c r="B9667" s="84"/>
      <c r="C9667" s="84"/>
      <c r="D9667" s="116"/>
      <c r="E9667" s="116"/>
    </row>
    <row r="9668" spans="1:5" x14ac:dyDescent="0.25">
      <c r="A9668" s="83"/>
      <c r="B9668" s="84"/>
      <c r="C9668" s="84"/>
      <c r="D9668" s="116"/>
      <c r="E9668" s="116"/>
    </row>
    <row r="9669" spans="1:5" x14ac:dyDescent="0.25">
      <c r="A9669" s="83"/>
      <c r="B9669" s="84"/>
      <c r="C9669" s="84"/>
      <c r="D9669" s="116"/>
      <c r="E9669" s="116"/>
    </row>
    <row r="9670" spans="1:5" x14ac:dyDescent="0.25">
      <c r="A9670" s="83"/>
      <c r="B9670" s="84"/>
      <c r="C9670" s="84"/>
      <c r="D9670" s="116"/>
      <c r="E9670" s="116"/>
    </row>
    <row r="9671" spans="1:5" x14ac:dyDescent="0.25">
      <c r="A9671" s="83"/>
      <c r="B9671" s="84"/>
      <c r="C9671" s="84"/>
      <c r="D9671" s="116"/>
      <c r="E9671" s="116"/>
    </row>
    <row r="9672" spans="1:5" x14ac:dyDescent="0.25">
      <c r="A9672" s="83"/>
      <c r="B9672" s="84"/>
      <c r="C9672" s="84"/>
      <c r="D9672" s="116"/>
      <c r="E9672" s="116"/>
    </row>
    <row r="9673" spans="1:5" x14ac:dyDescent="0.25">
      <c r="A9673" s="83"/>
      <c r="B9673" s="84"/>
      <c r="C9673" s="84"/>
      <c r="D9673" s="116"/>
      <c r="E9673" s="116"/>
    </row>
    <row r="9674" spans="1:5" x14ac:dyDescent="0.25">
      <c r="A9674" s="83"/>
      <c r="B9674" s="84"/>
      <c r="C9674" s="84"/>
      <c r="D9674" s="116"/>
      <c r="E9674" s="116"/>
    </row>
    <row r="9675" spans="1:5" x14ac:dyDescent="0.25">
      <c r="A9675" s="83"/>
      <c r="B9675" s="84"/>
      <c r="C9675" s="84"/>
      <c r="D9675" s="116"/>
      <c r="E9675" s="116"/>
    </row>
    <row r="9676" spans="1:5" x14ac:dyDescent="0.25">
      <c r="A9676" s="83"/>
      <c r="B9676" s="84"/>
      <c r="C9676" s="84"/>
      <c r="D9676" s="116"/>
      <c r="E9676" s="116"/>
    </row>
    <row r="9677" spans="1:5" x14ac:dyDescent="0.25">
      <c r="A9677" s="83"/>
      <c r="B9677" s="84"/>
      <c r="C9677" s="84"/>
      <c r="D9677" s="116"/>
      <c r="E9677" s="116"/>
    </row>
    <row r="9678" spans="1:5" x14ac:dyDescent="0.25">
      <c r="A9678" s="83"/>
      <c r="B9678" s="84"/>
      <c r="C9678" s="84"/>
      <c r="D9678" s="116"/>
      <c r="E9678" s="116"/>
    </row>
    <row r="9679" spans="1:5" x14ac:dyDescent="0.25">
      <c r="A9679" s="83"/>
      <c r="B9679" s="84"/>
      <c r="C9679" s="84"/>
      <c r="D9679" s="116"/>
      <c r="E9679" s="116"/>
    </row>
    <row r="9680" spans="1:5" x14ac:dyDescent="0.25">
      <c r="A9680" s="83"/>
      <c r="B9680" s="84"/>
      <c r="C9680" s="84"/>
      <c r="D9680" s="116"/>
      <c r="E9680" s="116"/>
    </row>
    <row r="9681" spans="1:5" x14ac:dyDescent="0.25">
      <c r="A9681" s="83"/>
      <c r="B9681" s="84"/>
      <c r="C9681" s="84"/>
      <c r="D9681" s="116"/>
      <c r="E9681" s="116"/>
    </row>
    <row r="9682" spans="1:5" x14ac:dyDescent="0.25">
      <c r="A9682" s="83"/>
      <c r="B9682" s="84"/>
      <c r="C9682" s="84"/>
      <c r="D9682" s="116"/>
      <c r="E9682" s="116"/>
    </row>
    <row r="9683" spans="1:5" x14ac:dyDescent="0.25">
      <c r="A9683" s="83"/>
      <c r="B9683" s="84"/>
      <c r="C9683" s="84"/>
      <c r="D9683" s="116"/>
      <c r="E9683" s="116"/>
    </row>
    <row r="9684" spans="1:5" x14ac:dyDescent="0.25">
      <c r="A9684" s="83"/>
      <c r="B9684" s="84"/>
      <c r="C9684" s="84"/>
      <c r="D9684" s="116"/>
      <c r="E9684" s="116"/>
    </row>
    <row r="9685" spans="1:5" x14ac:dyDescent="0.25">
      <c r="A9685" s="83"/>
      <c r="B9685" s="84"/>
      <c r="C9685" s="84"/>
      <c r="D9685" s="116"/>
      <c r="E9685" s="116"/>
    </row>
    <row r="9686" spans="1:5" x14ac:dyDescent="0.25">
      <c r="A9686" s="83"/>
      <c r="B9686" s="84"/>
      <c r="C9686" s="84"/>
      <c r="D9686" s="116"/>
      <c r="E9686" s="116"/>
    </row>
    <row r="9687" spans="1:5" x14ac:dyDescent="0.25">
      <c r="A9687" s="83"/>
      <c r="B9687" s="84"/>
      <c r="C9687" s="84"/>
      <c r="D9687" s="116"/>
      <c r="E9687" s="116"/>
    </row>
    <row r="9688" spans="1:5" x14ac:dyDescent="0.25">
      <c r="A9688" s="83"/>
      <c r="B9688" s="84"/>
      <c r="C9688" s="84"/>
      <c r="D9688" s="116"/>
      <c r="E9688" s="116"/>
    </row>
    <row r="9689" spans="1:5" x14ac:dyDescent="0.25">
      <c r="A9689" s="83"/>
      <c r="B9689" s="84"/>
      <c r="C9689" s="84"/>
      <c r="D9689" s="116"/>
      <c r="E9689" s="116"/>
    </row>
    <row r="9690" spans="1:5" x14ac:dyDescent="0.25">
      <c r="A9690" s="83"/>
      <c r="B9690" s="84"/>
      <c r="C9690" s="84"/>
      <c r="D9690" s="116"/>
      <c r="E9690" s="116"/>
    </row>
    <row r="9691" spans="1:5" x14ac:dyDescent="0.25">
      <c r="A9691" s="83"/>
      <c r="B9691" s="84"/>
      <c r="C9691" s="84"/>
      <c r="D9691" s="116"/>
      <c r="E9691" s="116"/>
    </row>
    <row r="9692" spans="1:5" x14ac:dyDescent="0.25">
      <c r="A9692" s="83"/>
      <c r="B9692" s="84"/>
      <c r="C9692" s="84"/>
      <c r="D9692" s="116"/>
      <c r="E9692" s="116"/>
    </row>
    <row r="9693" spans="1:5" x14ac:dyDescent="0.25">
      <c r="A9693" s="83"/>
      <c r="B9693" s="84"/>
      <c r="C9693" s="84"/>
      <c r="D9693" s="116"/>
      <c r="E9693" s="116"/>
    </row>
    <row r="9694" spans="1:5" x14ac:dyDescent="0.25">
      <c r="A9694" s="83"/>
      <c r="B9694" s="84"/>
      <c r="C9694" s="84"/>
      <c r="D9694" s="116"/>
      <c r="E9694" s="116"/>
    </row>
    <row r="9695" spans="1:5" x14ac:dyDescent="0.25">
      <c r="A9695" s="83"/>
      <c r="B9695" s="84"/>
      <c r="C9695" s="84"/>
      <c r="D9695" s="116"/>
      <c r="E9695" s="116"/>
    </row>
    <row r="9696" spans="1:5" x14ac:dyDescent="0.25">
      <c r="A9696" s="83"/>
      <c r="B9696" s="84"/>
      <c r="C9696" s="84"/>
      <c r="D9696" s="116"/>
      <c r="E9696" s="116"/>
    </row>
    <row r="9697" spans="1:5" x14ac:dyDescent="0.25">
      <c r="A9697" s="83"/>
      <c r="B9697" s="84"/>
      <c r="C9697" s="84"/>
      <c r="D9697" s="116"/>
      <c r="E9697" s="116"/>
    </row>
    <row r="9698" spans="1:5" x14ac:dyDescent="0.25">
      <c r="A9698" s="83"/>
      <c r="B9698" s="84"/>
      <c r="C9698" s="84"/>
      <c r="D9698" s="116"/>
      <c r="E9698" s="116"/>
    </row>
    <row r="9699" spans="1:5" x14ac:dyDescent="0.25">
      <c r="A9699" s="83"/>
      <c r="B9699" s="84"/>
      <c r="C9699" s="84"/>
      <c r="D9699" s="116"/>
      <c r="E9699" s="116"/>
    </row>
    <row r="9700" spans="1:5" x14ac:dyDescent="0.25">
      <c r="A9700" s="83"/>
      <c r="B9700" s="84"/>
      <c r="C9700" s="84"/>
      <c r="D9700" s="116"/>
      <c r="E9700" s="116"/>
    </row>
    <row r="9701" spans="1:5" x14ac:dyDescent="0.25">
      <c r="A9701" s="83"/>
      <c r="B9701" s="84"/>
      <c r="C9701" s="84"/>
      <c r="D9701" s="116"/>
      <c r="E9701" s="116"/>
    </row>
    <row r="9702" spans="1:5" x14ac:dyDescent="0.25">
      <c r="A9702" s="83"/>
      <c r="B9702" s="84"/>
      <c r="C9702" s="84"/>
      <c r="D9702" s="116"/>
      <c r="E9702" s="116"/>
    </row>
    <row r="9703" spans="1:5" x14ac:dyDescent="0.25">
      <c r="A9703" s="83"/>
      <c r="B9703" s="84"/>
      <c r="C9703" s="84"/>
      <c r="D9703" s="116"/>
      <c r="E9703" s="116"/>
    </row>
    <row r="9704" spans="1:5" x14ac:dyDescent="0.25">
      <c r="A9704" s="83"/>
      <c r="B9704" s="84"/>
      <c r="C9704" s="84"/>
      <c r="D9704" s="116"/>
      <c r="E9704" s="116"/>
    </row>
    <row r="9705" spans="1:5" x14ac:dyDescent="0.25">
      <c r="A9705" s="83"/>
      <c r="B9705" s="84"/>
      <c r="C9705" s="84"/>
      <c r="D9705" s="116"/>
      <c r="E9705" s="116"/>
    </row>
    <row r="9706" spans="1:5" x14ac:dyDescent="0.25">
      <c r="A9706" s="83"/>
      <c r="B9706" s="84"/>
      <c r="C9706" s="84"/>
      <c r="D9706" s="116"/>
      <c r="E9706" s="116"/>
    </row>
    <row r="9707" spans="1:5" x14ac:dyDescent="0.25">
      <c r="A9707" s="83"/>
      <c r="B9707" s="84"/>
      <c r="C9707" s="84"/>
      <c r="D9707" s="116"/>
      <c r="E9707" s="116"/>
    </row>
    <row r="9708" spans="1:5" x14ac:dyDescent="0.25">
      <c r="A9708" s="83"/>
      <c r="B9708" s="84"/>
      <c r="C9708" s="84"/>
      <c r="D9708" s="116"/>
      <c r="E9708" s="116"/>
    </row>
    <row r="9709" spans="1:5" x14ac:dyDescent="0.25">
      <c r="A9709" s="83"/>
      <c r="B9709" s="84"/>
      <c r="C9709" s="84"/>
      <c r="D9709" s="116"/>
      <c r="E9709" s="116"/>
    </row>
    <row r="9710" spans="1:5" x14ac:dyDescent="0.25">
      <c r="A9710" s="83"/>
      <c r="B9710" s="84"/>
      <c r="C9710" s="84"/>
      <c r="D9710" s="116"/>
      <c r="E9710" s="116"/>
    </row>
    <row r="9711" spans="1:5" x14ac:dyDescent="0.25">
      <c r="A9711" s="83"/>
      <c r="B9711" s="84"/>
      <c r="C9711" s="84"/>
      <c r="D9711" s="116"/>
      <c r="E9711" s="116"/>
    </row>
    <row r="9712" spans="1:5" x14ac:dyDescent="0.25">
      <c r="A9712" s="83"/>
      <c r="B9712" s="84"/>
      <c r="C9712" s="84"/>
      <c r="D9712" s="116"/>
      <c r="E9712" s="116"/>
    </row>
    <row r="9713" spans="1:5" x14ac:dyDescent="0.25">
      <c r="A9713" s="83"/>
      <c r="B9713" s="84"/>
      <c r="C9713" s="84"/>
      <c r="D9713" s="116"/>
      <c r="E9713" s="116"/>
    </row>
    <row r="9714" spans="1:5" x14ac:dyDescent="0.25">
      <c r="A9714" s="83"/>
      <c r="B9714" s="84"/>
      <c r="C9714" s="84"/>
      <c r="D9714" s="116"/>
      <c r="E9714" s="116"/>
    </row>
    <row r="9715" spans="1:5" x14ac:dyDescent="0.25">
      <c r="A9715" s="83"/>
      <c r="B9715" s="84"/>
      <c r="C9715" s="84"/>
      <c r="D9715" s="116"/>
      <c r="E9715" s="116"/>
    </row>
    <row r="9716" spans="1:5" x14ac:dyDescent="0.25">
      <c r="A9716" s="83"/>
      <c r="B9716" s="84"/>
      <c r="C9716" s="84"/>
      <c r="D9716" s="116"/>
      <c r="E9716" s="116"/>
    </row>
    <row r="9717" spans="1:5" x14ac:dyDescent="0.25">
      <c r="A9717" s="83"/>
      <c r="B9717" s="84"/>
      <c r="C9717" s="84"/>
      <c r="D9717" s="116"/>
      <c r="E9717" s="116"/>
    </row>
    <row r="9718" spans="1:5" x14ac:dyDescent="0.25">
      <c r="A9718" s="83"/>
      <c r="B9718" s="84"/>
      <c r="C9718" s="84"/>
      <c r="D9718" s="116"/>
      <c r="E9718" s="116"/>
    </row>
    <row r="9719" spans="1:5" x14ac:dyDescent="0.25">
      <c r="A9719" s="83"/>
      <c r="B9719" s="84"/>
      <c r="C9719" s="84"/>
      <c r="D9719" s="116"/>
      <c r="E9719" s="116"/>
    </row>
    <row r="9720" spans="1:5" x14ac:dyDescent="0.25">
      <c r="A9720" s="83"/>
      <c r="B9720" s="84"/>
      <c r="C9720" s="84"/>
      <c r="D9720" s="116"/>
      <c r="E9720" s="116"/>
    </row>
    <row r="9721" spans="1:5" x14ac:dyDescent="0.25">
      <c r="A9721" s="83"/>
      <c r="B9721" s="84"/>
      <c r="C9721" s="84"/>
      <c r="D9721" s="116"/>
      <c r="E9721" s="116"/>
    </row>
    <row r="9722" spans="1:5" x14ac:dyDescent="0.25">
      <c r="A9722" s="83"/>
      <c r="B9722" s="84"/>
      <c r="C9722" s="84"/>
      <c r="D9722" s="116"/>
      <c r="E9722" s="116"/>
    </row>
    <row r="9723" spans="1:5" x14ac:dyDescent="0.25">
      <c r="A9723" s="83"/>
      <c r="B9723" s="84"/>
      <c r="C9723" s="84"/>
      <c r="D9723" s="116"/>
      <c r="E9723" s="116"/>
    </row>
    <row r="9724" spans="1:5" x14ac:dyDescent="0.25">
      <c r="A9724" s="83"/>
      <c r="B9724" s="84"/>
      <c r="C9724" s="84"/>
      <c r="D9724" s="116"/>
      <c r="E9724" s="116"/>
    </row>
    <row r="9725" spans="1:5" x14ac:dyDescent="0.25">
      <c r="A9725" s="83"/>
      <c r="B9725" s="84"/>
      <c r="C9725" s="84"/>
      <c r="D9725" s="116"/>
      <c r="E9725" s="116"/>
    </row>
    <row r="9726" spans="1:5" x14ac:dyDescent="0.25">
      <c r="A9726" s="83"/>
      <c r="B9726" s="84"/>
      <c r="C9726" s="84"/>
      <c r="D9726" s="116"/>
      <c r="E9726" s="116"/>
    </row>
    <row r="9727" spans="1:5" x14ac:dyDescent="0.25">
      <c r="A9727" s="83"/>
      <c r="B9727" s="84"/>
      <c r="C9727" s="84"/>
      <c r="D9727" s="116"/>
      <c r="E9727" s="116"/>
    </row>
    <row r="9728" spans="1:5" x14ac:dyDescent="0.25">
      <c r="A9728" s="83"/>
      <c r="B9728" s="84"/>
      <c r="C9728" s="84"/>
      <c r="D9728" s="116"/>
      <c r="E9728" s="116"/>
    </row>
    <row r="9729" spans="1:5" x14ac:dyDescent="0.25">
      <c r="A9729" s="83"/>
      <c r="B9729" s="84"/>
      <c r="C9729" s="84"/>
      <c r="D9729" s="116"/>
      <c r="E9729" s="116"/>
    </row>
    <row r="9730" spans="1:5" x14ac:dyDescent="0.25">
      <c r="A9730" s="83"/>
      <c r="B9730" s="84"/>
      <c r="C9730" s="84"/>
      <c r="D9730" s="116"/>
      <c r="E9730" s="116"/>
    </row>
    <row r="9731" spans="1:5" x14ac:dyDescent="0.25">
      <c r="A9731" s="83"/>
      <c r="B9731" s="84"/>
      <c r="C9731" s="84"/>
      <c r="D9731" s="116"/>
      <c r="E9731" s="116"/>
    </row>
    <row r="9732" spans="1:5" x14ac:dyDescent="0.25">
      <c r="A9732" s="83"/>
      <c r="B9732" s="84"/>
      <c r="C9732" s="84"/>
      <c r="D9732" s="116"/>
      <c r="E9732" s="116"/>
    </row>
    <row r="9733" spans="1:5" x14ac:dyDescent="0.25">
      <c r="A9733" s="83"/>
      <c r="B9733" s="84"/>
      <c r="C9733" s="84"/>
      <c r="D9733" s="116"/>
      <c r="E9733" s="116"/>
    </row>
    <row r="9734" spans="1:5" x14ac:dyDescent="0.25">
      <c r="A9734" s="83"/>
      <c r="B9734" s="84"/>
      <c r="C9734" s="84"/>
      <c r="D9734" s="116"/>
      <c r="E9734" s="116"/>
    </row>
    <row r="9735" spans="1:5" x14ac:dyDescent="0.25">
      <c r="A9735" s="83"/>
      <c r="B9735" s="84"/>
      <c r="C9735" s="84"/>
      <c r="D9735" s="116"/>
      <c r="E9735" s="116"/>
    </row>
    <row r="9736" spans="1:5" x14ac:dyDescent="0.25">
      <c r="A9736" s="83"/>
      <c r="B9736" s="84"/>
      <c r="C9736" s="84"/>
      <c r="D9736" s="116"/>
      <c r="E9736" s="116"/>
    </row>
    <row r="9737" spans="1:5" x14ac:dyDescent="0.25">
      <c r="A9737" s="83"/>
      <c r="B9737" s="84"/>
      <c r="C9737" s="84"/>
      <c r="D9737" s="116"/>
      <c r="E9737" s="116"/>
    </row>
    <row r="9738" spans="1:5" x14ac:dyDescent="0.25">
      <c r="A9738" s="83"/>
      <c r="B9738" s="84"/>
      <c r="C9738" s="84"/>
      <c r="D9738" s="116"/>
      <c r="E9738" s="116"/>
    </row>
    <row r="9739" spans="1:5" x14ac:dyDescent="0.25">
      <c r="A9739" s="83"/>
      <c r="B9739" s="84"/>
      <c r="C9739" s="84"/>
      <c r="D9739" s="116"/>
      <c r="E9739" s="116"/>
    </row>
    <row r="9740" spans="1:5" x14ac:dyDescent="0.25">
      <c r="A9740" s="83"/>
      <c r="B9740" s="84"/>
      <c r="C9740" s="84"/>
      <c r="D9740" s="116"/>
      <c r="E9740" s="116"/>
    </row>
    <row r="9741" spans="1:5" x14ac:dyDescent="0.25">
      <c r="A9741" s="83"/>
      <c r="B9741" s="84"/>
      <c r="C9741" s="84"/>
      <c r="D9741" s="116"/>
      <c r="E9741" s="116"/>
    </row>
    <row r="9742" spans="1:5" x14ac:dyDescent="0.25">
      <c r="A9742" s="83"/>
      <c r="B9742" s="84"/>
      <c r="C9742" s="84"/>
      <c r="D9742" s="116"/>
      <c r="E9742" s="116"/>
    </row>
    <row r="9743" spans="1:5" x14ac:dyDescent="0.25">
      <c r="A9743" s="83"/>
      <c r="B9743" s="84"/>
      <c r="C9743" s="84"/>
      <c r="D9743" s="116"/>
      <c r="E9743" s="116"/>
    </row>
    <row r="9744" spans="1:5" x14ac:dyDescent="0.25">
      <c r="A9744" s="83"/>
      <c r="B9744" s="84"/>
      <c r="C9744" s="84"/>
      <c r="D9744" s="116"/>
      <c r="E9744" s="116"/>
    </row>
    <row r="9745" spans="1:5" x14ac:dyDescent="0.25">
      <c r="A9745" s="83"/>
      <c r="B9745" s="84"/>
      <c r="C9745" s="84"/>
      <c r="D9745" s="116"/>
      <c r="E9745" s="116"/>
    </row>
    <row r="9746" spans="1:5" x14ac:dyDescent="0.25">
      <c r="A9746" s="83"/>
      <c r="B9746" s="84"/>
      <c r="C9746" s="84"/>
      <c r="D9746" s="116"/>
      <c r="E9746" s="116"/>
    </row>
    <row r="9747" spans="1:5" x14ac:dyDescent="0.25">
      <c r="A9747" s="83"/>
      <c r="B9747" s="84"/>
      <c r="C9747" s="84"/>
      <c r="D9747" s="116"/>
      <c r="E9747" s="116"/>
    </row>
    <row r="9748" spans="1:5" x14ac:dyDescent="0.25">
      <c r="A9748" s="83"/>
      <c r="B9748" s="84"/>
      <c r="C9748" s="84"/>
      <c r="D9748" s="116"/>
      <c r="E9748" s="116"/>
    </row>
    <row r="9749" spans="1:5" x14ac:dyDescent="0.25">
      <c r="A9749" s="83"/>
      <c r="B9749" s="84"/>
      <c r="C9749" s="84"/>
      <c r="D9749" s="116"/>
      <c r="E9749" s="116"/>
    </row>
    <row r="9750" spans="1:5" x14ac:dyDescent="0.25">
      <c r="A9750" s="83"/>
      <c r="B9750" s="84"/>
      <c r="C9750" s="84"/>
      <c r="D9750" s="116"/>
      <c r="E9750" s="116"/>
    </row>
    <row r="9751" spans="1:5" x14ac:dyDescent="0.25">
      <c r="A9751" s="83"/>
      <c r="B9751" s="84"/>
      <c r="C9751" s="84"/>
      <c r="D9751" s="116"/>
      <c r="E9751" s="116"/>
    </row>
    <row r="9752" spans="1:5" x14ac:dyDescent="0.25">
      <c r="A9752" s="83"/>
      <c r="B9752" s="84"/>
      <c r="C9752" s="84"/>
      <c r="D9752" s="116"/>
      <c r="E9752" s="116"/>
    </row>
    <row r="9753" spans="1:5" x14ac:dyDescent="0.25">
      <c r="A9753" s="83"/>
      <c r="B9753" s="84"/>
      <c r="C9753" s="84"/>
      <c r="D9753" s="116"/>
      <c r="E9753" s="116"/>
    </row>
    <row r="9754" spans="1:5" x14ac:dyDescent="0.25">
      <c r="A9754" s="83"/>
      <c r="B9754" s="84"/>
      <c r="C9754" s="84"/>
      <c r="D9754" s="116"/>
      <c r="E9754" s="116"/>
    </row>
    <row r="9755" spans="1:5" x14ac:dyDescent="0.25">
      <c r="A9755" s="83"/>
      <c r="B9755" s="84"/>
      <c r="C9755" s="84"/>
      <c r="D9755" s="116"/>
      <c r="E9755" s="116"/>
    </row>
    <row r="9756" spans="1:5" x14ac:dyDescent="0.25">
      <c r="A9756" s="83"/>
      <c r="B9756" s="84"/>
      <c r="C9756" s="84"/>
      <c r="D9756" s="116"/>
      <c r="E9756" s="116"/>
    </row>
    <row r="9757" spans="1:5" x14ac:dyDescent="0.25">
      <c r="A9757" s="83"/>
      <c r="B9757" s="84"/>
      <c r="C9757" s="84"/>
      <c r="D9757" s="116"/>
      <c r="E9757" s="116"/>
    </row>
    <row r="9758" spans="1:5" x14ac:dyDescent="0.25">
      <c r="A9758" s="83"/>
      <c r="B9758" s="84"/>
      <c r="C9758" s="84"/>
      <c r="D9758" s="116"/>
      <c r="E9758" s="116"/>
    </row>
    <row r="9759" spans="1:5" x14ac:dyDescent="0.25">
      <c r="A9759" s="83"/>
      <c r="B9759" s="84"/>
      <c r="C9759" s="84"/>
      <c r="D9759" s="116"/>
      <c r="E9759" s="116"/>
    </row>
    <row r="9760" spans="1:5" x14ac:dyDescent="0.25">
      <c r="A9760" s="83"/>
      <c r="B9760" s="84"/>
      <c r="C9760" s="84"/>
      <c r="D9760" s="116"/>
      <c r="E9760" s="116"/>
    </row>
    <row r="9761" spans="1:5" x14ac:dyDescent="0.25">
      <c r="A9761" s="83"/>
      <c r="B9761" s="84"/>
      <c r="C9761" s="84"/>
      <c r="D9761" s="116"/>
      <c r="E9761" s="116"/>
    </row>
    <row r="9762" spans="1:5" x14ac:dyDescent="0.25">
      <c r="A9762" s="83"/>
      <c r="B9762" s="84"/>
      <c r="C9762" s="84"/>
      <c r="D9762" s="116"/>
      <c r="E9762" s="116"/>
    </row>
    <row r="9763" spans="1:5" x14ac:dyDescent="0.25">
      <c r="A9763" s="83"/>
      <c r="B9763" s="84"/>
      <c r="C9763" s="84"/>
      <c r="D9763" s="116"/>
      <c r="E9763" s="116"/>
    </row>
    <row r="9764" spans="1:5" x14ac:dyDescent="0.25">
      <c r="A9764" s="83"/>
      <c r="B9764" s="84"/>
      <c r="C9764" s="84"/>
      <c r="D9764" s="116"/>
      <c r="E9764" s="116"/>
    </row>
    <row r="9765" spans="1:5" x14ac:dyDescent="0.25">
      <c r="A9765" s="83"/>
      <c r="B9765" s="84"/>
      <c r="C9765" s="84"/>
      <c r="D9765" s="116"/>
      <c r="E9765" s="116"/>
    </row>
    <row r="9766" spans="1:5" x14ac:dyDescent="0.25">
      <c r="A9766" s="83"/>
      <c r="B9766" s="84"/>
      <c r="C9766" s="84"/>
      <c r="D9766" s="116"/>
      <c r="E9766" s="116"/>
    </row>
    <row r="9767" spans="1:5" x14ac:dyDescent="0.25">
      <c r="A9767" s="83"/>
      <c r="B9767" s="84"/>
      <c r="C9767" s="84"/>
      <c r="D9767" s="116"/>
      <c r="E9767" s="116"/>
    </row>
    <row r="9768" spans="1:5" x14ac:dyDescent="0.25">
      <c r="A9768" s="83"/>
      <c r="B9768" s="84"/>
      <c r="C9768" s="84"/>
      <c r="D9768" s="116"/>
      <c r="E9768" s="116"/>
    </row>
    <row r="9769" spans="1:5" x14ac:dyDescent="0.25">
      <c r="A9769" s="83"/>
      <c r="B9769" s="84"/>
      <c r="C9769" s="84"/>
      <c r="D9769" s="116"/>
      <c r="E9769" s="116"/>
    </row>
    <row r="9770" spans="1:5" x14ac:dyDescent="0.25">
      <c r="A9770" s="83"/>
      <c r="B9770" s="84"/>
      <c r="C9770" s="84"/>
      <c r="D9770" s="116"/>
      <c r="E9770" s="116"/>
    </row>
    <row r="9771" spans="1:5" x14ac:dyDescent="0.25">
      <c r="A9771" s="83"/>
      <c r="B9771" s="84"/>
      <c r="C9771" s="84"/>
      <c r="D9771" s="116"/>
      <c r="E9771" s="116"/>
    </row>
    <row r="9772" spans="1:5" x14ac:dyDescent="0.25">
      <c r="A9772" s="83"/>
      <c r="B9772" s="84"/>
      <c r="C9772" s="84"/>
      <c r="D9772" s="116"/>
      <c r="E9772" s="116"/>
    </row>
    <row r="9773" spans="1:5" x14ac:dyDescent="0.25">
      <c r="A9773" s="83"/>
      <c r="B9773" s="84"/>
      <c r="C9773" s="84"/>
      <c r="D9773" s="116"/>
      <c r="E9773" s="116"/>
    </row>
    <row r="9774" spans="1:5" x14ac:dyDescent="0.25">
      <c r="A9774" s="83"/>
      <c r="B9774" s="84"/>
      <c r="C9774" s="84"/>
      <c r="D9774" s="116"/>
      <c r="E9774" s="116"/>
    </row>
    <row r="9775" spans="1:5" x14ac:dyDescent="0.25">
      <c r="A9775" s="83"/>
      <c r="B9775" s="84"/>
      <c r="C9775" s="84"/>
      <c r="D9775" s="116"/>
      <c r="E9775" s="116"/>
    </row>
    <row r="9776" spans="1:5" x14ac:dyDescent="0.25">
      <c r="A9776" s="83"/>
      <c r="B9776" s="84"/>
      <c r="C9776" s="84"/>
      <c r="D9776" s="116"/>
      <c r="E9776" s="116"/>
    </row>
    <row r="9777" spans="1:5" x14ac:dyDescent="0.25">
      <c r="A9777" s="83"/>
      <c r="B9777" s="84"/>
      <c r="C9777" s="84"/>
      <c r="D9777" s="116"/>
      <c r="E9777" s="116"/>
    </row>
    <row r="9778" spans="1:5" x14ac:dyDescent="0.25">
      <c r="A9778" s="83"/>
      <c r="B9778" s="84"/>
      <c r="C9778" s="84"/>
      <c r="D9778" s="116"/>
      <c r="E9778" s="116"/>
    </row>
    <row r="9779" spans="1:5" x14ac:dyDescent="0.25">
      <c r="A9779" s="83"/>
      <c r="B9779" s="84"/>
      <c r="C9779" s="84"/>
      <c r="D9779" s="116"/>
      <c r="E9779" s="116"/>
    </row>
    <row r="9780" spans="1:5" x14ac:dyDescent="0.25">
      <c r="A9780" s="83"/>
      <c r="B9780" s="84"/>
      <c r="C9780" s="84"/>
      <c r="D9780" s="116"/>
      <c r="E9780" s="116"/>
    </row>
    <row r="9781" spans="1:5" x14ac:dyDescent="0.25">
      <c r="A9781" s="83"/>
      <c r="B9781" s="84"/>
      <c r="C9781" s="84"/>
      <c r="D9781" s="116"/>
      <c r="E9781" s="116"/>
    </row>
    <row r="9782" spans="1:5" x14ac:dyDescent="0.25">
      <c r="A9782" s="83"/>
      <c r="B9782" s="84"/>
      <c r="C9782" s="84"/>
      <c r="D9782" s="116"/>
      <c r="E9782" s="116"/>
    </row>
    <row r="9783" spans="1:5" x14ac:dyDescent="0.25">
      <c r="A9783" s="83"/>
      <c r="B9783" s="84"/>
      <c r="C9783" s="84"/>
      <c r="D9783" s="116"/>
      <c r="E9783" s="116"/>
    </row>
    <row r="9784" spans="1:5" x14ac:dyDescent="0.25">
      <c r="A9784" s="83"/>
      <c r="B9784" s="84"/>
      <c r="C9784" s="84"/>
      <c r="D9784" s="116"/>
      <c r="E9784" s="116"/>
    </row>
    <row r="9785" spans="1:5" x14ac:dyDescent="0.25">
      <c r="A9785" s="83"/>
      <c r="B9785" s="84"/>
      <c r="C9785" s="84"/>
      <c r="D9785" s="116"/>
      <c r="E9785" s="116"/>
    </row>
    <row r="9786" spans="1:5" x14ac:dyDescent="0.25">
      <c r="A9786" s="83"/>
      <c r="B9786" s="84"/>
      <c r="C9786" s="84"/>
      <c r="D9786" s="116"/>
      <c r="E9786" s="116"/>
    </row>
    <row r="9787" spans="1:5" x14ac:dyDescent="0.25">
      <c r="A9787" s="83"/>
      <c r="B9787" s="84"/>
      <c r="C9787" s="84"/>
      <c r="D9787" s="116"/>
      <c r="E9787" s="116"/>
    </row>
    <row r="9788" spans="1:5" x14ac:dyDescent="0.25">
      <c r="A9788" s="83"/>
      <c r="B9788" s="84"/>
      <c r="C9788" s="84"/>
      <c r="D9788" s="116"/>
      <c r="E9788" s="116"/>
    </row>
    <row r="9789" spans="1:5" x14ac:dyDescent="0.25">
      <c r="A9789" s="83"/>
      <c r="B9789" s="84"/>
      <c r="C9789" s="84"/>
      <c r="D9789" s="116"/>
      <c r="E9789" s="116"/>
    </row>
    <row r="9790" spans="1:5" x14ac:dyDescent="0.25">
      <c r="A9790" s="83"/>
      <c r="B9790" s="84"/>
      <c r="C9790" s="84"/>
      <c r="D9790" s="116"/>
      <c r="E9790" s="116"/>
    </row>
    <row r="9791" spans="1:5" x14ac:dyDescent="0.25">
      <c r="A9791" s="83"/>
      <c r="B9791" s="84"/>
      <c r="C9791" s="84"/>
      <c r="D9791" s="116"/>
      <c r="E9791" s="116"/>
    </row>
    <row r="9792" spans="1:5" x14ac:dyDescent="0.25">
      <c r="A9792" s="83"/>
      <c r="B9792" s="84"/>
      <c r="C9792" s="84"/>
      <c r="D9792" s="116"/>
      <c r="E9792" s="116"/>
    </row>
    <row r="9793" spans="1:5" x14ac:dyDescent="0.25">
      <c r="A9793" s="83"/>
      <c r="B9793" s="84"/>
      <c r="C9793" s="84"/>
      <c r="D9793" s="116"/>
      <c r="E9793" s="116"/>
    </row>
    <row r="9794" spans="1:5" x14ac:dyDescent="0.25">
      <c r="A9794" s="83"/>
      <c r="B9794" s="84"/>
      <c r="C9794" s="84"/>
      <c r="D9794" s="116"/>
      <c r="E9794" s="116"/>
    </row>
    <row r="9795" spans="1:5" x14ac:dyDescent="0.25">
      <c r="A9795" s="83"/>
      <c r="B9795" s="84"/>
      <c r="C9795" s="84"/>
      <c r="D9795" s="116"/>
      <c r="E9795" s="116"/>
    </row>
    <row r="9796" spans="1:5" x14ac:dyDescent="0.25">
      <c r="A9796" s="83"/>
      <c r="B9796" s="84"/>
      <c r="C9796" s="84"/>
      <c r="D9796" s="116"/>
      <c r="E9796" s="116"/>
    </row>
    <row r="9797" spans="1:5" x14ac:dyDescent="0.25">
      <c r="A9797" s="83"/>
      <c r="B9797" s="84"/>
      <c r="C9797" s="84"/>
      <c r="D9797" s="116"/>
      <c r="E9797" s="116"/>
    </row>
    <row r="9798" spans="1:5" x14ac:dyDescent="0.25">
      <c r="A9798" s="83"/>
      <c r="B9798" s="84"/>
      <c r="C9798" s="84"/>
      <c r="D9798" s="116"/>
      <c r="E9798" s="116"/>
    </row>
    <row r="9799" spans="1:5" x14ac:dyDescent="0.25">
      <c r="A9799" s="83"/>
      <c r="B9799" s="84"/>
      <c r="C9799" s="84"/>
      <c r="D9799" s="116"/>
      <c r="E9799" s="116"/>
    </row>
    <row r="9800" spans="1:5" x14ac:dyDescent="0.25">
      <c r="A9800" s="83"/>
      <c r="B9800" s="84"/>
      <c r="C9800" s="84"/>
      <c r="D9800" s="116"/>
      <c r="E9800" s="116"/>
    </row>
    <row r="9801" spans="1:5" x14ac:dyDescent="0.25">
      <c r="A9801" s="83"/>
      <c r="B9801" s="84"/>
      <c r="C9801" s="84"/>
      <c r="D9801" s="116"/>
      <c r="E9801" s="116"/>
    </row>
    <row r="9802" spans="1:5" x14ac:dyDescent="0.25">
      <c r="A9802" s="83"/>
      <c r="B9802" s="84"/>
      <c r="C9802" s="84"/>
      <c r="D9802" s="116"/>
      <c r="E9802" s="116"/>
    </row>
    <row r="9803" spans="1:5" x14ac:dyDescent="0.25">
      <c r="A9803" s="83"/>
      <c r="B9803" s="84"/>
      <c r="C9803" s="84"/>
      <c r="D9803" s="116"/>
      <c r="E9803" s="116"/>
    </row>
    <row r="9804" spans="1:5" x14ac:dyDescent="0.25">
      <c r="A9804" s="83"/>
      <c r="B9804" s="84"/>
      <c r="C9804" s="84"/>
      <c r="D9804" s="116"/>
      <c r="E9804" s="116"/>
    </row>
    <row r="9805" spans="1:5" x14ac:dyDescent="0.25">
      <c r="A9805" s="83"/>
      <c r="B9805" s="84"/>
      <c r="C9805" s="84"/>
      <c r="D9805" s="116"/>
      <c r="E9805" s="116"/>
    </row>
    <row r="9806" spans="1:5" x14ac:dyDescent="0.25">
      <c r="A9806" s="83"/>
      <c r="B9806" s="84"/>
      <c r="C9806" s="84"/>
      <c r="D9806" s="116"/>
      <c r="E9806" s="116"/>
    </row>
    <row r="9807" spans="1:5" x14ac:dyDescent="0.25">
      <c r="A9807" s="83"/>
      <c r="B9807" s="84"/>
      <c r="C9807" s="84"/>
      <c r="D9807" s="116"/>
      <c r="E9807" s="116"/>
    </row>
    <row r="9808" spans="1:5" x14ac:dyDescent="0.25">
      <c r="A9808" s="83"/>
      <c r="B9808" s="84"/>
      <c r="C9808" s="84"/>
      <c r="D9808" s="116"/>
      <c r="E9808" s="116"/>
    </row>
    <row r="9809" spans="1:5" x14ac:dyDescent="0.25">
      <c r="A9809" s="83"/>
      <c r="B9809" s="84"/>
      <c r="C9809" s="84"/>
      <c r="D9809" s="116"/>
      <c r="E9809" s="116"/>
    </row>
    <row r="9810" spans="1:5" x14ac:dyDescent="0.25">
      <c r="A9810" s="83"/>
      <c r="B9810" s="84"/>
      <c r="C9810" s="84"/>
      <c r="D9810" s="116"/>
      <c r="E9810" s="116"/>
    </row>
    <row r="9811" spans="1:5" x14ac:dyDescent="0.25">
      <c r="A9811" s="83"/>
      <c r="B9811" s="84"/>
      <c r="C9811" s="84"/>
      <c r="D9811" s="116"/>
      <c r="E9811" s="116"/>
    </row>
    <row r="9812" spans="1:5" x14ac:dyDescent="0.25">
      <c r="A9812" s="83"/>
      <c r="B9812" s="84"/>
      <c r="C9812" s="84"/>
      <c r="D9812" s="116"/>
      <c r="E9812" s="116"/>
    </row>
    <row r="9813" spans="1:5" x14ac:dyDescent="0.25">
      <c r="A9813" s="83"/>
      <c r="B9813" s="84"/>
      <c r="C9813" s="84"/>
      <c r="D9813" s="116"/>
      <c r="E9813" s="116"/>
    </row>
    <row r="9814" spans="1:5" x14ac:dyDescent="0.25">
      <c r="A9814" s="83"/>
      <c r="B9814" s="84"/>
      <c r="C9814" s="84"/>
      <c r="D9814" s="116"/>
      <c r="E9814" s="116"/>
    </row>
    <row r="9815" spans="1:5" x14ac:dyDescent="0.25">
      <c r="A9815" s="83"/>
      <c r="B9815" s="84"/>
      <c r="C9815" s="84"/>
      <c r="D9815" s="116"/>
      <c r="E9815" s="116"/>
    </row>
    <row r="9816" spans="1:5" x14ac:dyDescent="0.25">
      <c r="A9816" s="83"/>
      <c r="B9816" s="84"/>
      <c r="C9816" s="84"/>
      <c r="D9816" s="116"/>
      <c r="E9816" s="116"/>
    </row>
    <row r="9817" spans="1:5" x14ac:dyDescent="0.25">
      <c r="A9817" s="83"/>
      <c r="B9817" s="84"/>
      <c r="C9817" s="84"/>
      <c r="D9817" s="116"/>
      <c r="E9817" s="116"/>
    </row>
    <row r="9818" spans="1:5" x14ac:dyDescent="0.25">
      <c r="A9818" s="83"/>
      <c r="B9818" s="84"/>
      <c r="C9818" s="84"/>
      <c r="D9818" s="116"/>
      <c r="E9818" s="116"/>
    </row>
    <row r="9819" spans="1:5" x14ac:dyDescent="0.25">
      <c r="A9819" s="83"/>
      <c r="B9819" s="84"/>
      <c r="C9819" s="84"/>
      <c r="D9819" s="116"/>
      <c r="E9819" s="116"/>
    </row>
    <row r="9820" spans="1:5" x14ac:dyDescent="0.25">
      <c r="A9820" s="83"/>
      <c r="B9820" s="84"/>
      <c r="C9820" s="84"/>
      <c r="D9820" s="116"/>
      <c r="E9820" s="116"/>
    </row>
    <row r="9821" spans="1:5" x14ac:dyDescent="0.25">
      <c r="A9821" s="83"/>
      <c r="B9821" s="84"/>
      <c r="C9821" s="84"/>
      <c r="D9821" s="116"/>
      <c r="E9821" s="116"/>
    </row>
    <row r="9822" spans="1:5" x14ac:dyDescent="0.25">
      <c r="A9822" s="83"/>
      <c r="B9822" s="84"/>
      <c r="C9822" s="84"/>
      <c r="D9822" s="116"/>
      <c r="E9822" s="116"/>
    </row>
    <row r="9823" spans="1:5" x14ac:dyDescent="0.25">
      <c r="A9823" s="83"/>
      <c r="B9823" s="84"/>
      <c r="C9823" s="84"/>
      <c r="D9823" s="116"/>
      <c r="E9823" s="116"/>
    </row>
    <row r="9824" spans="1:5" x14ac:dyDescent="0.25">
      <c r="A9824" s="83"/>
      <c r="B9824" s="84"/>
      <c r="C9824" s="84"/>
      <c r="D9824" s="116"/>
      <c r="E9824" s="116"/>
    </row>
    <row r="9825" spans="1:5" x14ac:dyDescent="0.25">
      <c r="A9825" s="83"/>
      <c r="B9825" s="84"/>
      <c r="C9825" s="84"/>
      <c r="D9825" s="116"/>
      <c r="E9825" s="116"/>
    </row>
    <row r="9826" spans="1:5" x14ac:dyDescent="0.25">
      <c r="A9826" s="83"/>
      <c r="B9826" s="84"/>
      <c r="C9826" s="84"/>
      <c r="D9826" s="116"/>
      <c r="E9826" s="116"/>
    </row>
    <row r="9827" spans="1:5" x14ac:dyDescent="0.25">
      <c r="A9827" s="83"/>
      <c r="B9827" s="84"/>
      <c r="C9827" s="84"/>
      <c r="D9827" s="116"/>
      <c r="E9827" s="116"/>
    </row>
    <row r="9828" spans="1:5" x14ac:dyDescent="0.25">
      <c r="A9828" s="83"/>
      <c r="B9828" s="84"/>
      <c r="C9828" s="84"/>
      <c r="D9828" s="116"/>
      <c r="E9828" s="116"/>
    </row>
    <row r="9829" spans="1:5" x14ac:dyDescent="0.25">
      <c r="A9829" s="83"/>
      <c r="B9829" s="84"/>
      <c r="C9829" s="84"/>
      <c r="D9829" s="116"/>
      <c r="E9829" s="116"/>
    </row>
    <row r="9830" spans="1:5" x14ac:dyDescent="0.25">
      <c r="A9830" s="83"/>
      <c r="B9830" s="84"/>
      <c r="C9830" s="84"/>
      <c r="D9830" s="116"/>
      <c r="E9830" s="116"/>
    </row>
    <row r="9831" spans="1:5" x14ac:dyDescent="0.25">
      <c r="A9831" s="83"/>
      <c r="B9831" s="84"/>
      <c r="C9831" s="84"/>
      <c r="D9831" s="116"/>
      <c r="E9831" s="116"/>
    </row>
    <row r="9832" spans="1:5" x14ac:dyDescent="0.25">
      <c r="A9832" s="83"/>
      <c r="B9832" s="84"/>
      <c r="C9832" s="84"/>
      <c r="D9832" s="116"/>
      <c r="E9832" s="116"/>
    </row>
    <row r="9833" spans="1:5" x14ac:dyDescent="0.25">
      <c r="A9833" s="83"/>
      <c r="B9833" s="84"/>
      <c r="C9833" s="84"/>
      <c r="D9833" s="116"/>
      <c r="E9833" s="116"/>
    </row>
    <row r="9834" spans="1:5" x14ac:dyDescent="0.25">
      <c r="A9834" s="83"/>
      <c r="B9834" s="84"/>
      <c r="C9834" s="84"/>
      <c r="D9834" s="116"/>
      <c r="E9834" s="116"/>
    </row>
    <row r="9835" spans="1:5" x14ac:dyDescent="0.25">
      <c r="A9835" s="83"/>
      <c r="B9835" s="84"/>
      <c r="C9835" s="84"/>
      <c r="D9835" s="116"/>
      <c r="E9835" s="116"/>
    </row>
    <row r="9836" spans="1:5" x14ac:dyDescent="0.25">
      <c r="A9836" s="83"/>
      <c r="B9836" s="84"/>
      <c r="C9836" s="84"/>
      <c r="D9836" s="116"/>
      <c r="E9836" s="116"/>
    </row>
    <row r="9837" spans="1:5" x14ac:dyDescent="0.25">
      <c r="A9837" s="83"/>
      <c r="B9837" s="84"/>
      <c r="C9837" s="84"/>
      <c r="D9837" s="116"/>
      <c r="E9837" s="116"/>
    </row>
    <row r="9838" spans="1:5" x14ac:dyDescent="0.25">
      <c r="A9838" s="83"/>
      <c r="B9838" s="84"/>
      <c r="C9838" s="84"/>
      <c r="D9838" s="116"/>
      <c r="E9838" s="116"/>
    </row>
    <row r="9839" spans="1:5" x14ac:dyDescent="0.25">
      <c r="A9839" s="83"/>
      <c r="B9839" s="84"/>
      <c r="C9839" s="84"/>
      <c r="D9839" s="116"/>
      <c r="E9839" s="116"/>
    </row>
    <row r="9840" spans="1:5" x14ac:dyDescent="0.25">
      <c r="A9840" s="83"/>
      <c r="B9840" s="84"/>
      <c r="C9840" s="84"/>
      <c r="D9840" s="116"/>
      <c r="E9840" s="116"/>
    </row>
    <row r="9841" spans="1:5" x14ac:dyDescent="0.25">
      <c r="A9841" s="83"/>
      <c r="B9841" s="84"/>
      <c r="C9841" s="84"/>
      <c r="D9841" s="116"/>
      <c r="E9841" s="116"/>
    </row>
    <row r="9842" spans="1:5" x14ac:dyDescent="0.25">
      <c r="A9842" s="83"/>
      <c r="B9842" s="84"/>
      <c r="C9842" s="84"/>
      <c r="D9842" s="116"/>
      <c r="E9842" s="116"/>
    </row>
    <row r="9843" spans="1:5" x14ac:dyDescent="0.25">
      <c r="A9843" s="83"/>
      <c r="B9843" s="84"/>
      <c r="C9843" s="84"/>
      <c r="D9843" s="116"/>
      <c r="E9843" s="116"/>
    </row>
    <row r="9844" spans="1:5" x14ac:dyDescent="0.25">
      <c r="A9844" s="83"/>
      <c r="B9844" s="84"/>
      <c r="C9844" s="84"/>
      <c r="D9844" s="116"/>
      <c r="E9844" s="116"/>
    </row>
    <row r="9845" spans="1:5" x14ac:dyDescent="0.25">
      <c r="A9845" s="83"/>
      <c r="B9845" s="84"/>
      <c r="C9845" s="84"/>
      <c r="D9845" s="116"/>
      <c r="E9845" s="116"/>
    </row>
    <row r="9846" spans="1:5" x14ac:dyDescent="0.25">
      <c r="A9846" s="83"/>
      <c r="B9846" s="84"/>
      <c r="C9846" s="84"/>
      <c r="D9846" s="116"/>
      <c r="E9846" s="116"/>
    </row>
    <row r="9847" spans="1:5" x14ac:dyDescent="0.25">
      <c r="A9847" s="83"/>
      <c r="B9847" s="84"/>
      <c r="C9847" s="84"/>
      <c r="D9847" s="116"/>
      <c r="E9847" s="116"/>
    </row>
    <row r="9848" spans="1:5" x14ac:dyDescent="0.25">
      <c r="A9848" s="83"/>
      <c r="B9848" s="84"/>
      <c r="C9848" s="84"/>
      <c r="D9848" s="116"/>
      <c r="E9848" s="116"/>
    </row>
    <row r="9849" spans="1:5" x14ac:dyDescent="0.25">
      <c r="A9849" s="83"/>
      <c r="B9849" s="84"/>
      <c r="C9849" s="84"/>
      <c r="D9849" s="116"/>
      <c r="E9849" s="116"/>
    </row>
    <row r="9850" spans="1:5" x14ac:dyDescent="0.25">
      <c r="A9850" s="83"/>
      <c r="B9850" s="84"/>
      <c r="C9850" s="84"/>
      <c r="D9850" s="116"/>
      <c r="E9850" s="116"/>
    </row>
    <row r="9851" spans="1:5" x14ac:dyDescent="0.25">
      <c r="A9851" s="83"/>
      <c r="B9851" s="84"/>
      <c r="C9851" s="84"/>
      <c r="D9851" s="116"/>
      <c r="E9851" s="116"/>
    </row>
    <row r="9852" spans="1:5" x14ac:dyDescent="0.25">
      <c r="A9852" s="83"/>
      <c r="B9852" s="84"/>
      <c r="C9852" s="84"/>
      <c r="D9852" s="116"/>
      <c r="E9852" s="116"/>
    </row>
    <row r="9853" spans="1:5" x14ac:dyDescent="0.25">
      <c r="A9853" s="83"/>
      <c r="B9853" s="84"/>
      <c r="C9853" s="84"/>
      <c r="D9853" s="116"/>
      <c r="E9853" s="116"/>
    </row>
    <row r="9854" spans="1:5" x14ac:dyDescent="0.25">
      <c r="A9854" s="83"/>
      <c r="B9854" s="84"/>
      <c r="C9854" s="84"/>
      <c r="D9854" s="116"/>
      <c r="E9854" s="116"/>
    </row>
    <row r="9855" spans="1:5" x14ac:dyDescent="0.25">
      <c r="A9855" s="83"/>
      <c r="B9855" s="84"/>
      <c r="C9855" s="84"/>
      <c r="D9855" s="116"/>
      <c r="E9855" s="116"/>
    </row>
    <row r="9856" spans="1:5" x14ac:dyDescent="0.25">
      <c r="A9856" s="83"/>
      <c r="B9856" s="84"/>
      <c r="C9856" s="84"/>
      <c r="D9856" s="116"/>
      <c r="E9856" s="116"/>
    </row>
    <row r="9857" spans="1:5" x14ac:dyDescent="0.25">
      <c r="A9857" s="83"/>
      <c r="B9857" s="84"/>
      <c r="C9857" s="84"/>
      <c r="D9857" s="116"/>
      <c r="E9857" s="116"/>
    </row>
    <row r="9858" spans="1:5" x14ac:dyDescent="0.25">
      <c r="A9858" s="83"/>
      <c r="B9858" s="84"/>
      <c r="C9858" s="84"/>
      <c r="D9858" s="116"/>
      <c r="E9858" s="116"/>
    </row>
    <row r="9859" spans="1:5" x14ac:dyDescent="0.25">
      <c r="A9859" s="83"/>
      <c r="B9859" s="84"/>
      <c r="C9859" s="84"/>
      <c r="D9859" s="116"/>
      <c r="E9859" s="116"/>
    </row>
    <row r="9860" spans="1:5" x14ac:dyDescent="0.25">
      <c r="A9860" s="83"/>
      <c r="B9860" s="84"/>
      <c r="C9860" s="84"/>
      <c r="D9860" s="116"/>
      <c r="E9860" s="116"/>
    </row>
    <row r="9861" spans="1:5" x14ac:dyDescent="0.25">
      <c r="A9861" s="83"/>
      <c r="B9861" s="84"/>
      <c r="C9861" s="84"/>
      <c r="D9861" s="116"/>
      <c r="E9861" s="116"/>
    </row>
    <row r="9862" spans="1:5" x14ac:dyDescent="0.25">
      <c r="A9862" s="83"/>
      <c r="B9862" s="84"/>
      <c r="C9862" s="84"/>
      <c r="D9862" s="116"/>
      <c r="E9862" s="116"/>
    </row>
    <row r="9863" spans="1:5" x14ac:dyDescent="0.25">
      <c r="A9863" s="83"/>
      <c r="B9863" s="84"/>
      <c r="C9863" s="84"/>
      <c r="D9863" s="116"/>
      <c r="E9863" s="116"/>
    </row>
    <row r="9864" spans="1:5" x14ac:dyDescent="0.25">
      <c r="A9864" s="83"/>
      <c r="B9864" s="84"/>
      <c r="C9864" s="84"/>
      <c r="D9864" s="116"/>
      <c r="E9864" s="116"/>
    </row>
    <row r="9865" spans="1:5" x14ac:dyDescent="0.25">
      <c r="A9865" s="83"/>
      <c r="B9865" s="84"/>
      <c r="C9865" s="84"/>
      <c r="D9865" s="116"/>
      <c r="E9865" s="116"/>
    </row>
    <row r="9866" spans="1:5" x14ac:dyDescent="0.25">
      <c r="A9866" s="83"/>
      <c r="B9866" s="84"/>
      <c r="C9866" s="84"/>
      <c r="D9866" s="116"/>
      <c r="E9866" s="116"/>
    </row>
    <row r="9867" spans="1:5" x14ac:dyDescent="0.25">
      <c r="A9867" s="83"/>
      <c r="B9867" s="84"/>
      <c r="C9867" s="84"/>
      <c r="D9867" s="116"/>
      <c r="E9867" s="116"/>
    </row>
    <row r="9868" spans="1:5" x14ac:dyDescent="0.25">
      <c r="A9868" s="83"/>
      <c r="B9868" s="84"/>
      <c r="C9868" s="84"/>
      <c r="D9868" s="116"/>
      <c r="E9868" s="116"/>
    </row>
    <row r="9869" spans="1:5" x14ac:dyDescent="0.25">
      <c r="A9869" s="83"/>
      <c r="B9869" s="84"/>
      <c r="C9869" s="84"/>
      <c r="D9869" s="116"/>
      <c r="E9869" s="116"/>
    </row>
    <row r="9870" spans="1:5" x14ac:dyDescent="0.25">
      <c r="A9870" s="83"/>
      <c r="B9870" s="84"/>
      <c r="C9870" s="84"/>
      <c r="D9870" s="116"/>
      <c r="E9870" s="116"/>
    </row>
    <row r="9871" spans="1:5" x14ac:dyDescent="0.25">
      <c r="A9871" s="83"/>
      <c r="B9871" s="84"/>
      <c r="C9871" s="84"/>
      <c r="D9871" s="116"/>
      <c r="E9871" s="116"/>
    </row>
    <row r="9872" spans="1:5" x14ac:dyDescent="0.25">
      <c r="A9872" s="83"/>
      <c r="B9872" s="84"/>
      <c r="C9872" s="84"/>
      <c r="D9872" s="116"/>
      <c r="E9872" s="116"/>
    </row>
    <row r="9873" spans="1:5" x14ac:dyDescent="0.25">
      <c r="A9873" s="83"/>
      <c r="B9873" s="84"/>
      <c r="C9873" s="84"/>
      <c r="D9873" s="116"/>
      <c r="E9873" s="116"/>
    </row>
    <row r="9874" spans="1:5" x14ac:dyDescent="0.25">
      <c r="A9874" s="83"/>
      <c r="B9874" s="84"/>
      <c r="C9874" s="84"/>
      <c r="D9874" s="116"/>
      <c r="E9874" s="116"/>
    </row>
    <row r="9875" spans="1:5" x14ac:dyDescent="0.25">
      <c r="A9875" s="83"/>
      <c r="B9875" s="84"/>
      <c r="C9875" s="84"/>
      <c r="D9875" s="116"/>
      <c r="E9875" s="116"/>
    </row>
    <row r="9876" spans="1:5" x14ac:dyDescent="0.25">
      <c r="A9876" s="83"/>
      <c r="B9876" s="84"/>
      <c r="C9876" s="84"/>
      <c r="D9876" s="116"/>
      <c r="E9876" s="116"/>
    </row>
    <row r="9877" spans="1:5" x14ac:dyDescent="0.25">
      <c r="A9877" s="83"/>
      <c r="B9877" s="84"/>
      <c r="C9877" s="84"/>
      <c r="D9877" s="116"/>
      <c r="E9877" s="116"/>
    </row>
    <row r="9878" spans="1:5" x14ac:dyDescent="0.25">
      <c r="A9878" s="83"/>
      <c r="B9878" s="84"/>
      <c r="C9878" s="84"/>
      <c r="D9878" s="116"/>
      <c r="E9878" s="116"/>
    </row>
    <row r="9879" spans="1:5" x14ac:dyDescent="0.25">
      <c r="A9879" s="83"/>
      <c r="B9879" s="84"/>
      <c r="C9879" s="84"/>
      <c r="D9879" s="116"/>
      <c r="E9879" s="116"/>
    </row>
    <row r="9880" spans="1:5" x14ac:dyDescent="0.25">
      <c r="A9880" s="83"/>
      <c r="B9880" s="84"/>
      <c r="C9880" s="84"/>
      <c r="D9880" s="116"/>
      <c r="E9880" s="116"/>
    </row>
    <row r="9881" spans="1:5" x14ac:dyDescent="0.25">
      <c r="A9881" s="83"/>
      <c r="B9881" s="84"/>
      <c r="C9881" s="84"/>
      <c r="D9881" s="116"/>
      <c r="E9881" s="116"/>
    </row>
    <row r="9882" spans="1:5" x14ac:dyDescent="0.25">
      <c r="A9882" s="83"/>
      <c r="B9882" s="84"/>
      <c r="C9882" s="84"/>
      <c r="D9882" s="116"/>
      <c r="E9882" s="116"/>
    </row>
    <row r="9883" spans="1:5" x14ac:dyDescent="0.25">
      <c r="A9883" s="83"/>
      <c r="B9883" s="84"/>
      <c r="C9883" s="84"/>
      <c r="D9883" s="116"/>
      <c r="E9883" s="116"/>
    </row>
    <row r="9884" spans="1:5" x14ac:dyDescent="0.25">
      <c r="A9884" s="83"/>
      <c r="B9884" s="84"/>
      <c r="C9884" s="84"/>
      <c r="D9884" s="116"/>
      <c r="E9884" s="116"/>
    </row>
    <row r="9885" spans="1:5" x14ac:dyDescent="0.25">
      <c r="A9885" s="83"/>
      <c r="B9885" s="84"/>
      <c r="C9885" s="84"/>
      <c r="D9885" s="116"/>
      <c r="E9885" s="116"/>
    </row>
    <row r="9886" spans="1:5" x14ac:dyDescent="0.25">
      <c r="A9886" s="83"/>
      <c r="B9886" s="84"/>
      <c r="C9886" s="84"/>
      <c r="D9886" s="116"/>
      <c r="E9886" s="116"/>
    </row>
    <row r="9887" spans="1:5" x14ac:dyDescent="0.25">
      <c r="A9887" s="83"/>
      <c r="B9887" s="84"/>
      <c r="C9887" s="84"/>
      <c r="D9887" s="116"/>
      <c r="E9887" s="116"/>
    </row>
    <row r="9888" spans="1:5" x14ac:dyDescent="0.25">
      <c r="A9888" s="83"/>
      <c r="B9888" s="84"/>
      <c r="C9888" s="84"/>
      <c r="D9888" s="116"/>
      <c r="E9888" s="116"/>
    </row>
    <row r="9889" spans="1:5" x14ac:dyDescent="0.25">
      <c r="A9889" s="83"/>
      <c r="B9889" s="84"/>
      <c r="C9889" s="84"/>
      <c r="D9889" s="116"/>
      <c r="E9889" s="116"/>
    </row>
    <row r="9890" spans="1:5" x14ac:dyDescent="0.25">
      <c r="A9890" s="83"/>
      <c r="B9890" s="84"/>
      <c r="C9890" s="84"/>
      <c r="D9890" s="116"/>
      <c r="E9890" s="116"/>
    </row>
    <row r="9891" spans="1:5" x14ac:dyDescent="0.25">
      <c r="A9891" s="83"/>
      <c r="B9891" s="84"/>
      <c r="C9891" s="84"/>
      <c r="D9891" s="116"/>
      <c r="E9891" s="116"/>
    </row>
    <row r="9892" spans="1:5" x14ac:dyDescent="0.25">
      <c r="A9892" s="83"/>
      <c r="B9892" s="84"/>
      <c r="C9892" s="84"/>
      <c r="D9892" s="116"/>
      <c r="E9892" s="116"/>
    </row>
    <row r="9893" spans="1:5" x14ac:dyDescent="0.25">
      <c r="A9893" s="83"/>
      <c r="B9893" s="84"/>
      <c r="C9893" s="84"/>
      <c r="D9893" s="116"/>
      <c r="E9893" s="116"/>
    </row>
    <row r="9894" spans="1:5" x14ac:dyDescent="0.25">
      <c r="A9894" s="83"/>
      <c r="B9894" s="84"/>
      <c r="C9894" s="84"/>
      <c r="D9894" s="116"/>
      <c r="E9894" s="116"/>
    </row>
    <row r="9895" spans="1:5" x14ac:dyDescent="0.25">
      <c r="A9895" s="83"/>
      <c r="B9895" s="84"/>
      <c r="C9895" s="84"/>
      <c r="D9895" s="116"/>
      <c r="E9895" s="116"/>
    </row>
    <row r="9896" spans="1:5" x14ac:dyDescent="0.25">
      <c r="A9896" s="83"/>
      <c r="B9896" s="84"/>
      <c r="C9896" s="84"/>
      <c r="D9896" s="116"/>
      <c r="E9896" s="116"/>
    </row>
    <row r="9897" spans="1:5" x14ac:dyDescent="0.25">
      <c r="A9897" s="83"/>
      <c r="B9897" s="84"/>
      <c r="C9897" s="84"/>
      <c r="D9897" s="116"/>
      <c r="E9897" s="116"/>
    </row>
    <row r="9898" spans="1:5" x14ac:dyDescent="0.25">
      <c r="A9898" s="83"/>
      <c r="B9898" s="84"/>
      <c r="C9898" s="84"/>
      <c r="D9898" s="116"/>
      <c r="E9898" s="116"/>
    </row>
    <row r="9899" spans="1:5" x14ac:dyDescent="0.25">
      <c r="A9899" s="83"/>
      <c r="B9899" s="84"/>
      <c r="C9899" s="84"/>
      <c r="D9899" s="116"/>
      <c r="E9899" s="116"/>
    </row>
    <row r="9900" spans="1:5" x14ac:dyDescent="0.25">
      <c r="A9900" s="83"/>
      <c r="B9900" s="84"/>
      <c r="C9900" s="84"/>
      <c r="D9900" s="116"/>
      <c r="E9900" s="116"/>
    </row>
    <row r="9901" spans="1:5" x14ac:dyDescent="0.25">
      <c r="A9901" s="83"/>
      <c r="B9901" s="84"/>
      <c r="C9901" s="84"/>
      <c r="D9901" s="116"/>
      <c r="E9901" s="116"/>
    </row>
    <row r="9902" spans="1:5" x14ac:dyDescent="0.25">
      <c r="A9902" s="83"/>
      <c r="B9902" s="84"/>
      <c r="C9902" s="84"/>
      <c r="D9902" s="116"/>
      <c r="E9902" s="116"/>
    </row>
    <row r="9903" spans="1:5" x14ac:dyDescent="0.25">
      <c r="A9903" s="83"/>
      <c r="B9903" s="84"/>
      <c r="C9903" s="84"/>
      <c r="D9903" s="116"/>
      <c r="E9903" s="116"/>
    </row>
    <row r="9904" spans="1:5" x14ac:dyDescent="0.25">
      <c r="A9904" s="83"/>
      <c r="B9904" s="84"/>
      <c r="C9904" s="84"/>
      <c r="D9904" s="116"/>
      <c r="E9904" s="116"/>
    </row>
    <row r="9905" spans="1:5" x14ac:dyDescent="0.25">
      <c r="A9905" s="83"/>
      <c r="B9905" s="84"/>
      <c r="C9905" s="84"/>
      <c r="D9905" s="116"/>
      <c r="E9905" s="116"/>
    </row>
    <row r="9906" spans="1:5" x14ac:dyDescent="0.25">
      <c r="A9906" s="83"/>
      <c r="B9906" s="84"/>
      <c r="C9906" s="84"/>
      <c r="D9906" s="116"/>
      <c r="E9906" s="116"/>
    </row>
    <row r="9907" spans="1:5" x14ac:dyDescent="0.25">
      <c r="A9907" s="83"/>
      <c r="B9907" s="84"/>
      <c r="C9907" s="84"/>
      <c r="D9907" s="116"/>
      <c r="E9907" s="116"/>
    </row>
    <row r="9908" spans="1:5" x14ac:dyDescent="0.25">
      <c r="A9908" s="83"/>
      <c r="B9908" s="84"/>
      <c r="C9908" s="84"/>
      <c r="D9908" s="116"/>
      <c r="E9908" s="116"/>
    </row>
    <row r="9909" spans="1:5" x14ac:dyDescent="0.25">
      <c r="A9909" s="83"/>
      <c r="B9909" s="84"/>
      <c r="C9909" s="84"/>
      <c r="D9909" s="116"/>
      <c r="E9909" s="116"/>
    </row>
    <row r="9910" spans="1:5" x14ac:dyDescent="0.25">
      <c r="A9910" s="83"/>
      <c r="B9910" s="84"/>
      <c r="C9910" s="84"/>
      <c r="D9910" s="116"/>
      <c r="E9910" s="116"/>
    </row>
    <row r="9911" spans="1:5" x14ac:dyDescent="0.25">
      <c r="A9911" s="83"/>
      <c r="B9911" s="84"/>
      <c r="C9911" s="84"/>
      <c r="D9911" s="116"/>
      <c r="E9911" s="116"/>
    </row>
    <row r="9912" spans="1:5" x14ac:dyDescent="0.25">
      <c r="A9912" s="83"/>
      <c r="B9912" s="84"/>
      <c r="C9912" s="84"/>
      <c r="D9912" s="116"/>
      <c r="E9912" s="116"/>
    </row>
    <row r="9913" spans="1:5" x14ac:dyDescent="0.25">
      <c r="A9913" s="83"/>
      <c r="B9913" s="84"/>
      <c r="C9913" s="84"/>
      <c r="D9913" s="116"/>
      <c r="E9913" s="116"/>
    </row>
    <row r="9914" spans="1:5" x14ac:dyDescent="0.25">
      <c r="A9914" s="83"/>
      <c r="B9914" s="84"/>
      <c r="C9914" s="84"/>
      <c r="D9914" s="116"/>
      <c r="E9914" s="116"/>
    </row>
    <row r="9915" spans="1:5" x14ac:dyDescent="0.25">
      <c r="A9915" s="83"/>
      <c r="B9915" s="84"/>
      <c r="C9915" s="84"/>
      <c r="D9915" s="116"/>
      <c r="E9915" s="116"/>
    </row>
    <row r="9916" spans="1:5" x14ac:dyDescent="0.25">
      <c r="A9916" s="83"/>
      <c r="B9916" s="84"/>
      <c r="C9916" s="84"/>
      <c r="D9916" s="116"/>
      <c r="E9916" s="116"/>
    </row>
    <row r="9917" spans="1:5" x14ac:dyDescent="0.25">
      <c r="A9917" s="83"/>
      <c r="B9917" s="84"/>
      <c r="C9917" s="84"/>
      <c r="D9917" s="116"/>
      <c r="E9917" s="116"/>
    </row>
    <row r="9918" spans="1:5" x14ac:dyDescent="0.25">
      <c r="A9918" s="83"/>
      <c r="B9918" s="84"/>
      <c r="C9918" s="84"/>
      <c r="D9918" s="116"/>
      <c r="E9918" s="116"/>
    </row>
    <row r="9919" spans="1:5" x14ac:dyDescent="0.25">
      <c r="A9919" s="83"/>
      <c r="B9919" s="84"/>
      <c r="C9919" s="84"/>
      <c r="D9919" s="116"/>
      <c r="E9919" s="116"/>
    </row>
    <row r="9920" spans="1:5" x14ac:dyDescent="0.25">
      <c r="A9920" s="83"/>
      <c r="B9920" s="84"/>
      <c r="C9920" s="84"/>
      <c r="D9920" s="116"/>
      <c r="E9920" s="116"/>
    </row>
    <row r="9921" spans="1:5" x14ac:dyDescent="0.25">
      <c r="A9921" s="83"/>
      <c r="B9921" s="84"/>
      <c r="C9921" s="84"/>
      <c r="D9921" s="116"/>
      <c r="E9921" s="116"/>
    </row>
    <row r="9922" spans="1:5" x14ac:dyDescent="0.25">
      <c r="A9922" s="83"/>
      <c r="B9922" s="84"/>
      <c r="C9922" s="84"/>
      <c r="D9922" s="116"/>
      <c r="E9922" s="116"/>
    </row>
    <row r="9923" spans="1:5" x14ac:dyDescent="0.25">
      <c r="A9923" s="83"/>
      <c r="B9923" s="84"/>
      <c r="C9923" s="84"/>
      <c r="D9923" s="116"/>
      <c r="E9923" s="116"/>
    </row>
    <row r="9924" spans="1:5" x14ac:dyDescent="0.25">
      <c r="A9924" s="83"/>
      <c r="B9924" s="84"/>
      <c r="C9924" s="84"/>
      <c r="D9924" s="116"/>
      <c r="E9924" s="116"/>
    </row>
    <row r="9925" spans="1:5" x14ac:dyDescent="0.25">
      <c r="A9925" s="83"/>
      <c r="B9925" s="84"/>
      <c r="C9925" s="84"/>
      <c r="D9925" s="116"/>
      <c r="E9925" s="116"/>
    </row>
    <row r="9926" spans="1:5" x14ac:dyDescent="0.25">
      <c r="A9926" s="83"/>
      <c r="B9926" s="84"/>
      <c r="C9926" s="84"/>
      <c r="D9926" s="116"/>
      <c r="E9926" s="116"/>
    </row>
    <row r="9927" spans="1:5" x14ac:dyDescent="0.25">
      <c r="A9927" s="83"/>
      <c r="B9927" s="84"/>
      <c r="C9927" s="84"/>
      <c r="D9927" s="116"/>
      <c r="E9927" s="116"/>
    </row>
    <row r="9928" spans="1:5" x14ac:dyDescent="0.25">
      <c r="A9928" s="83"/>
      <c r="B9928" s="84"/>
      <c r="C9928" s="84"/>
      <c r="D9928" s="116"/>
      <c r="E9928" s="116"/>
    </row>
    <row r="9929" spans="1:5" x14ac:dyDescent="0.25">
      <c r="A9929" s="83"/>
      <c r="B9929" s="84"/>
      <c r="C9929" s="84"/>
      <c r="D9929" s="116"/>
      <c r="E9929" s="116"/>
    </row>
    <row r="9930" spans="1:5" x14ac:dyDescent="0.25">
      <c r="A9930" s="83"/>
      <c r="B9930" s="84"/>
      <c r="C9930" s="84"/>
      <c r="D9930" s="116"/>
      <c r="E9930" s="116"/>
    </row>
    <row r="9931" spans="1:5" x14ac:dyDescent="0.25">
      <c r="A9931" s="83"/>
      <c r="B9931" s="84"/>
      <c r="C9931" s="84"/>
      <c r="D9931" s="116"/>
      <c r="E9931" s="116"/>
    </row>
    <row r="9932" spans="1:5" x14ac:dyDescent="0.25">
      <c r="A9932" s="83"/>
      <c r="B9932" s="84"/>
      <c r="C9932" s="84"/>
      <c r="D9932" s="116"/>
      <c r="E9932" s="116"/>
    </row>
    <row r="9933" spans="1:5" x14ac:dyDescent="0.25">
      <c r="A9933" s="83"/>
      <c r="B9933" s="84"/>
      <c r="C9933" s="84"/>
      <c r="D9933" s="116"/>
      <c r="E9933" s="116"/>
    </row>
    <row r="9934" spans="1:5" x14ac:dyDescent="0.25">
      <c r="A9934" s="83"/>
      <c r="B9934" s="84"/>
      <c r="C9934" s="84"/>
      <c r="D9934" s="116"/>
      <c r="E9934" s="116"/>
    </row>
    <row r="9935" spans="1:5" x14ac:dyDescent="0.25">
      <c r="A9935" s="83"/>
      <c r="B9935" s="84"/>
      <c r="C9935" s="84"/>
      <c r="D9935" s="116"/>
      <c r="E9935" s="116"/>
    </row>
    <row r="9936" spans="1:5" x14ac:dyDescent="0.25">
      <c r="A9936" s="83"/>
      <c r="B9936" s="84"/>
      <c r="C9936" s="84"/>
      <c r="D9936" s="116"/>
      <c r="E9936" s="116"/>
    </row>
    <row r="9937" spans="1:5" x14ac:dyDescent="0.25">
      <c r="A9937" s="83"/>
      <c r="B9937" s="84"/>
      <c r="C9937" s="84"/>
      <c r="D9937" s="116"/>
      <c r="E9937" s="116"/>
    </row>
    <row r="9938" spans="1:5" x14ac:dyDescent="0.25">
      <c r="A9938" s="83"/>
      <c r="B9938" s="84"/>
      <c r="C9938" s="84"/>
      <c r="D9938" s="116"/>
      <c r="E9938" s="116"/>
    </row>
    <row r="9939" spans="1:5" x14ac:dyDescent="0.25">
      <c r="A9939" s="83"/>
      <c r="B9939" s="84"/>
      <c r="C9939" s="84"/>
      <c r="D9939" s="116"/>
      <c r="E9939" s="116"/>
    </row>
    <row r="9940" spans="1:5" x14ac:dyDescent="0.25">
      <c r="A9940" s="83"/>
      <c r="B9940" s="84"/>
      <c r="C9940" s="84"/>
      <c r="D9940" s="116"/>
      <c r="E9940" s="116"/>
    </row>
    <row r="9941" spans="1:5" x14ac:dyDescent="0.25">
      <c r="A9941" s="83"/>
      <c r="B9941" s="84"/>
      <c r="C9941" s="84"/>
      <c r="D9941" s="116"/>
      <c r="E9941" s="116"/>
    </row>
    <row r="9942" spans="1:5" x14ac:dyDescent="0.25">
      <c r="A9942" s="83"/>
      <c r="B9942" s="84"/>
      <c r="C9942" s="84"/>
      <c r="D9942" s="116"/>
      <c r="E9942" s="116"/>
    </row>
    <row r="9943" spans="1:5" x14ac:dyDescent="0.25">
      <c r="A9943" s="83"/>
      <c r="B9943" s="84"/>
      <c r="C9943" s="84"/>
      <c r="D9943" s="116"/>
      <c r="E9943" s="116"/>
    </row>
    <row r="9944" spans="1:5" x14ac:dyDescent="0.25">
      <c r="A9944" s="83"/>
      <c r="B9944" s="84"/>
      <c r="C9944" s="84"/>
      <c r="D9944" s="116"/>
      <c r="E9944" s="116"/>
    </row>
    <row r="9945" spans="1:5" x14ac:dyDescent="0.25">
      <c r="A9945" s="83"/>
      <c r="B9945" s="84"/>
      <c r="C9945" s="84"/>
      <c r="D9945" s="116"/>
      <c r="E9945" s="116"/>
    </row>
    <row r="9946" spans="1:5" x14ac:dyDescent="0.25">
      <c r="A9946" s="83"/>
      <c r="B9946" s="84"/>
      <c r="C9946" s="84"/>
      <c r="D9946" s="116"/>
      <c r="E9946" s="116"/>
    </row>
    <row r="9947" spans="1:5" x14ac:dyDescent="0.25">
      <c r="A9947" s="83"/>
      <c r="B9947" s="84"/>
      <c r="C9947" s="84"/>
      <c r="D9947" s="116"/>
      <c r="E9947" s="116"/>
    </row>
    <row r="9948" spans="1:5" x14ac:dyDescent="0.25">
      <c r="A9948" s="83"/>
      <c r="B9948" s="84"/>
      <c r="C9948" s="84"/>
      <c r="D9948" s="116"/>
      <c r="E9948" s="116"/>
    </row>
    <row r="9949" spans="1:5" x14ac:dyDescent="0.25">
      <c r="A9949" s="83"/>
      <c r="B9949" s="84"/>
      <c r="C9949" s="84"/>
      <c r="D9949" s="116"/>
      <c r="E9949" s="116"/>
    </row>
    <row r="9950" spans="1:5" x14ac:dyDescent="0.25">
      <c r="A9950" s="83"/>
      <c r="B9950" s="84"/>
      <c r="C9950" s="84"/>
      <c r="D9950" s="116"/>
      <c r="E9950" s="116"/>
    </row>
    <row r="9951" spans="1:5" x14ac:dyDescent="0.25">
      <c r="A9951" s="83"/>
      <c r="B9951" s="84"/>
      <c r="C9951" s="84"/>
      <c r="D9951" s="116"/>
      <c r="E9951" s="116"/>
    </row>
    <row r="9952" spans="1:5" x14ac:dyDescent="0.25">
      <c r="A9952" s="83"/>
      <c r="B9952" s="84"/>
      <c r="C9952" s="84"/>
      <c r="D9952" s="116"/>
      <c r="E9952" s="116"/>
    </row>
    <row r="9953" spans="1:5" x14ac:dyDescent="0.25">
      <c r="A9953" s="83"/>
      <c r="B9953" s="84"/>
      <c r="C9953" s="84"/>
      <c r="D9953" s="116"/>
      <c r="E9953" s="116"/>
    </row>
    <row r="9954" spans="1:5" x14ac:dyDescent="0.25">
      <c r="A9954" s="83"/>
      <c r="B9954" s="84"/>
      <c r="C9954" s="84"/>
      <c r="D9954" s="116"/>
      <c r="E9954" s="116"/>
    </row>
    <row r="9955" spans="1:5" x14ac:dyDescent="0.25">
      <c r="A9955" s="83"/>
      <c r="B9955" s="84"/>
      <c r="C9955" s="84"/>
      <c r="D9955" s="116"/>
      <c r="E9955" s="116"/>
    </row>
    <row r="9956" spans="1:5" x14ac:dyDescent="0.25">
      <c r="A9956" s="83"/>
      <c r="B9956" s="84"/>
      <c r="C9956" s="84"/>
      <c r="D9956" s="116"/>
      <c r="E9956" s="116"/>
    </row>
    <row r="9957" spans="1:5" x14ac:dyDescent="0.25">
      <c r="A9957" s="83"/>
      <c r="B9957" s="84"/>
      <c r="C9957" s="84"/>
      <c r="D9957" s="116"/>
      <c r="E9957" s="116"/>
    </row>
    <row r="9958" spans="1:5" x14ac:dyDescent="0.25">
      <c r="A9958" s="83"/>
      <c r="B9958" s="84"/>
      <c r="C9958" s="84"/>
      <c r="D9958" s="116"/>
      <c r="E9958" s="116"/>
    </row>
    <row r="9959" spans="1:5" x14ac:dyDescent="0.25">
      <c r="A9959" s="83"/>
      <c r="B9959" s="84"/>
      <c r="C9959" s="84"/>
      <c r="D9959" s="116"/>
      <c r="E9959" s="116"/>
    </row>
    <row r="9960" spans="1:5" x14ac:dyDescent="0.25">
      <c r="A9960" s="83"/>
      <c r="B9960" s="84"/>
      <c r="C9960" s="84"/>
      <c r="D9960" s="116"/>
      <c r="E9960" s="116"/>
    </row>
    <row r="9961" spans="1:5" x14ac:dyDescent="0.25">
      <c r="A9961" s="83"/>
      <c r="B9961" s="84"/>
      <c r="C9961" s="84"/>
      <c r="D9961" s="116"/>
      <c r="E9961" s="116"/>
    </row>
    <row r="9962" spans="1:5" x14ac:dyDescent="0.25">
      <c r="A9962" s="83"/>
      <c r="B9962" s="84"/>
      <c r="C9962" s="84"/>
      <c r="D9962" s="116"/>
      <c r="E9962" s="116"/>
    </row>
    <row r="9963" spans="1:5" x14ac:dyDescent="0.25">
      <c r="A9963" s="83"/>
      <c r="B9963" s="84"/>
      <c r="C9963" s="84"/>
      <c r="D9963" s="116"/>
      <c r="E9963" s="116"/>
    </row>
    <row r="9964" spans="1:5" x14ac:dyDescent="0.25">
      <c r="A9964" s="83"/>
      <c r="B9964" s="84"/>
      <c r="C9964" s="84"/>
      <c r="D9964" s="116"/>
      <c r="E9964" s="116"/>
    </row>
    <row r="9965" spans="1:5" x14ac:dyDescent="0.25">
      <c r="A9965" s="83"/>
      <c r="B9965" s="84"/>
      <c r="C9965" s="84"/>
      <c r="D9965" s="116"/>
      <c r="E9965" s="116"/>
    </row>
    <row r="9966" spans="1:5" x14ac:dyDescent="0.25">
      <c r="A9966" s="83"/>
      <c r="B9966" s="84"/>
      <c r="C9966" s="84"/>
      <c r="D9966" s="116"/>
      <c r="E9966" s="116"/>
    </row>
    <row r="9967" spans="1:5" x14ac:dyDescent="0.25">
      <c r="A9967" s="83"/>
      <c r="B9967" s="84"/>
      <c r="C9967" s="84"/>
      <c r="D9967" s="116"/>
      <c r="E9967" s="116"/>
    </row>
    <row r="9968" spans="1:5" x14ac:dyDescent="0.25">
      <c r="A9968" s="83"/>
      <c r="B9968" s="84"/>
      <c r="C9968" s="84"/>
      <c r="D9968" s="116"/>
      <c r="E9968" s="116"/>
    </row>
    <row r="9969" spans="1:5" x14ac:dyDescent="0.25">
      <c r="A9969" s="83"/>
      <c r="B9969" s="84"/>
      <c r="C9969" s="84"/>
      <c r="D9969" s="116"/>
      <c r="E9969" s="116"/>
    </row>
    <row r="9970" spans="1:5" x14ac:dyDescent="0.25">
      <c r="A9970" s="83"/>
      <c r="B9970" s="84"/>
      <c r="C9970" s="84"/>
      <c r="D9970" s="116"/>
      <c r="E9970" s="116"/>
    </row>
    <row r="9971" spans="1:5" x14ac:dyDescent="0.25">
      <c r="A9971" s="83"/>
      <c r="B9971" s="84"/>
      <c r="C9971" s="84"/>
      <c r="D9971" s="116"/>
      <c r="E9971" s="116"/>
    </row>
    <row r="9972" spans="1:5" x14ac:dyDescent="0.25">
      <c r="A9972" s="83"/>
      <c r="B9972" s="84"/>
      <c r="C9972" s="84"/>
      <c r="D9972" s="116"/>
      <c r="E9972" s="116"/>
    </row>
    <row r="9973" spans="1:5" x14ac:dyDescent="0.25">
      <c r="A9973" s="83"/>
      <c r="B9973" s="84"/>
      <c r="C9973" s="84"/>
      <c r="D9973" s="116"/>
      <c r="E9973" s="116"/>
    </row>
    <row r="9974" spans="1:5" x14ac:dyDescent="0.25">
      <c r="A9974" s="83"/>
      <c r="B9974" s="84"/>
      <c r="C9974" s="84"/>
      <c r="D9974" s="116"/>
      <c r="E9974" s="116"/>
    </row>
    <row r="9975" spans="1:5" x14ac:dyDescent="0.25">
      <c r="A9975" s="83"/>
      <c r="B9975" s="84"/>
      <c r="C9975" s="84"/>
      <c r="D9975" s="116"/>
      <c r="E9975" s="116"/>
    </row>
    <row r="9976" spans="1:5" x14ac:dyDescent="0.25">
      <c r="A9976" s="83"/>
      <c r="B9976" s="84"/>
      <c r="C9976" s="84"/>
      <c r="D9976" s="116"/>
      <c r="E9976" s="116"/>
    </row>
    <row r="9977" spans="1:5" x14ac:dyDescent="0.25">
      <c r="A9977" s="83"/>
      <c r="B9977" s="84"/>
      <c r="C9977" s="84"/>
      <c r="D9977" s="116"/>
      <c r="E9977" s="116"/>
    </row>
    <row r="9978" spans="1:5" x14ac:dyDescent="0.25">
      <c r="A9978" s="83"/>
      <c r="B9978" s="84"/>
      <c r="C9978" s="84"/>
      <c r="D9978" s="116"/>
      <c r="E9978" s="116"/>
    </row>
    <row r="9979" spans="1:5" x14ac:dyDescent="0.25">
      <c r="A9979" s="83"/>
      <c r="B9979" s="84"/>
      <c r="C9979" s="84"/>
      <c r="D9979" s="116"/>
      <c r="E9979" s="116"/>
    </row>
    <row r="9980" spans="1:5" x14ac:dyDescent="0.25">
      <c r="A9980" s="83"/>
      <c r="B9980" s="84"/>
      <c r="C9980" s="84"/>
      <c r="D9980" s="116"/>
      <c r="E9980" s="116"/>
    </row>
  </sheetData>
  <sheetProtection algorithmName="SHA-512" hashValue="0ZoAWofhoziHojt7hrTu0bhXvfkp9cUopXHz8FUdPP8q7a4W/dHA76xhRmdOlaSKY4uI9afxcJJRobzp2Eu2hg==" saltValue="VHkERAAH5gOXoO00uEWPug==" spinCount="100000" sheet="1" objects="1" scenarios="1" formatCells="0" formatColumns="0" formatRows="0" autoFilter="0"/>
  <autoFilter ref="A3:E61" xr:uid="{D30E27E8-ED49-4499-937E-B4FE9171138F}"/>
  <sortState xmlns:xlrd2="http://schemas.microsoft.com/office/spreadsheetml/2017/richdata2" ref="A4:E5">
    <sortCondition ref="A4"/>
  </sortState>
  <mergeCells count="1">
    <mergeCell ref="C1:E1"/>
  </mergeCells>
  <conditionalFormatting sqref="A1">
    <cfRule type="cellIs" dxfId="7" priority="7" operator="lessThan">
      <formula>0</formula>
    </cfRule>
    <cfRule type="cellIs" dxfId="6" priority="8" operator="lessThan">
      <formula>0</formula>
    </cfRule>
  </conditionalFormatting>
  <conditionalFormatting sqref="B1">
    <cfRule type="cellIs" dxfId="5" priority="1" operator="lessThan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paperSize="9" scale="6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promptTitle="Uscite" xr:uid="{04A6D123-AA72-4237-BD94-8DE79674A210}">
          <x14:formula1>
            <xm:f>'Impostazioni Software'!$A$6:$A$9</xm:f>
          </x14:formula1>
          <xm:sqref>E64 E62 E4</xm:sqref>
        </x14:dataValidation>
        <x14:dataValidation type="list" allowBlank="1" showInputMessage="1" showErrorMessage="1" promptTitle="Uscite" xr:uid="{74F991FC-7939-447D-942A-298C874F9007}">
          <x14:formula1>
            <xm:f>'Impostazioni Software'!$A$6:$A$12</xm:f>
          </x14:formula1>
          <xm:sqref>E33 E28 E12 E19 E7 E35 E39:E44 E53 E58</xm:sqref>
        </x14:dataValidation>
        <x14:dataValidation type="list" allowBlank="1" showInputMessage="1" showErrorMessage="1" promptTitle="Uscite" xr:uid="{24273445-5288-44AB-8376-98304280BC3E}">
          <x14:formula1>
            <xm:f>'Impostazioni Software'!$A$6:$A$13</xm:f>
          </x14:formula1>
          <xm:sqref>E60:E61 E23:E24</xm:sqref>
        </x14:dataValidation>
        <x14:dataValidation type="list" allowBlank="1" showInputMessage="1" showErrorMessage="1" promptTitle="Uscite" xr:uid="{C04414E3-E319-46B9-A55E-42CF74A924D8}">
          <x14:formula1>
            <xm:f>'Impostazioni Software'!$B$6:$B$25</xm:f>
          </x14:formula1>
          <xm:sqref>E65:E71 E63</xm:sqref>
        </x14:dataValidation>
        <x14:dataValidation type="list" allowBlank="1" showInputMessage="1" showErrorMessage="1" promptTitle="Uscite" xr:uid="{5F0C4B4C-6B07-4EE2-A60C-F2693508F1D2}">
          <x14:formula1>
            <xm:f>'Impostazioni Software'!$B$6:$B$29</xm:f>
          </x14:formula1>
          <xm:sqref>E8:E11 E6</xm:sqref>
        </x14:dataValidation>
        <x14:dataValidation type="list" allowBlank="1" showInputMessage="1" showErrorMessage="1" promptTitle="Uscite" xr:uid="{C523FDBA-ECD4-4FF6-ACE7-306003BAC826}">
          <x14:formula1>
            <xm:f>'Impostazioni Software'!$B$6:$B$30</xm:f>
          </x14:formula1>
          <xm:sqref>E13:E14</xm:sqref>
        </x14:dataValidation>
        <x14:dataValidation type="list" allowBlank="1" showInputMessage="1" showErrorMessage="1" promptTitle="Uscite" xr:uid="{7BE4B79A-FF2C-41FF-AA26-6EA5862DB898}">
          <x14:formula1>
            <xm:f>'Impostazioni Software'!$B$6:$B$31</xm:f>
          </x14:formula1>
          <xm:sqref>E29:E31 E54:E55 E45:E52 E25:E27 E20:E22 E34 E15:E18 E36:E38</xm:sqref>
        </x14:dataValidation>
        <x14:dataValidation type="list" allowBlank="1" showInputMessage="1" showErrorMessage="1" promptTitle="Uscite" xr:uid="{E2726A4D-5E94-4947-94A8-C4902A294113}">
          <x14:formula1>
            <xm:f>'Impostazioni Software'!$B$6:$B$32</xm:f>
          </x14:formula1>
          <xm:sqref>E59 E32 E56:E57</xm:sqref>
        </x14:dataValidation>
        <x14:dataValidation type="list" allowBlank="1" showInputMessage="1" showErrorMessage="1" promptTitle="Uscite" xr:uid="{E5ABFDFA-FEF2-466E-A7F3-64A17859144C}">
          <x14:formula1>
            <xm:f>'Impostazioni Software'!$B$6:$B$28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Q674"/>
  <sheetViews>
    <sheetView zoomScaleNormal="100" workbookViewId="0">
      <pane ySplit="4" topLeftCell="A5" activePane="bottomLeft" state="frozen"/>
      <selection activeCell="C4" sqref="C4"/>
      <selection pane="bottomLeft" activeCell="G41" sqref="G41"/>
    </sheetView>
  </sheetViews>
  <sheetFormatPr defaultColWidth="8.85546875" defaultRowHeight="15" x14ac:dyDescent="0.25"/>
  <cols>
    <col min="1" max="1" width="40.28515625" bestFit="1" customWidth="1"/>
    <col min="2" max="2" width="17.42578125" bestFit="1" customWidth="1"/>
    <col min="3" max="3" width="21.42578125" customWidth="1"/>
    <col min="4" max="4" width="13.140625" bestFit="1" customWidth="1"/>
    <col min="5" max="5" width="11.85546875" bestFit="1" customWidth="1"/>
    <col min="6" max="6" width="13.140625" bestFit="1" customWidth="1"/>
    <col min="7" max="9" width="11.85546875" bestFit="1" customWidth="1"/>
    <col min="10" max="10" width="13.42578125" bestFit="1" customWidth="1"/>
    <col min="11" max="11" width="11.85546875" bestFit="1" customWidth="1"/>
    <col min="12" max="12" width="13.42578125" bestFit="1" customWidth="1"/>
    <col min="13" max="13" width="12.28515625" bestFit="1" customWidth="1"/>
    <col min="14" max="14" width="13.140625" bestFit="1" customWidth="1"/>
    <col min="15" max="15" width="14.85546875" bestFit="1" customWidth="1"/>
    <col min="16" max="16" width="12" bestFit="1" customWidth="1"/>
    <col min="17" max="17" width="14.7109375" bestFit="1" customWidth="1"/>
  </cols>
  <sheetData>
    <row r="1" spans="1:17" ht="36.75" thickBot="1" x14ac:dyDescent="0.6">
      <c r="A1" s="186" t="str">
        <f>"Panoramica Entrate-Uscite per l'anno "&amp;'Impostazioni Software'!B2&amp;" di "&amp;'Impostazioni Software'!B1</f>
        <v>Panoramica Entrate-Uscite per l'anno 2019 di Mario Rossi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8"/>
    </row>
    <row r="2" spans="1:17" ht="15.75" thickBo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1:17" ht="15.75" hidden="1" thickBot="1" x14ac:dyDescent="0.3">
      <c r="A3" s="12"/>
      <c r="B3" s="12">
        <v>1</v>
      </c>
      <c r="C3" s="12">
        <v>2</v>
      </c>
      <c r="D3" s="12">
        <v>3</v>
      </c>
      <c r="E3" s="12">
        <v>4</v>
      </c>
      <c r="F3" s="12">
        <v>5</v>
      </c>
      <c r="G3" s="12">
        <v>6</v>
      </c>
      <c r="H3" s="12">
        <v>7</v>
      </c>
      <c r="I3" s="12">
        <v>8</v>
      </c>
      <c r="J3" s="12">
        <v>9</v>
      </c>
      <c r="K3" s="12">
        <v>10</v>
      </c>
      <c r="L3" s="12">
        <v>11</v>
      </c>
      <c r="M3" s="12">
        <v>12</v>
      </c>
      <c r="N3" s="12"/>
      <c r="O3" s="12"/>
    </row>
    <row r="4" spans="1:17" s="160" customFormat="1" ht="19.5" thickBot="1" x14ac:dyDescent="0.35">
      <c r="A4" s="155"/>
      <c r="B4" s="156" t="s">
        <v>0</v>
      </c>
      <c r="C4" s="157" t="s">
        <v>1</v>
      </c>
      <c r="D4" s="157" t="s">
        <v>2</v>
      </c>
      <c r="E4" s="157" t="s">
        <v>3</v>
      </c>
      <c r="F4" s="157" t="s">
        <v>4</v>
      </c>
      <c r="G4" s="157" t="s">
        <v>5</v>
      </c>
      <c r="H4" s="157" t="s">
        <v>6</v>
      </c>
      <c r="I4" s="157" t="s">
        <v>7</v>
      </c>
      <c r="J4" s="157" t="s">
        <v>8</v>
      </c>
      <c r="K4" s="157" t="s">
        <v>9</v>
      </c>
      <c r="L4" s="157" t="s">
        <v>10</v>
      </c>
      <c r="M4" s="157" t="s">
        <v>11</v>
      </c>
      <c r="N4" s="158" t="s">
        <v>14</v>
      </c>
      <c r="O4" s="159" t="s">
        <v>23</v>
      </c>
    </row>
    <row r="5" spans="1:17" s="148" customFormat="1" ht="19.5" thickBot="1" x14ac:dyDescent="0.35">
      <c r="A5" s="146" t="str">
        <f>"Entrate(SALDO AL 31/12/"&amp;'Impostazioni Software'!B2-1&amp;")"</f>
        <v>Entrate(SALDO AL 31/12/2018)</v>
      </c>
      <c r="B5" s="147">
        <f>'Impostazioni Software'!B3</f>
        <v>10000</v>
      </c>
      <c r="C5" s="183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5"/>
    </row>
    <row r="6" spans="1:17" ht="15.75" thickBot="1" x14ac:dyDescent="0.3">
      <c r="A6" s="163" t="s">
        <v>60</v>
      </c>
      <c r="B6" s="13">
        <f>SUMIFS('Prima Nota'!$B$1:$B$9845,'Prima Nota'!$E$1:$E$9845,$A6,'Prima Nota'!$A$1:$A$9845,"&gt;="&amp;DATE('Impostazioni Software'!$B$2, B$3, 1),'Prima Nota'!$A$1:$A$9845,"&lt;="&amp;EOMONTH(DATE('Impostazioni Software'!$B$2,B$3, 1),0))</f>
        <v>1</v>
      </c>
      <c r="C6" s="13">
        <f>SUMIFS('Prima Nota'!$B$1:$B$9845,'Prima Nota'!$E$1:$E$9845,$A6,'Prima Nota'!$A$1:$A$9845,"&gt;="&amp;DATE('Impostazioni Software'!$B$2, C$3, 1),'Prima Nota'!$A$1:$A$9845,"&lt;="&amp;EOMONTH(DATE('Impostazioni Software'!$B$2,C$3, 1),0))</f>
        <v>0</v>
      </c>
      <c r="D6" s="13">
        <f>SUMIFS('Prima Nota'!$B$1:$B$9845,'Prima Nota'!$E$1:$E$9845,$A6,'Prima Nota'!$A$1:$A$9845,"&gt;="&amp;DATE('Impostazioni Software'!$B$2, D$3, 1),'Prima Nota'!$A$1:$A$9845,"&lt;="&amp;EOMONTH(DATE('Impostazioni Software'!$B$2,D$3, 1),0))</f>
        <v>0</v>
      </c>
      <c r="E6" s="13">
        <f>SUMIFS('Prima Nota'!$B$1:$B$9845,'Prima Nota'!$E$1:$E$9845,$A6,'Prima Nota'!$A$1:$A$9845,"&gt;="&amp;DATE('Impostazioni Software'!$B$2, E$3, 1),'Prima Nota'!$A$1:$A$9845,"&lt;="&amp;EOMONTH(DATE('Impostazioni Software'!$B$2,E$3, 1),0))</f>
        <v>0</v>
      </c>
      <c r="F6" s="13">
        <f>SUMIFS('Prima Nota'!$B$1:$B$9845,'Prima Nota'!$E$1:$E$9845,$A6,'Prima Nota'!$A$1:$A$9845,"&gt;="&amp;DATE('Impostazioni Software'!$B$2, F$3, 1),'Prima Nota'!$A$1:$A$9845,"&lt;="&amp;EOMONTH(DATE('Impostazioni Software'!$B$2,F$3, 1),0))</f>
        <v>0</v>
      </c>
      <c r="G6" s="13">
        <f>SUMIFS('Prima Nota'!$B$1:$B$9845,'Prima Nota'!$E$1:$E$9845,$A6,'Prima Nota'!$A$1:$A$9845,"&gt;="&amp;DATE('Impostazioni Software'!$B$2, G$3, 1),'Prima Nota'!$A$1:$A$9845,"&lt;="&amp;EOMONTH(DATE('Impostazioni Software'!$B$2,G$3, 1),0))</f>
        <v>0</v>
      </c>
      <c r="H6" s="13">
        <f>SUMIFS('Prima Nota'!$B$1:$B$9845,'Prima Nota'!$E$1:$E$9845,$A6,'Prima Nota'!$A$1:$A$9845,"&gt;="&amp;DATE('Impostazioni Software'!$B$2, H$3, 1),'Prima Nota'!$A$1:$A$9845,"&lt;="&amp;EOMONTH(DATE('Impostazioni Software'!$B$2,H$3, 1),0))</f>
        <v>0</v>
      </c>
      <c r="I6" s="13">
        <f>SUMIFS('Prima Nota'!$B$1:$B$9845,'Prima Nota'!$E$1:$E$9845,$A6,'Prima Nota'!$A$1:$A$9845,"&gt;="&amp;DATE('Impostazioni Software'!$B$2, I$3, 1),'Prima Nota'!$A$1:$A$9845,"&lt;="&amp;EOMONTH(DATE('Impostazioni Software'!$B$2,I$3, 1),0))</f>
        <v>0</v>
      </c>
      <c r="J6" s="13">
        <f>SUMIFS('Prima Nota'!$B$1:$B$9845,'Prima Nota'!$E$1:$E$9845,$A6,'Prima Nota'!$A$1:$A$9845,"&gt;="&amp;DATE('Impostazioni Software'!$B$2, J$3, 1),'Prima Nota'!$A$1:$A$9845,"&lt;="&amp;EOMONTH(DATE('Impostazioni Software'!$B$2,J$3, 1),0))</f>
        <v>0</v>
      </c>
      <c r="K6" s="13">
        <f>SUMIFS('Prima Nota'!$B$1:$B$9845,'Prima Nota'!$E$1:$E$9845,$A6,'Prima Nota'!$A$1:$A$9845,"&gt;="&amp;DATE('Impostazioni Software'!$B$2, K$3, 1),'Prima Nota'!$A$1:$A$9845,"&lt;="&amp;EOMONTH(DATE('Impostazioni Software'!$B$2,K$3, 1),0))</f>
        <v>0</v>
      </c>
      <c r="L6" s="13">
        <f>SUMIFS('Prima Nota'!$B$1:$B$9845,'Prima Nota'!$E$1:$E$9845,$A6,'Prima Nota'!$A$1:$A$9845,"&gt;="&amp;DATE('Impostazioni Software'!$B$2, L$3, 1),'Prima Nota'!$A$1:$A$9845,"&lt;="&amp;EOMONTH(DATE('Impostazioni Software'!$B$2,L$3, 1),0))</f>
        <v>0</v>
      </c>
      <c r="M6" s="13">
        <f>SUMIFS('Prima Nota'!$B$1:$B$9845,'Prima Nota'!$E$1:$E$9845,$A6,'Prima Nota'!$A$1:$A$9845,"&gt;="&amp;DATE('Impostazioni Software'!$B$2, M$3, 1),'Prima Nota'!$A$1:$A$9845,"&lt;="&amp;EOMONTH(DATE('Impostazioni Software'!$B$2,M$3, 1),0))</f>
        <v>0</v>
      </c>
      <c r="N6" s="24">
        <f t="shared" ref="N6:N9" si="0">SUM(B6:M6)</f>
        <v>1</v>
      </c>
      <c r="O6" s="26">
        <f ca="1">N6/$N$10</f>
        <v>1</v>
      </c>
    </row>
    <row r="7" spans="1:17" ht="15.75" thickBot="1" x14ac:dyDescent="0.3">
      <c r="A7" s="164" t="s">
        <v>61</v>
      </c>
      <c r="B7" s="13">
        <f>SUMIFS('Prima Nota'!$B$1:$B$9845,'Prima Nota'!$E$1:$E$9845,$A7,'Prima Nota'!$A$1:$A$9845,"&gt;="&amp;DATE('Impostazioni Software'!$B$2, B$3, 1),'Prima Nota'!$A$1:$A$9845,"&lt;="&amp;EOMONTH(DATE('Impostazioni Software'!$B$2,B$3, 1),0))</f>
        <v>0</v>
      </c>
      <c r="C7" s="13">
        <f>SUMIFS('Prima Nota'!$B$1:$B$9845,'Prima Nota'!$E$1:$E$9845,$A7,'Prima Nota'!$A$1:$A$9845,"&gt;="&amp;DATE('Impostazioni Software'!$B$2, C$3, 1),'Prima Nota'!$A$1:$A$9845,"&lt;="&amp;EOMONTH(DATE('Impostazioni Software'!$B$2,C$3, 1),0))</f>
        <v>0</v>
      </c>
      <c r="D7" s="13">
        <f>SUMIFS('Prima Nota'!$B$1:$B$9845,'Prima Nota'!$E$1:$E$9845,$A7,'Prima Nota'!$A$1:$A$9845,"&gt;="&amp;DATE('Impostazioni Software'!$B$2, D$3, 1),'Prima Nota'!$A$1:$A$9845,"&lt;="&amp;EOMONTH(DATE('Impostazioni Software'!$B$2,D$3, 1),0))</f>
        <v>0</v>
      </c>
      <c r="E7" s="13">
        <f>SUMIFS('Prima Nota'!$B$1:$B$9845,'Prima Nota'!$E$1:$E$9845,$A7,'Prima Nota'!$A$1:$A$9845,"&gt;="&amp;DATE('Impostazioni Software'!$B$2, E$3, 1),'Prima Nota'!$A$1:$A$9845,"&lt;="&amp;EOMONTH(DATE('Impostazioni Software'!$B$2,E$3, 1),0))</f>
        <v>0</v>
      </c>
      <c r="F7" s="13">
        <f>SUMIFS('Prima Nota'!$B$1:$B$9845,'Prima Nota'!$E$1:$E$9845,$A7,'Prima Nota'!$A$1:$A$9845,"&gt;="&amp;DATE('Impostazioni Software'!$B$2, F$3, 1),'Prima Nota'!$A$1:$A$9845,"&lt;="&amp;EOMONTH(DATE('Impostazioni Software'!$B$2,F$3, 1),0))</f>
        <v>0</v>
      </c>
      <c r="G7" s="13">
        <f>SUMIFS('Prima Nota'!$B$1:$B$9845,'Prima Nota'!$E$1:$E$9845,$A7,'Prima Nota'!$A$1:$A$9845,"&gt;="&amp;DATE('Impostazioni Software'!$B$2, G$3, 1),'Prima Nota'!$A$1:$A$9845,"&lt;="&amp;EOMONTH(DATE('Impostazioni Software'!$B$2,G$3, 1),0))</f>
        <v>0</v>
      </c>
      <c r="H7" s="13">
        <f>SUMIFS('Prima Nota'!$B$1:$B$9845,'Prima Nota'!$E$1:$E$9845,$A7,'Prima Nota'!$A$1:$A$9845,"&gt;="&amp;DATE('Impostazioni Software'!$B$2, H$3, 1),'Prima Nota'!$A$1:$A$9845,"&lt;="&amp;EOMONTH(DATE('Impostazioni Software'!$B$2,H$3, 1),0))</f>
        <v>0</v>
      </c>
      <c r="I7" s="13">
        <f>SUMIFS('Prima Nota'!$B$1:$B$9845,'Prima Nota'!$E$1:$E$9845,$A7,'Prima Nota'!$A$1:$A$9845,"&gt;="&amp;DATE('Impostazioni Software'!$B$2, I$3, 1),'Prima Nota'!$A$1:$A$9845,"&lt;="&amp;EOMONTH(DATE('Impostazioni Software'!$B$2,I$3, 1),0))</f>
        <v>0</v>
      </c>
      <c r="J7" s="13">
        <f>SUMIFS('Prima Nota'!$B$1:$B$9845,'Prima Nota'!$E$1:$E$9845,$A7,'Prima Nota'!$A$1:$A$9845,"&gt;="&amp;DATE('Impostazioni Software'!$B$2, J$3, 1),'Prima Nota'!$A$1:$A$9845,"&lt;="&amp;EOMONTH(DATE('Impostazioni Software'!$B$2,J$3, 1),0))</f>
        <v>0</v>
      </c>
      <c r="K7" s="13">
        <f>SUMIFS('Prima Nota'!$B$1:$B$9845,'Prima Nota'!$E$1:$E$9845,$A7,'Prima Nota'!$A$1:$A$9845,"&gt;="&amp;DATE('Impostazioni Software'!$B$2, K$3, 1),'Prima Nota'!$A$1:$A$9845,"&lt;="&amp;EOMONTH(DATE('Impostazioni Software'!$B$2,K$3, 1),0))</f>
        <v>0</v>
      </c>
      <c r="L7" s="13">
        <f>SUMIFS('Prima Nota'!$B$1:$B$9845,'Prima Nota'!$E$1:$E$9845,$A7,'Prima Nota'!$A$1:$A$9845,"&gt;="&amp;DATE('Impostazioni Software'!$B$2, L$3, 1),'Prima Nota'!$A$1:$A$9845,"&lt;="&amp;EOMONTH(DATE('Impostazioni Software'!$B$2,L$3, 1),0))</f>
        <v>0</v>
      </c>
      <c r="M7" s="13">
        <f>SUMIFS('Prima Nota'!$B$1:$B$9845,'Prima Nota'!$E$1:$E$9845,$A7,'Prima Nota'!$A$1:$A$9845,"&gt;="&amp;DATE('Impostazioni Software'!$B$2, M$3, 1),'Prima Nota'!$A$1:$A$9845,"&lt;="&amp;EOMONTH(DATE('Impostazioni Software'!$B$2,M$3, 1),0))</f>
        <v>0</v>
      </c>
      <c r="N7" s="24">
        <f t="shared" si="0"/>
        <v>0</v>
      </c>
      <c r="O7" s="26">
        <f ca="1">N7/$N$10</f>
        <v>0</v>
      </c>
    </row>
    <row r="8" spans="1:17" ht="15.75" thickBot="1" x14ac:dyDescent="0.3">
      <c r="A8" s="164" t="s">
        <v>62</v>
      </c>
      <c r="B8" s="13">
        <f>SUMIFS('Prima Nota'!$B$1:$B$9845,'Prima Nota'!$E$1:$E$9845,$A8,'Prima Nota'!$A$1:$A$9845,"&gt;="&amp;DATE('Impostazioni Software'!$B$2, B$3, 1),'Prima Nota'!$A$1:$A$9845,"&lt;="&amp;EOMONTH(DATE('Impostazioni Software'!$B$2,B$3, 1),0))</f>
        <v>0</v>
      </c>
      <c r="C8" s="13">
        <f>SUMIFS('Prima Nota'!$B$1:$B$9845,'Prima Nota'!$E$1:$E$9845,$A8,'Prima Nota'!$A$1:$A$9845,"&gt;="&amp;DATE('Impostazioni Software'!$B$2, C$3, 1),'Prima Nota'!$A$1:$A$9845,"&lt;="&amp;EOMONTH(DATE('Impostazioni Software'!$B$2,C$3, 1),0))</f>
        <v>0</v>
      </c>
      <c r="D8" s="13">
        <f>SUMIFS('Prima Nota'!$B$1:$B$9845,'Prima Nota'!$E$1:$E$9845,$A8,'Prima Nota'!$A$1:$A$9845,"&gt;="&amp;DATE('Impostazioni Software'!$B$2, D$3, 1),'Prima Nota'!$A$1:$A$9845,"&lt;="&amp;EOMONTH(DATE('Impostazioni Software'!$B$2,D$3, 1),0))</f>
        <v>0</v>
      </c>
      <c r="E8" s="13">
        <f>SUMIFS('Prima Nota'!$B$1:$B$9845,'Prima Nota'!$E$1:$E$9845,$A8,'Prima Nota'!$A$1:$A$9845,"&gt;="&amp;DATE('Impostazioni Software'!$B$2, E$3, 1),'Prima Nota'!$A$1:$A$9845,"&lt;="&amp;EOMONTH(DATE('Impostazioni Software'!$B$2,E$3, 1),0))</f>
        <v>0</v>
      </c>
      <c r="F8" s="13">
        <f>SUMIFS('Prima Nota'!$B$1:$B$9845,'Prima Nota'!$E$1:$E$9845,$A8,'Prima Nota'!$A$1:$A$9845,"&gt;="&amp;DATE('Impostazioni Software'!$B$2, F$3, 1),'Prima Nota'!$A$1:$A$9845,"&lt;="&amp;EOMONTH(DATE('Impostazioni Software'!$B$2,F$3, 1),0))</f>
        <v>0</v>
      </c>
      <c r="G8" s="13">
        <f>SUMIFS('Prima Nota'!$B$1:$B$9845,'Prima Nota'!$E$1:$E$9845,$A8,'Prima Nota'!$A$1:$A$9845,"&gt;="&amp;DATE('Impostazioni Software'!$B$2, G$3, 1),'Prima Nota'!$A$1:$A$9845,"&lt;="&amp;EOMONTH(DATE('Impostazioni Software'!$B$2,G$3, 1),0))</f>
        <v>0</v>
      </c>
      <c r="H8" s="13">
        <f>SUMIFS('Prima Nota'!$B$1:$B$9845,'Prima Nota'!$E$1:$E$9845,$A8,'Prima Nota'!$A$1:$A$9845,"&gt;="&amp;DATE('Impostazioni Software'!$B$2, H$3, 1),'Prima Nota'!$A$1:$A$9845,"&lt;="&amp;EOMONTH(DATE('Impostazioni Software'!$B$2,H$3, 1),0))</f>
        <v>0</v>
      </c>
      <c r="I8" s="13">
        <f>SUMIFS('Prima Nota'!$B$1:$B$9845,'Prima Nota'!$E$1:$E$9845,$A8,'Prima Nota'!$A$1:$A$9845,"&gt;="&amp;DATE('Impostazioni Software'!$B$2, I$3, 1),'Prima Nota'!$A$1:$A$9845,"&lt;="&amp;EOMONTH(DATE('Impostazioni Software'!$B$2,I$3, 1),0))</f>
        <v>0</v>
      </c>
      <c r="J8" s="13">
        <f>SUMIFS('Prima Nota'!$B$1:$B$9845,'Prima Nota'!$E$1:$E$9845,$A8,'Prima Nota'!$A$1:$A$9845,"&gt;="&amp;DATE('Impostazioni Software'!$B$2, J$3, 1),'Prima Nota'!$A$1:$A$9845,"&lt;="&amp;EOMONTH(DATE('Impostazioni Software'!$B$2,J$3, 1),0))</f>
        <v>0</v>
      </c>
      <c r="K8" s="13">
        <f>SUMIFS('Prima Nota'!$B$1:$B$9845,'Prima Nota'!$E$1:$E$9845,$A8,'Prima Nota'!$A$1:$A$9845,"&gt;="&amp;DATE('Impostazioni Software'!$B$2, K$3, 1),'Prima Nota'!$A$1:$A$9845,"&lt;="&amp;EOMONTH(DATE('Impostazioni Software'!$B$2,K$3, 1),0))</f>
        <v>0</v>
      </c>
      <c r="L8" s="13">
        <f>SUMIFS('Prima Nota'!$B$1:$B$9845,'Prima Nota'!$E$1:$E$9845,$A8,'Prima Nota'!$A$1:$A$9845,"&gt;="&amp;DATE('Impostazioni Software'!$B$2, L$3, 1),'Prima Nota'!$A$1:$A$9845,"&lt;="&amp;EOMONTH(DATE('Impostazioni Software'!$B$2,L$3, 1),0))</f>
        <v>0</v>
      </c>
      <c r="M8" s="13">
        <f>SUMIFS('Prima Nota'!$B$1:$B$9845,'Prima Nota'!$E$1:$E$9845,$A8,'Prima Nota'!$A$1:$A$9845,"&gt;="&amp;DATE('Impostazioni Software'!$B$2, M$3, 1),'Prima Nota'!$A$1:$A$9845,"&lt;="&amp;EOMONTH(DATE('Impostazioni Software'!$B$2,M$3, 1),0))</f>
        <v>0</v>
      </c>
      <c r="N8" s="24">
        <f t="shared" si="0"/>
        <v>0</v>
      </c>
      <c r="O8" s="26">
        <f ca="1">N8/$N$10</f>
        <v>0</v>
      </c>
    </row>
    <row r="9" spans="1:17" ht="15.75" thickBot="1" x14ac:dyDescent="0.3">
      <c r="A9" s="173" t="s">
        <v>63</v>
      </c>
      <c r="B9" s="13">
        <f>SUMIFS('Prima Nota'!$B$1:$B$9845,'Prima Nota'!$E$1:$E$9845,$A9,'Prima Nota'!$A$1:$A$9845,"&gt;="&amp;DATE('Impostazioni Software'!$B$2, B$3, 1),'Prima Nota'!$A$1:$A$9845,"&lt;="&amp;EOMONTH(DATE('Impostazioni Software'!$B$2,B$3, 1),0))</f>
        <v>0</v>
      </c>
      <c r="C9" s="13">
        <f>SUMIFS('Prima Nota'!$B$1:$B$9845,'Prima Nota'!$E$1:$E$9845,$A9,'Prima Nota'!$A$1:$A$9845,"&gt;="&amp;DATE('Impostazioni Software'!$B$2, C$3, 1),'Prima Nota'!$A$1:$A$9845,"&lt;="&amp;EOMONTH(DATE('Impostazioni Software'!$B$2,C$3, 1),0))</f>
        <v>0</v>
      </c>
      <c r="D9" s="13">
        <f>SUMIFS('Prima Nota'!$B$1:$B$9845,'Prima Nota'!$E$1:$E$9845,$A9,'Prima Nota'!$A$1:$A$9845,"&gt;="&amp;DATE('Impostazioni Software'!$B$2, D$3, 1),'Prima Nota'!$A$1:$A$9845,"&lt;="&amp;EOMONTH(DATE('Impostazioni Software'!$B$2,D$3, 1),0))</f>
        <v>0</v>
      </c>
      <c r="E9" s="13">
        <f>SUMIFS('Prima Nota'!$B$1:$B$9845,'Prima Nota'!$E$1:$E$9845,$A9,'Prima Nota'!$A$1:$A$9845,"&gt;="&amp;DATE('Impostazioni Software'!$B$2, E$3, 1),'Prima Nota'!$A$1:$A$9845,"&lt;="&amp;EOMONTH(DATE('Impostazioni Software'!$B$2,E$3, 1),0))</f>
        <v>0</v>
      </c>
      <c r="F9" s="13">
        <f>SUMIFS('Prima Nota'!$B$1:$B$9845,'Prima Nota'!$E$1:$E$9845,$A9,'Prima Nota'!$A$1:$A$9845,"&gt;="&amp;DATE('Impostazioni Software'!$B$2, F$3, 1),'Prima Nota'!$A$1:$A$9845,"&lt;="&amp;EOMONTH(DATE('Impostazioni Software'!$B$2,F$3, 1),0))</f>
        <v>0</v>
      </c>
      <c r="G9" s="13">
        <f>SUMIFS('Prima Nota'!$B$1:$B$9845,'Prima Nota'!$E$1:$E$9845,$A9,'Prima Nota'!$A$1:$A$9845,"&gt;="&amp;DATE('Impostazioni Software'!$B$2, G$3, 1),'Prima Nota'!$A$1:$A$9845,"&lt;="&amp;EOMONTH(DATE('Impostazioni Software'!$B$2,G$3, 1),0))</f>
        <v>0</v>
      </c>
      <c r="H9" s="13">
        <f>SUMIFS('Prima Nota'!$B$1:$B$9845,'Prima Nota'!$E$1:$E$9845,$A9,'Prima Nota'!$A$1:$A$9845,"&gt;="&amp;DATE('Impostazioni Software'!$B$2, H$3, 1),'Prima Nota'!$A$1:$A$9845,"&lt;="&amp;EOMONTH(DATE('Impostazioni Software'!$B$2,H$3, 1),0))</f>
        <v>0</v>
      </c>
      <c r="I9" s="13">
        <f>SUMIFS('Prima Nota'!$B$1:$B$9845,'Prima Nota'!$E$1:$E$9845,$A9,'Prima Nota'!$A$1:$A$9845,"&gt;="&amp;DATE('Impostazioni Software'!$B$2, I$3, 1),'Prima Nota'!$A$1:$A$9845,"&lt;="&amp;EOMONTH(DATE('Impostazioni Software'!$B$2,I$3, 1),0))</f>
        <v>0</v>
      </c>
      <c r="J9" s="13">
        <f>SUMIFS('Prima Nota'!$B$1:$B$9845,'Prima Nota'!$E$1:$E$9845,$A9,'Prima Nota'!$A$1:$A$9845,"&gt;="&amp;DATE('Impostazioni Software'!$B$2, J$3, 1),'Prima Nota'!$A$1:$A$9845,"&lt;="&amp;EOMONTH(DATE('Impostazioni Software'!$B$2,J$3, 1),0))</f>
        <v>0</v>
      </c>
      <c r="K9" s="13">
        <f>SUMIFS('Prima Nota'!$B$1:$B$9845,'Prima Nota'!$E$1:$E$9845,$A9,'Prima Nota'!$A$1:$A$9845,"&gt;="&amp;DATE('Impostazioni Software'!$B$2, K$3, 1),'Prima Nota'!$A$1:$A$9845,"&lt;="&amp;EOMONTH(DATE('Impostazioni Software'!$B$2,K$3, 1),0))</f>
        <v>0</v>
      </c>
      <c r="L9" s="13">
        <f>SUMIFS('Prima Nota'!$B$1:$B$9845,'Prima Nota'!$E$1:$E$9845,$A9,'Prima Nota'!$A$1:$A$9845,"&gt;="&amp;DATE('Impostazioni Software'!$B$2, L$3, 1),'Prima Nota'!$A$1:$A$9845,"&lt;="&amp;EOMONTH(DATE('Impostazioni Software'!$B$2,L$3, 1),0))</f>
        <v>0</v>
      </c>
      <c r="M9" s="13">
        <f>SUMIFS('Prima Nota'!$B$1:$B$9845,'Prima Nota'!$E$1:$E$9845,$A9,'Prima Nota'!$A$1:$A$9845,"&gt;="&amp;DATE('Impostazioni Software'!$B$2, M$3, 1),'Prima Nota'!$A$1:$A$9845,"&lt;="&amp;EOMONTH(DATE('Impostazioni Software'!$B$2,M$3, 1),0))</f>
        <v>0</v>
      </c>
      <c r="N9" s="24">
        <f t="shared" si="0"/>
        <v>0</v>
      </c>
      <c r="O9" s="26">
        <f ca="1">N9/$N$10</f>
        <v>0</v>
      </c>
    </row>
    <row r="10" spans="1:17" s="1" customFormat="1" ht="19.5" thickBot="1" x14ac:dyDescent="0.35">
      <c r="A10" s="171" t="s">
        <v>28</v>
      </c>
      <c r="B10" s="15">
        <f ca="1">SUM(INDIRECT("B"&amp;6&amp;":B"&amp;(ROW()-1)))</f>
        <v>1</v>
      </c>
      <c r="C10" s="15">
        <f ca="1">SUM(INDIRECT("C"&amp;6&amp;":C"&amp;(ROW()-1)))</f>
        <v>0</v>
      </c>
      <c r="D10" s="15">
        <f ca="1">SUM(INDIRECT("D"&amp;6&amp;":D"&amp;(ROW()-1)))</f>
        <v>0</v>
      </c>
      <c r="E10" s="15">
        <f ca="1">SUM(INDIRECT("E"&amp;6&amp;":E"&amp;(ROW()-1)))</f>
        <v>0</v>
      </c>
      <c r="F10" s="15">
        <f ca="1">SUM(INDIRECT("F"&amp;6&amp;":F"&amp;(ROW()-1)))</f>
        <v>0</v>
      </c>
      <c r="G10" s="15">
        <f ca="1">SUM(INDIRECT("G"&amp;6&amp;":G"&amp;(ROW()-1)))</f>
        <v>0</v>
      </c>
      <c r="H10" s="15">
        <f ca="1">SUM(INDIRECT("H"&amp;6&amp;":H"&amp;(ROW()-1)))</f>
        <v>0</v>
      </c>
      <c r="I10" s="15">
        <f ca="1">SUM(INDIRECT("I"&amp;6&amp;":I"&amp;(ROW()-1)))</f>
        <v>0</v>
      </c>
      <c r="J10" s="15">
        <f ca="1">SUM(INDIRECT("J"&amp;6&amp;":J"&amp;(ROW()-1)))</f>
        <v>0</v>
      </c>
      <c r="K10" s="15">
        <f ca="1">SUM(INDIRECT("K"&amp;6&amp;":K"&amp;(ROW()-1)))</f>
        <v>0</v>
      </c>
      <c r="L10" s="15">
        <f t="shared" ref="L10" ca="1" si="1">SUM(INDIRECT("L"&amp;6&amp;":L"&amp;(ROW()-1)))</f>
        <v>0</v>
      </c>
      <c r="M10" s="15">
        <f ca="1">SUM(INDIRECT("M"&amp;6&amp;":M"&amp;(ROW()-1)))</f>
        <v>0</v>
      </c>
      <c r="N10" s="32">
        <f ca="1">SUM(INDIRECT("N"&amp;6&amp;":N"&amp;(ROW()-1)))</f>
        <v>1</v>
      </c>
      <c r="O10" s="33"/>
      <c r="P10" s="6"/>
    </row>
    <row r="11" spans="1:17" x14ac:dyDescent="0.25">
      <c r="A11" s="167"/>
      <c r="B11" s="168"/>
      <c r="C11" s="168"/>
      <c r="D11" s="168"/>
      <c r="E11" s="168"/>
      <c r="F11" s="168"/>
      <c r="G11" s="168"/>
      <c r="H11" s="168"/>
      <c r="I11" s="168"/>
      <c r="J11" s="168"/>
      <c r="K11" s="168"/>
      <c r="L11" s="168"/>
      <c r="M11" s="168"/>
      <c r="N11" s="169"/>
      <c r="O11" s="170"/>
    </row>
    <row r="12" spans="1:17" s="90" customFormat="1" ht="16.5" thickBot="1" x14ac:dyDescent="0.3">
      <c r="A12" s="86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8"/>
      <c r="P12" s="89"/>
    </row>
    <row r="13" spans="1:17" s="91" customFormat="1" ht="15.75" hidden="1" thickBot="1" x14ac:dyDescent="0.3">
      <c r="B13" s="92">
        <v>1.570796327</v>
      </c>
      <c r="C13" s="92">
        <v>1.570796327</v>
      </c>
      <c r="D13" s="92">
        <v>1.570796327</v>
      </c>
      <c r="E13" s="92">
        <v>1.570796327</v>
      </c>
      <c r="F13" s="92">
        <v>1.570796327</v>
      </c>
      <c r="G13" s="92">
        <v>1.570796327</v>
      </c>
      <c r="H13" s="92">
        <v>1.570796327</v>
      </c>
      <c r="I13" s="92">
        <v>1.570796327</v>
      </c>
      <c r="J13" s="92">
        <v>1.570796327</v>
      </c>
      <c r="K13" s="92">
        <v>1.570796327</v>
      </c>
      <c r="L13" s="92">
        <v>1.570796327</v>
      </c>
      <c r="M13" s="92">
        <v>1.570796327</v>
      </c>
      <c r="N13" s="92">
        <v>1.570796327</v>
      </c>
      <c r="O13" s="93"/>
    </row>
    <row r="14" spans="1:17" s="154" customFormat="1" ht="19.5" thickBot="1" x14ac:dyDescent="0.35">
      <c r="A14" s="165" t="s">
        <v>12</v>
      </c>
      <c r="B14" s="150" t="s">
        <v>0</v>
      </c>
      <c r="C14" s="151" t="s">
        <v>1</v>
      </c>
      <c r="D14" s="151" t="s">
        <v>2</v>
      </c>
      <c r="E14" s="151" t="s">
        <v>3</v>
      </c>
      <c r="F14" s="151" t="s">
        <v>4</v>
      </c>
      <c r="G14" s="151" t="s">
        <v>5</v>
      </c>
      <c r="H14" s="151" t="s">
        <v>6</v>
      </c>
      <c r="I14" s="151" t="s">
        <v>7</v>
      </c>
      <c r="J14" s="151" t="s">
        <v>8</v>
      </c>
      <c r="K14" s="151" t="s">
        <v>9</v>
      </c>
      <c r="L14" s="151" t="s">
        <v>10</v>
      </c>
      <c r="M14" s="151" t="s">
        <v>11</v>
      </c>
      <c r="N14" s="152" t="s">
        <v>14</v>
      </c>
      <c r="O14" s="153" t="s">
        <v>23</v>
      </c>
    </row>
    <row r="15" spans="1:17" ht="15.75" thickBot="1" x14ac:dyDescent="0.3">
      <c r="A15" s="164" t="s">
        <v>40</v>
      </c>
      <c r="B15" s="13">
        <f>SUMIFS('Prima Nota'!$C$1:$C$9845,'Prima Nota'!$E$1:$E$9845,$A15,'Prima Nota'!$A$1:$A$9845,"&gt;="&amp;DATE('Impostazioni Software'!$B$2, B$3, 1),'Prima Nota'!$A$1:$A$9845,"&lt;="&amp;EOMONTH(DATE('Impostazioni Software'!$B$2,B$3, 1),0))</f>
        <v>1</v>
      </c>
      <c r="C15" s="13">
        <f>SUMIFS('Prima Nota'!$C$1:$C$9845,'Prima Nota'!$E$1:$E$9845,$A15,'Prima Nota'!$A$1:$A$9845,"&gt;="&amp;DATE('Impostazioni Software'!$B$2, C$3, 1),'Prima Nota'!$A$1:$A$9845,"&lt;="&amp;EOMONTH(DATE('Impostazioni Software'!$B$2,C$3, 1),0))</f>
        <v>0</v>
      </c>
      <c r="D15" s="13">
        <f>SUMIFS('Prima Nota'!$C$1:$C$9845,'Prima Nota'!$E$1:$E$9845,$A15,'Prima Nota'!$A$1:$A$9845,"&gt;="&amp;DATE('Impostazioni Software'!$B$2, D$3, 1),'Prima Nota'!$A$1:$A$9845,"&lt;="&amp;EOMONTH(DATE('Impostazioni Software'!$B$2,D$3, 1),0))</f>
        <v>0</v>
      </c>
      <c r="E15" s="13">
        <f>SUMIFS('Prima Nota'!$C$1:$C$9845,'Prima Nota'!$E$1:$E$9845,$A15,'Prima Nota'!$A$1:$A$9845,"&gt;="&amp;DATE('Impostazioni Software'!$B$2, E$3, 1),'Prima Nota'!$A$1:$A$9845,"&lt;="&amp;EOMONTH(DATE('Impostazioni Software'!$B$2,E$3, 1),0))</f>
        <v>0</v>
      </c>
      <c r="F15" s="13">
        <f>SUMIFS('Prima Nota'!$C$1:$C$9845,'Prima Nota'!$E$1:$E$9845,$A15,'Prima Nota'!$A$1:$A$9845,"&gt;="&amp;DATE('Impostazioni Software'!$B$2, F$3, 1),'Prima Nota'!$A$1:$A$9845,"&lt;="&amp;EOMONTH(DATE('Impostazioni Software'!$B$2,F$3, 1),0))</f>
        <v>0</v>
      </c>
      <c r="G15" s="13">
        <f>SUMIFS('Prima Nota'!$C$1:$C$9845,'Prima Nota'!$E$1:$E$9845,$A15,'Prima Nota'!$A$1:$A$9845,"&gt;="&amp;DATE('Impostazioni Software'!$B$2, G$3, 1),'Prima Nota'!$A$1:$A$9845,"&lt;="&amp;EOMONTH(DATE('Impostazioni Software'!$B$2,G$3, 1),0))</f>
        <v>0</v>
      </c>
      <c r="H15" s="13">
        <f>SUMIFS('Prima Nota'!$C$1:$C$9845,'Prima Nota'!$E$1:$E$9845,$A15,'Prima Nota'!$A$1:$A$9845,"&gt;="&amp;DATE('Impostazioni Software'!$B$2, H$3, 1),'Prima Nota'!$A$1:$A$9845,"&lt;="&amp;EOMONTH(DATE('Impostazioni Software'!$B$2,H$3, 1),0))</f>
        <v>0</v>
      </c>
      <c r="I15" s="13">
        <f>SUMIFS('Prima Nota'!$C$1:$C$9845,'Prima Nota'!$E$1:$E$9845,$A15,'Prima Nota'!$A$1:$A$9845,"&gt;="&amp;DATE('Impostazioni Software'!$B$2, I$3, 1),'Prima Nota'!$A$1:$A$9845,"&lt;="&amp;EOMONTH(DATE('Impostazioni Software'!$B$2,I$3, 1),0))</f>
        <v>0</v>
      </c>
      <c r="J15" s="13">
        <f>SUMIFS('Prima Nota'!$C$1:$C$9845,'Prima Nota'!$E$1:$E$9845,$A15,'Prima Nota'!$A$1:$A$9845,"&gt;="&amp;DATE('Impostazioni Software'!$B$2, J$3, 1),'Prima Nota'!$A$1:$A$9845,"&lt;="&amp;EOMONTH(DATE('Impostazioni Software'!$B$2,J$3, 1),0))</f>
        <v>0</v>
      </c>
      <c r="K15" s="13">
        <f>SUMIFS('Prima Nota'!$C$1:$C$9845,'Prima Nota'!$E$1:$E$9845,$A15,'Prima Nota'!$A$1:$A$9845,"&gt;="&amp;DATE('Impostazioni Software'!$B$2, K$3, 1),'Prima Nota'!$A$1:$A$9845,"&lt;="&amp;EOMONTH(DATE('Impostazioni Software'!$B$2,K$3, 1),0))</f>
        <v>0</v>
      </c>
      <c r="L15" s="13">
        <f>SUMIFS('Prima Nota'!$C$1:$C$9845,'Prima Nota'!$E$1:$E$9845,$A15,'Prima Nota'!$A$1:$A$9845,"&gt;="&amp;DATE('Impostazioni Software'!$B$2, L$3, 1),'Prima Nota'!$A$1:$A$9845,"&lt;="&amp;EOMONTH(DATE('Impostazioni Software'!$B$2,L$3, 1),0))</f>
        <v>0</v>
      </c>
      <c r="M15" s="13">
        <f>SUMIFS('Prima Nota'!$C$1:$C$9845,'Prima Nota'!$E$1:$E$9845,$A15,'Prima Nota'!$A$1:$A$9845,"&gt;="&amp;DATE('Impostazioni Software'!$B$2, M$3, 1),'Prima Nota'!$A$1:$A$9845,"&lt;="&amp;EOMONTH(DATE('Impostazioni Software'!$B$2,M$3, 1),0))</f>
        <v>0</v>
      </c>
      <c r="N15" s="24">
        <f t="shared" ref="N15:N24" si="2">SUM(B15:M15)</f>
        <v>1</v>
      </c>
      <c r="O15" s="26">
        <f t="shared" ref="O15:O37" ca="1" si="3">N15/$N$38</f>
        <v>1</v>
      </c>
    </row>
    <row r="16" spans="1:17" ht="15.75" thickBot="1" x14ac:dyDescent="0.3">
      <c r="A16" s="164" t="s">
        <v>35</v>
      </c>
      <c r="B16" s="14">
        <f>SUMIFS('Prima Nota'!$C$1:$C$9845,'Prima Nota'!$E$1:$E$9845,$A16,'Prima Nota'!$A$1:$A$9845,"&gt;="&amp;DATE('Impostazioni Software'!$B$2, B$3, 1),'Prima Nota'!$A$1:$A$9845,"&lt;="&amp;EOMONTH(DATE('Impostazioni Software'!$B$2,B$3, 1),0))</f>
        <v>0</v>
      </c>
      <c r="C16" s="14">
        <f>SUMIFS('Prima Nota'!$C$1:$C$9845,'Prima Nota'!$E$1:$E$9845,$A16,'Prima Nota'!$A$1:$A$9845,"&gt;="&amp;DATE('Impostazioni Software'!$B$2, C$3, 1),'Prima Nota'!$A$1:$A$9845,"&lt;="&amp;EOMONTH(DATE('Impostazioni Software'!$B$2,C$3, 1),0))</f>
        <v>0</v>
      </c>
      <c r="D16" s="14">
        <f>SUMIFS('Prima Nota'!$C$1:$C$9845,'Prima Nota'!$E$1:$E$9845,$A16,'Prima Nota'!$A$1:$A$9845,"&gt;="&amp;DATE('Impostazioni Software'!$B$2, D$3, 1),'Prima Nota'!$A$1:$A$9845,"&lt;="&amp;EOMONTH(DATE('Impostazioni Software'!$B$2,D$3, 1),0))</f>
        <v>0</v>
      </c>
      <c r="E16" s="14">
        <f>SUMIFS('Prima Nota'!$C$1:$C$9845,'Prima Nota'!$E$1:$E$9845,$A16,'Prima Nota'!$A$1:$A$9845,"&gt;="&amp;DATE('Impostazioni Software'!$B$2, E$3, 1),'Prima Nota'!$A$1:$A$9845,"&lt;="&amp;EOMONTH(DATE('Impostazioni Software'!$B$2,E$3, 1),0))</f>
        <v>0</v>
      </c>
      <c r="F16" s="14">
        <f>SUMIFS('Prima Nota'!$C$1:$C$9845,'Prima Nota'!$E$1:$E$9845,$A16,'Prima Nota'!$A$1:$A$9845,"&gt;="&amp;DATE('Impostazioni Software'!$B$2, F$3, 1),'Prima Nota'!$A$1:$A$9845,"&lt;="&amp;EOMONTH(DATE('Impostazioni Software'!$B$2,F$3, 1),0))</f>
        <v>0</v>
      </c>
      <c r="G16" s="14">
        <f>SUMIFS('Prima Nota'!$C$1:$C$9845,'Prima Nota'!$E$1:$E$9845,$A16,'Prima Nota'!$A$1:$A$9845,"&gt;="&amp;DATE('Impostazioni Software'!$B$2, G$3, 1),'Prima Nota'!$A$1:$A$9845,"&lt;="&amp;EOMONTH(DATE('Impostazioni Software'!$B$2,G$3, 1),0))</f>
        <v>0</v>
      </c>
      <c r="H16" s="14">
        <f>SUMIFS('Prima Nota'!$C$1:$C$9845,'Prima Nota'!$E$1:$E$9845,$A16,'Prima Nota'!$A$1:$A$9845,"&gt;="&amp;DATE('Impostazioni Software'!$B$2, H$3, 1),'Prima Nota'!$A$1:$A$9845,"&lt;="&amp;EOMONTH(DATE('Impostazioni Software'!$B$2,H$3, 1),0))</f>
        <v>0</v>
      </c>
      <c r="I16" s="14">
        <f>SUMIFS('Prima Nota'!$C$1:$C$9845,'Prima Nota'!$E$1:$E$9845,$A16,'Prima Nota'!$A$1:$A$9845,"&gt;="&amp;DATE('Impostazioni Software'!$B$2, I$3, 1),'Prima Nota'!$A$1:$A$9845,"&lt;="&amp;EOMONTH(DATE('Impostazioni Software'!$B$2,I$3, 1),0))</f>
        <v>0</v>
      </c>
      <c r="J16" s="14">
        <f>SUMIFS('Prima Nota'!$C$1:$C$9845,'Prima Nota'!$E$1:$E$9845,$A16,'Prima Nota'!$A$1:$A$9845,"&gt;="&amp;DATE('Impostazioni Software'!$B$2, J$3, 1),'Prima Nota'!$A$1:$A$9845,"&lt;="&amp;EOMONTH(DATE('Impostazioni Software'!$B$2,J$3, 1),0))</f>
        <v>0</v>
      </c>
      <c r="K16" s="14">
        <f>SUMIFS('Prima Nota'!$C$1:$C$9845,'Prima Nota'!$E$1:$E$9845,$A16,'Prima Nota'!$A$1:$A$9845,"&gt;="&amp;DATE('Impostazioni Software'!$B$2, K$3, 1),'Prima Nota'!$A$1:$A$9845,"&lt;="&amp;EOMONTH(DATE('Impostazioni Software'!$B$2,K$3, 1),0))</f>
        <v>0</v>
      </c>
      <c r="L16" s="14">
        <f>SUMIFS('Prima Nota'!$C$1:$C$9845,'Prima Nota'!$E$1:$E$9845,$A16,'Prima Nota'!$A$1:$A$9845,"&gt;="&amp;DATE('Impostazioni Software'!$B$2, L$3, 1),'Prima Nota'!$A$1:$A$9845,"&lt;="&amp;EOMONTH(DATE('Impostazioni Software'!$B$2,L$3, 1),0))</f>
        <v>0</v>
      </c>
      <c r="M16" s="14">
        <f>SUMIFS('Prima Nota'!$C$1:$C$9845,'Prima Nota'!$E$1:$E$9845,$A16,'Prima Nota'!$A$1:$A$9845,"&gt;="&amp;DATE('Impostazioni Software'!$B$2, M$3, 1),'Prima Nota'!$A$1:$A$9845,"&lt;="&amp;EOMONTH(DATE('Impostazioni Software'!$B$2,M$3, 1),0))</f>
        <v>0</v>
      </c>
      <c r="N16" s="25">
        <f t="shared" si="2"/>
        <v>0</v>
      </c>
      <c r="O16" s="26">
        <f t="shared" ca="1" si="3"/>
        <v>0</v>
      </c>
      <c r="Q16" s="2"/>
    </row>
    <row r="17" spans="1:17" ht="30.75" thickBot="1" x14ac:dyDescent="0.3">
      <c r="A17" s="164" t="s">
        <v>41</v>
      </c>
      <c r="B17" s="14">
        <f>SUMIFS('Prima Nota'!$C$1:$C$9845,'Prima Nota'!$E$1:$E$9845,$A17,'Prima Nota'!$A$1:$A$9845,"&gt;="&amp;DATE('Impostazioni Software'!$B$2, B$3, 1),'Prima Nota'!$A$1:$A$9845,"&lt;="&amp;EOMONTH(DATE('Impostazioni Software'!$B$2,B$3, 1),0))</f>
        <v>0</v>
      </c>
      <c r="C17" s="14">
        <f>SUMIFS('Prima Nota'!$C$1:$C$9845,'Prima Nota'!$E$1:$E$9845,$A17,'Prima Nota'!$A$1:$A$9845,"&gt;="&amp;DATE('Impostazioni Software'!$B$2, C$3, 1),'Prima Nota'!$A$1:$A$9845,"&lt;="&amp;EOMONTH(DATE('Impostazioni Software'!$B$2,C$3, 1),0))</f>
        <v>0</v>
      </c>
      <c r="D17" s="14">
        <f>SUMIFS('Prima Nota'!$C$1:$C$9845,'Prima Nota'!$E$1:$E$9845,$A17,'Prima Nota'!$A$1:$A$9845,"&gt;="&amp;DATE('Impostazioni Software'!$B$2, D$3, 1),'Prima Nota'!$A$1:$A$9845,"&lt;="&amp;EOMONTH(DATE('Impostazioni Software'!$B$2,D$3, 1),0))</f>
        <v>0</v>
      </c>
      <c r="E17" s="14">
        <f>SUMIFS('Prima Nota'!$C$1:$C$9845,'Prima Nota'!$E$1:$E$9845,$A17,'Prima Nota'!$A$1:$A$9845,"&gt;="&amp;DATE('Impostazioni Software'!$B$2, E$3, 1),'Prima Nota'!$A$1:$A$9845,"&lt;="&amp;EOMONTH(DATE('Impostazioni Software'!$B$2,E$3, 1),0))</f>
        <v>0</v>
      </c>
      <c r="F17" s="14">
        <f>SUMIFS('Prima Nota'!$C$1:$C$9845,'Prima Nota'!$E$1:$E$9845,$A17,'Prima Nota'!$A$1:$A$9845,"&gt;="&amp;DATE('Impostazioni Software'!$B$2, F$3, 1),'Prima Nota'!$A$1:$A$9845,"&lt;="&amp;EOMONTH(DATE('Impostazioni Software'!$B$2,F$3, 1),0))</f>
        <v>0</v>
      </c>
      <c r="G17" s="14">
        <f>SUMIFS('Prima Nota'!$C$1:$C$9845,'Prima Nota'!$E$1:$E$9845,$A17,'Prima Nota'!$A$1:$A$9845,"&gt;="&amp;DATE('Impostazioni Software'!$B$2, G$3, 1),'Prima Nota'!$A$1:$A$9845,"&lt;="&amp;EOMONTH(DATE('Impostazioni Software'!$B$2,G$3, 1),0))</f>
        <v>0</v>
      </c>
      <c r="H17" s="14">
        <f>SUMIFS('Prima Nota'!$C$1:$C$9845,'Prima Nota'!$E$1:$E$9845,$A17,'Prima Nota'!$A$1:$A$9845,"&gt;="&amp;DATE('Impostazioni Software'!$B$2, H$3, 1),'Prima Nota'!$A$1:$A$9845,"&lt;="&amp;EOMONTH(DATE('Impostazioni Software'!$B$2,H$3, 1),0))</f>
        <v>0</v>
      </c>
      <c r="I17" s="14">
        <f>SUMIFS('Prima Nota'!$C$1:$C$9845,'Prima Nota'!$E$1:$E$9845,$A17,'Prima Nota'!$A$1:$A$9845,"&gt;="&amp;DATE('Impostazioni Software'!$B$2, I$3, 1),'Prima Nota'!$A$1:$A$9845,"&lt;="&amp;EOMONTH(DATE('Impostazioni Software'!$B$2,I$3, 1),0))</f>
        <v>0</v>
      </c>
      <c r="J17" s="14">
        <f>SUMIFS('Prima Nota'!$C$1:$C$9845,'Prima Nota'!$E$1:$E$9845,$A17,'Prima Nota'!$A$1:$A$9845,"&gt;="&amp;DATE('Impostazioni Software'!$B$2, J$3, 1),'Prima Nota'!$A$1:$A$9845,"&lt;="&amp;EOMONTH(DATE('Impostazioni Software'!$B$2,J$3, 1),0))</f>
        <v>0</v>
      </c>
      <c r="K17" s="14">
        <f>SUMIFS('Prima Nota'!$C$1:$C$9845,'Prima Nota'!$E$1:$E$9845,$A17,'Prima Nota'!$A$1:$A$9845,"&gt;="&amp;DATE('Impostazioni Software'!$B$2, K$3, 1),'Prima Nota'!$A$1:$A$9845,"&lt;="&amp;EOMONTH(DATE('Impostazioni Software'!$B$2,K$3, 1),0))</f>
        <v>0</v>
      </c>
      <c r="L17" s="14">
        <f>SUMIFS('Prima Nota'!$C$1:$C$9845,'Prima Nota'!$E$1:$E$9845,$A17,'Prima Nota'!$A$1:$A$9845,"&gt;="&amp;DATE('Impostazioni Software'!$B$2, L$3, 1),'Prima Nota'!$A$1:$A$9845,"&lt;="&amp;EOMONTH(DATE('Impostazioni Software'!$B$2,L$3, 1),0))</f>
        <v>0</v>
      </c>
      <c r="M17" s="14">
        <f>SUMIFS('Prima Nota'!$C$1:$C$9845,'Prima Nota'!$E$1:$E$9845,$A17,'Prima Nota'!$A$1:$A$9845,"&gt;="&amp;DATE('Impostazioni Software'!$B$2, M$3, 1),'Prima Nota'!$A$1:$A$9845,"&lt;="&amp;EOMONTH(DATE('Impostazioni Software'!$B$2,M$3, 1),0))</f>
        <v>0</v>
      </c>
      <c r="N17" s="25">
        <f t="shared" si="2"/>
        <v>0</v>
      </c>
      <c r="O17" s="26">
        <f t="shared" ca="1" si="3"/>
        <v>0</v>
      </c>
      <c r="Q17" s="2"/>
    </row>
    <row r="18" spans="1:17" ht="15.75" thickBot="1" x14ac:dyDescent="0.3">
      <c r="A18" s="164" t="s">
        <v>42</v>
      </c>
      <c r="B18" s="14">
        <f>SUMIFS('Prima Nota'!$C$1:$C$9845,'Prima Nota'!$E$1:$E$9845,$A18,'Prima Nota'!$A$1:$A$9845,"&gt;="&amp;DATE('Impostazioni Software'!$B$2, B$3, 1),'Prima Nota'!$A$1:$A$9845,"&lt;="&amp;EOMONTH(DATE('Impostazioni Software'!$B$2,B$3, 1),0))</f>
        <v>0</v>
      </c>
      <c r="C18" s="14">
        <f>SUMIFS('Prima Nota'!$C$1:$C$9845,'Prima Nota'!$E$1:$E$9845,$A18,'Prima Nota'!$A$1:$A$9845,"&gt;="&amp;DATE('Impostazioni Software'!$B$2, C$3, 1),'Prima Nota'!$A$1:$A$9845,"&lt;="&amp;EOMONTH(DATE('Impostazioni Software'!$B$2,C$3, 1),0))</f>
        <v>0</v>
      </c>
      <c r="D18" s="14">
        <f>SUMIFS('Prima Nota'!$C$1:$C$9845,'Prima Nota'!$E$1:$E$9845,$A18,'Prima Nota'!$A$1:$A$9845,"&gt;="&amp;DATE('Impostazioni Software'!$B$2, D$3, 1),'Prima Nota'!$A$1:$A$9845,"&lt;="&amp;EOMONTH(DATE('Impostazioni Software'!$B$2,D$3, 1),0))</f>
        <v>0</v>
      </c>
      <c r="E18" s="14">
        <f>SUMIFS('Prima Nota'!$C$1:$C$9845,'Prima Nota'!$E$1:$E$9845,$A18,'Prima Nota'!$A$1:$A$9845,"&gt;="&amp;DATE('Impostazioni Software'!$B$2, E$3, 1),'Prima Nota'!$A$1:$A$9845,"&lt;="&amp;EOMONTH(DATE('Impostazioni Software'!$B$2,E$3, 1),0))</f>
        <v>0</v>
      </c>
      <c r="F18" s="14">
        <f>SUMIFS('Prima Nota'!$C$1:$C$9845,'Prima Nota'!$E$1:$E$9845,$A18,'Prima Nota'!$A$1:$A$9845,"&gt;="&amp;DATE('Impostazioni Software'!$B$2, F$3, 1),'Prima Nota'!$A$1:$A$9845,"&lt;="&amp;EOMONTH(DATE('Impostazioni Software'!$B$2,F$3, 1),0))</f>
        <v>0</v>
      </c>
      <c r="G18" s="14">
        <f>SUMIFS('Prima Nota'!$C$1:$C$9845,'Prima Nota'!$E$1:$E$9845,$A18,'Prima Nota'!$A$1:$A$9845,"&gt;="&amp;DATE('Impostazioni Software'!$B$2, G$3, 1),'Prima Nota'!$A$1:$A$9845,"&lt;="&amp;EOMONTH(DATE('Impostazioni Software'!$B$2,G$3, 1),0))</f>
        <v>0</v>
      </c>
      <c r="H18" s="14">
        <f>SUMIFS('Prima Nota'!$C$1:$C$9845,'Prima Nota'!$E$1:$E$9845,$A18,'Prima Nota'!$A$1:$A$9845,"&gt;="&amp;DATE('Impostazioni Software'!$B$2, H$3, 1),'Prima Nota'!$A$1:$A$9845,"&lt;="&amp;EOMONTH(DATE('Impostazioni Software'!$B$2,H$3, 1),0))</f>
        <v>0</v>
      </c>
      <c r="I18" s="14">
        <f>SUMIFS('Prima Nota'!$C$1:$C$9845,'Prima Nota'!$E$1:$E$9845,$A18,'Prima Nota'!$A$1:$A$9845,"&gt;="&amp;DATE('Impostazioni Software'!$B$2, I$3, 1),'Prima Nota'!$A$1:$A$9845,"&lt;="&amp;EOMONTH(DATE('Impostazioni Software'!$B$2,I$3, 1),0))</f>
        <v>0</v>
      </c>
      <c r="J18" s="14">
        <f>SUMIFS('Prima Nota'!$C$1:$C$9845,'Prima Nota'!$E$1:$E$9845,$A18,'Prima Nota'!$A$1:$A$9845,"&gt;="&amp;DATE('Impostazioni Software'!$B$2, J$3, 1),'Prima Nota'!$A$1:$A$9845,"&lt;="&amp;EOMONTH(DATE('Impostazioni Software'!$B$2,J$3, 1),0))</f>
        <v>0</v>
      </c>
      <c r="K18" s="14">
        <f>SUMIFS('Prima Nota'!$C$1:$C$9845,'Prima Nota'!$E$1:$E$9845,$A18,'Prima Nota'!$A$1:$A$9845,"&gt;="&amp;DATE('Impostazioni Software'!$B$2, K$3, 1),'Prima Nota'!$A$1:$A$9845,"&lt;="&amp;EOMONTH(DATE('Impostazioni Software'!$B$2,K$3, 1),0))</f>
        <v>0</v>
      </c>
      <c r="L18" s="14">
        <f>SUMIFS('Prima Nota'!$C$1:$C$9845,'Prima Nota'!$E$1:$E$9845,$A18,'Prima Nota'!$A$1:$A$9845,"&gt;="&amp;DATE('Impostazioni Software'!$B$2, L$3, 1),'Prima Nota'!$A$1:$A$9845,"&lt;="&amp;EOMONTH(DATE('Impostazioni Software'!$B$2,L$3, 1),0))</f>
        <v>0</v>
      </c>
      <c r="M18" s="14">
        <f>SUMIFS('Prima Nota'!$C$1:$C$9845,'Prima Nota'!$E$1:$E$9845,$A18,'Prima Nota'!$A$1:$A$9845,"&gt;="&amp;DATE('Impostazioni Software'!$B$2, M$3, 1),'Prima Nota'!$A$1:$A$9845,"&lt;="&amp;EOMONTH(DATE('Impostazioni Software'!$B$2,M$3, 1),0))</f>
        <v>0</v>
      </c>
      <c r="N18" s="25">
        <f t="shared" si="2"/>
        <v>0</v>
      </c>
      <c r="O18" s="26">
        <f t="shared" ca="1" si="3"/>
        <v>0</v>
      </c>
      <c r="Q18" s="2"/>
    </row>
    <row r="19" spans="1:17" ht="30.75" thickBot="1" x14ac:dyDescent="0.3">
      <c r="A19" s="164" t="s">
        <v>43</v>
      </c>
      <c r="B19" s="14">
        <f>SUMIFS('Prima Nota'!$C$1:$C$9845,'Prima Nota'!$E$1:$E$9845,$A19,'Prima Nota'!$A$1:$A$9845,"&gt;="&amp;DATE('Impostazioni Software'!$B$2, B$3, 1),'Prima Nota'!$A$1:$A$9845,"&lt;="&amp;EOMONTH(DATE('Impostazioni Software'!$B$2,B$3, 1),0))</f>
        <v>0</v>
      </c>
      <c r="C19" s="14">
        <f>SUMIFS('Prima Nota'!$C$1:$C$9845,'Prima Nota'!$E$1:$E$9845,$A19,'Prima Nota'!$A$1:$A$9845,"&gt;="&amp;DATE('Impostazioni Software'!$B$2, C$3, 1),'Prima Nota'!$A$1:$A$9845,"&lt;="&amp;EOMONTH(DATE('Impostazioni Software'!$B$2,C$3, 1),0))</f>
        <v>0</v>
      </c>
      <c r="D19" s="14">
        <f>SUMIFS('Prima Nota'!$C$1:$C$9845,'Prima Nota'!$E$1:$E$9845,$A19,'Prima Nota'!$A$1:$A$9845,"&gt;="&amp;DATE('Impostazioni Software'!$B$2, D$3, 1),'Prima Nota'!$A$1:$A$9845,"&lt;="&amp;EOMONTH(DATE('Impostazioni Software'!$B$2,D$3, 1),0))</f>
        <v>0</v>
      </c>
      <c r="E19" s="14">
        <f>SUMIFS('Prima Nota'!$C$1:$C$9845,'Prima Nota'!$E$1:$E$9845,$A19,'Prima Nota'!$A$1:$A$9845,"&gt;="&amp;DATE('Impostazioni Software'!$B$2, E$3, 1),'Prima Nota'!$A$1:$A$9845,"&lt;="&amp;EOMONTH(DATE('Impostazioni Software'!$B$2,E$3, 1),0))</f>
        <v>0</v>
      </c>
      <c r="F19" s="14">
        <f>SUMIFS('Prima Nota'!$C$1:$C$9845,'Prima Nota'!$E$1:$E$9845,$A19,'Prima Nota'!$A$1:$A$9845,"&gt;="&amp;DATE('Impostazioni Software'!$B$2, F$3, 1),'Prima Nota'!$A$1:$A$9845,"&lt;="&amp;EOMONTH(DATE('Impostazioni Software'!$B$2,F$3, 1),0))</f>
        <v>0</v>
      </c>
      <c r="G19" s="14">
        <f>SUMIFS('Prima Nota'!$C$1:$C$9845,'Prima Nota'!$E$1:$E$9845,$A19,'Prima Nota'!$A$1:$A$9845,"&gt;="&amp;DATE('Impostazioni Software'!$B$2, G$3, 1),'Prima Nota'!$A$1:$A$9845,"&lt;="&amp;EOMONTH(DATE('Impostazioni Software'!$B$2,G$3, 1),0))</f>
        <v>0</v>
      </c>
      <c r="H19" s="14">
        <f>SUMIFS('Prima Nota'!$C$1:$C$9845,'Prima Nota'!$E$1:$E$9845,$A19,'Prima Nota'!$A$1:$A$9845,"&gt;="&amp;DATE('Impostazioni Software'!$B$2, H$3, 1),'Prima Nota'!$A$1:$A$9845,"&lt;="&amp;EOMONTH(DATE('Impostazioni Software'!$B$2,H$3, 1),0))</f>
        <v>0</v>
      </c>
      <c r="I19" s="14">
        <f>SUMIFS('Prima Nota'!$C$1:$C$9845,'Prima Nota'!$E$1:$E$9845,$A19,'Prima Nota'!$A$1:$A$9845,"&gt;="&amp;DATE('Impostazioni Software'!$B$2, I$3, 1),'Prima Nota'!$A$1:$A$9845,"&lt;="&amp;EOMONTH(DATE('Impostazioni Software'!$B$2,I$3, 1),0))</f>
        <v>0</v>
      </c>
      <c r="J19" s="14">
        <f>SUMIFS('Prima Nota'!$C$1:$C$9845,'Prima Nota'!$E$1:$E$9845,$A19,'Prima Nota'!$A$1:$A$9845,"&gt;="&amp;DATE('Impostazioni Software'!$B$2, J$3, 1),'Prima Nota'!$A$1:$A$9845,"&lt;="&amp;EOMONTH(DATE('Impostazioni Software'!$B$2,J$3, 1),0))</f>
        <v>0</v>
      </c>
      <c r="K19" s="14">
        <f>SUMIFS('Prima Nota'!$C$1:$C$9845,'Prima Nota'!$E$1:$E$9845,$A19,'Prima Nota'!$A$1:$A$9845,"&gt;="&amp;DATE('Impostazioni Software'!$B$2, K$3, 1),'Prima Nota'!$A$1:$A$9845,"&lt;="&amp;EOMONTH(DATE('Impostazioni Software'!$B$2,K$3, 1),0))</f>
        <v>0</v>
      </c>
      <c r="L19" s="14">
        <f>SUMIFS('Prima Nota'!$C$1:$C$9845,'Prima Nota'!$E$1:$E$9845,$A19,'Prima Nota'!$A$1:$A$9845,"&gt;="&amp;DATE('Impostazioni Software'!$B$2, L$3, 1),'Prima Nota'!$A$1:$A$9845,"&lt;="&amp;EOMONTH(DATE('Impostazioni Software'!$B$2,L$3, 1),0))</f>
        <v>0</v>
      </c>
      <c r="M19" s="14">
        <f>SUMIFS('Prima Nota'!$C$1:$C$9845,'Prima Nota'!$E$1:$E$9845,$A19,'Prima Nota'!$A$1:$A$9845,"&gt;="&amp;DATE('Impostazioni Software'!$B$2, M$3, 1),'Prima Nota'!$A$1:$A$9845,"&lt;="&amp;EOMONTH(DATE('Impostazioni Software'!$B$2,M$3, 1),0))</f>
        <v>0</v>
      </c>
      <c r="N19" s="25">
        <f t="shared" si="2"/>
        <v>0</v>
      </c>
      <c r="O19" s="26">
        <f t="shared" ca="1" si="3"/>
        <v>0</v>
      </c>
      <c r="Q19" s="2"/>
    </row>
    <row r="20" spans="1:17" ht="30.75" thickBot="1" x14ac:dyDescent="0.3">
      <c r="A20" s="164" t="s">
        <v>44</v>
      </c>
      <c r="B20" s="14">
        <f>SUMIFS('Prima Nota'!$C$1:$C$9845,'Prima Nota'!$E$1:$E$9845,$A20,'Prima Nota'!$A$1:$A$9845,"&gt;="&amp;DATE('Impostazioni Software'!$B$2, B$3, 1),'Prima Nota'!$A$1:$A$9845,"&lt;="&amp;EOMONTH(DATE('Impostazioni Software'!$B$2,B$3, 1),0))</f>
        <v>0</v>
      </c>
      <c r="C20" s="14">
        <f>SUMIFS('Prima Nota'!$C$1:$C$9845,'Prima Nota'!$E$1:$E$9845,$A20,'Prima Nota'!$A$1:$A$9845,"&gt;="&amp;DATE('Impostazioni Software'!$B$2, C$3, 1),'Prima Nota'!$A$1:$A$9845,"&lt;="&amp;EOMONTH(DATE('Impostazioni Software'!$B$2,C$3, 1),0))</f>
        <v>0</v>
      </c>
      <c r="D20" s="14">
        <f>SUMIFS('Prima Nota'!$C$1:$C$9845,'Prima Nota'!$E$1:$E$9845,$A20,'Prima Nota'!$A$1:$A$9845,"&gt;="&amp;DATE('Impostazioni Software'!$B$2, D$3, 1),'Prima Nota'!$A$1:$A$9845,"&lt;="&amp;EOMONTH(DATE('Impostazioni Software'!$B$2,D$3, 1),0))</f>
        <v>0</v>
      </c>
      <c r="E20" s="14">
        <f>SUMIFS('Prima Nota'!$C$1:$C$9845,'Prima Nota'!$E$1:$E$9845,$A20,'Prima Nota'!$A$1:$A$9845,"&gt;="&amp;DATE('Impostazioni Software'!$B$2, E$3, 1),'Prima Nota'!$A$1:$A$9845,"&lt;="&amp;EOMONTH(DATE('Impostazioni Software'!$B$2,E$3, 1),0))</f>
        <v>0</v>
      </c>
      <c r="F20" s="14">
        <f>SUMIFS('Prima Nota'!$C$1:$C$9845,'Prima Nota'!$E$1:$E$9845,$A20,'Prima Nota'!$A$1:$A$9845,"&gt;="&amp;DATE('Impostazioni Software'!$B$2, F$3, 1),'Prima Nota'!$A$1:$A$9845,"&lt;="&amp;EOMONTH(DATE('Impostazioni Software'!$B$2,F$3, 1),0))</f>
        <v>0</v>
      </c>
      <c r="G20" s="14">
        <f>SUMIFS('Prima Nota'!$C$1:$C$9845,'Prima Nota'!$E$1:$E$9845,$A20,'Prima Nota'!$A$1:$A$9845,"&gt;="&amp;DATE('Impostazioni Software'!$B$2, G$3, 1),'Prima Nota'!$A$1:$A$9845,"&lt;="&amp;EOMONTH(DATE('Impostazioni Software'!$B$2,G$3, 1),0))</f>
        <v>0</v>
      </c>
      <c r="H20" s="14">
        <f>SUMIFS('Prima Nota'!$C$1:$C$9845,'Prima Nota'!$E$1:$E$9845,$A20,'Prima Nota'!$A$1:$A$9845,"&gt;="&amp;DATE('Impostazioni Software'!$B$2, H$3, 1),'Prima Nota'!$A$1:$A$9845,"&lt;="&amp;EOMONTH(DATE('Impostazioni Software'!$B$2,H$3, 1),0))</f>
        <v>0</v>
      </c>
      <c r="I20" s="14">
        <f>SUMIFS('Prima Nota'!$C$1:$C$9845,'Prima Nota'!$E$1:$E$9845,$A20,'Prima Nota'!$A$1:$A$9845,"&gt;="&amp;DATE('Impostazioni Software'!$B$2, I$3, 1),'Prima Nota'!$A$1:$A$9845,"&lt;="&amp;EOMONTH(DATE('Impostazioni Software'!$B$2,I$3, 1),0))</f>
        <v>0</v>
      </c>
      <c r="J20" s="14">
        <f>SUMIFS('Prima Nota'!$C$1:$C$9845,'Prima Nota'!$E$1:$E$9845,$A20,'Prima Nota'!$A$1:$A$9845,"&gt;="&amp;DATE('Impostazioni Software'!$B$2, J$3, 1),'Prima Nota'!$A$1:$A$9845,"&lt;="&amp;EOMONTH(DATE('Impostazioni Software'!$B$2,J$3, 1),0))</f>
        <v>0</v>
      </c>
      <c r="K20" s="14">
        <f>SUMIFS('Prima Nota'!$C$1:$C$9845,'Prima Nota'!$E$1:$E$9845,$A20,'Prima Nota'!$A$1:$A$9845,"&gt;="&amp;DATE('Impostazioni Software'!$B$2, K$3, 1),'Prima Nota'!$A$1:$A$9845,"&lt;="&amp;EOMONTH(DATE('Impostazioni Software'!$B$2,K$3, 1),0))</f>
        <v>0</v>
      </c>
      <c r="L20" s="14">
        <f>SUMIFS('Prima Nota'!$C$1:$C$9845,'Prima Nota'!$E$1:$E$9845,$A20,'Prima Nota'!$A$1:$A$9845,"&gt;="&amp;DATE('Impostazioni Software'!$B$2, L$3, 1),'Prima Nota'!$A$1:$A$9845,"&lt;="&amp;EOMONTH(DATE('Impostazioni Software'!$B$2,L$3, 1),0))</f>
        <v>0</v>
      </c>
      <c r="M20" s="14">
        <f>SUMIFS('Prima Nota'!$C$1:$C$9845,'Prima Nota'!$E$1:$E$9845,$A20,'Prima Nota'!$A$1:$A$9845,"&gt;="&amp;DATE('Impostazioni Software'!$B$2, M$3, 1),'Prima Nota'!$A$1:$A$9845,"&lt;="&amp;EOMONTH(DATE('Impostazioni Software'!$B$2,M$3, 1),0))</f>
        <v>0</v>
      </c>
      <c r="N20" s="25">
        <f t="shared" si="2"/>
        <v>0</v>
      </c>
      <c r="O20" s="26">
        <f t="shared" ca="1" si="3"/>
        <v>0</v>
      </c>
      <c r="Q20" s="2"/>
    </row>
    <row r="21" spans="1:17" ht="30.75" thickBot="1" x14ac:dyDescent="0.3">
      <c r="A21" s="164" t="s">
        <v>45</v>
      </c>
      <c r="B21" s="14">
        <f>SUMIFS('Prima Nota'!$C$1:$C$9845,'Prima Nota'!$E$1:$E$9845,$A21,'Prima Nota'!$A$1:$A$9845,"&gt;="&amp;DATE('Impostazioni Software'!$B$2, B$3, 1),'Prima Nota'!$A$1:$A$9845,"&lt;="&amp;EOMONTH(DATE('Impostazioni Software'!$B$2,B$3, 1),0))</f>
        <v>0</v>
      </c>
      <c r="C21" s="14">
        <f>SUMIFS('Prima Nota'!$C$1:$C$9845,'Prima Nota'!$E$1:$E$9845,$A21,'Prima Nota'!$A$1:$A$9845,"&gt;="&amp;DATE('Impostazioni Software'!$B$2, C$3, 1),'Prima Nota'!$A$1:$A$9845,"&lt;="&amp;EOMONTH(DATE('Impostazioni Software'!$B$2,C$3, 1),0))</f>
        <v>0</v>
      </c>
      <c r="D21" s="14">
        <f>SUMIFS('Prima Nota'!$C$1:$C$9845,'Prima Nota'!$E$1:$E$9845,$A21,'Prima Nota'!$A$1:$A$9845,"&gt;="&amp;DATE('Impostazioni Software'!$B$2, D$3, 1),'Prima Nota'!$A$1:$A$9845,"&lt;="&amp;EOMONTH(DATE('Impostazioni Software'!$B$2,D$3, 1),0))</f>
        <v>0</v>
      </c>
      <c r="E21" s="14">
        <f>SUMIFS('Prima Nota'!$C$1:$C$9845,'Prima Nota'!$E$1:$E$9845,$A21,'Prima Nota'!$A$1:$A$9845,"&gt;="&amp;DATE('Impostazioni Software'!$B$2, E$3, 1),'Prima Nota'!$A$1:$A$9845,"&lt;="&amp;EOMONTH(DATE('Impostazioni Software'!$B$2,E$3, 1),0))</f>
        <v>0</v>
      </c>
      <c r="F21" s="14">
        <f>SUMIFS('Prima Nota'!$C$1:$C$9845,'Prima Nota'!$E$1:$E$9845,$A21,'Prima Nota'!$A$1:$A$9845,"&gt;="&amp;DATE('Impostazioni Software'!$B$2, F$3, 1),'Prima Nota'!$A$1:$A$9845,"&lt;="&amp;EOMONTH(DATE('Impostazioni Software'!$B$2,F$3, 1),0))</f>
        <v>0</v>
      </c>
      <c r="G21" s="14">
        <f>SUMIFS('Prima Nota'!$C$1:$C$9845,'Prima Nota'!$E$1:$E$9845,$A21,'Prima Nota'!$A$1:$A$9845,"&gt;="&amp;DATE('Impostazioni Software'!$B$2, G$3, 1),'Prima Nota'!$A$1:$A$9845,"&lt;="&amp;EOMONTH(DATE('Impostazioni Software'!$B$2,G$3, 1),0))</f>
        <v>0</v>
      </c>
      <c r="H21" s="14">
        <f>SUMIFS('Prima Nota'!$C$1:$C$9845,'Prima Nota'!$E$1:$E$9845,$A21,'Prima Nota'!$A$1:$A$9845,"&gt;="&amp;DATE('Impostazioni Software'!$B$2, H$3, 1),'Prima Nota'!$A$1:$A$9845,"&lt;="&amp;EOMONTH(DATE('Impostazioni Software'!$B$2,H$3, 1),0))</f>
        <v>0</v>
      </c>
      <c r="I21" s="14">
        <f>SUMIFS('Prima Nota'!$C$1:$C$9845,'Prima Nota'!$E$1:$E$9845,$A21,'Prima Nota'!$A$1:$A$9845,"&gt;="&amp;DATE('Impostazioni Software'!$B$2, I$3, 1),'Prima Nota'!$A$1:$A$9845,"&lt;="&amp;EOMONTH(DATE('Impostazioni Software'!$B$2,I$3, 1),0))</f>
        <v>0</v>
      </c>
      <c r="J21" s="14">
        <f>SUMIFS('Prima Nota'!$C$1:$C$9845,'Prima Nota'!$E$1:$E$9845,$A21,'Prima Nota'!$A$1:$A$9845,"&gt;="&amp;DATE('Impostazioni Software'!$B$2, J$3, 1),'Prima Nota'!$A$1:$A$9845,"&lt;="&amp;EOMONTH(DATE('Impostazioni Software'!$B$2,J$3, 1),0))</f>
        <v>0</v>
      </c>
      <c r="K21" s="14">
        <f>SUMIFS('Prima Nota'!$C$1:$C$9845,'Prima Nota'!$E$1:$E$9845,$A21,'Prima Nota'!$A$1:$A$9845,"&gt;="&amp;DATE('Impostazioni Software'!$B$2, K$3, 1),'Prima Nota'!$A$1:$A$9845,"&lt;="&amp;EOMONTH(DATE('Impostazioni Software'!$B$2,K$3, 1),0))</f>
        <v>0</v>
      </c>
      <c r="L21" s="14">
        <f>SUMIFS('Prima Nota'!$C$1:$C$9845,'Prima Nota'!$E$1:$E$9845,$A21,'Prima Nota'!$A$1:$A$9845,"&gt;="&amp;DATE('Impostazioni Software'!$B$2, L$3, 1),'Prima Nota'!$A$1:$A$9845,"&lt;="&amp;EOMONTH(DATE('Impostazioni Software'!$B$2,L$3, 1),0))</f>
        <v>0</v>
      </c>
      <c r="M21" s="14">
        <f>SUMIFS('Prima Nota'!$C$1:$C$9845,'Prima Nota'!$E$1:$E$9845,$A21,'Prima Nota'!$A$1:$A$9845,"&gt;="&amp;DATE('Impostazioni Software'!$B$2, M$3, 1),'Prima Nota'!$A$1:$A$9845,"&lt;="&amp;EOMONTH(DATE('Impostazioni Software'!$B$2,M$3, 1),0))</f>
        <v>0</v>
      </c>
      <c r="N21" s="25">
        <f t="shared" si="2"/>
        <v>0</v>
      </c>
      <c r="O21" s="26">
        <f t="shared" ca="1" si="3"/>
        <v>0</v>
      </c>
      <c r="Q21" s="2"/>
    </row>
    <row r="22" spans="1:17" ht="15.75" thickBot="1" x14ac:dyDescent="0.3">
      <c r="A22" s="164" t="s">
        <v>46</v>
      </c>
      <c r="B22" s="14">
        <f>SUMIFS('Prima Nota'!$C$1:$C$9845,'Prima Nota'!$E$1:$E$9845,$A22,'Prima Nota'!$A$1:$A$9845,"&gt;="&amp;DATE('Impostazioni Software'!$B$2, B$3, 1),'Prima Nota'!$A$1:$A$9845,"&lt;="&amp;EOMONTH(DATE('Impostazioni Software'!$B$2,B$3, 1),0))</f>
        <v>0</v>
      </c>
      <c r="C22" s="14">
        <f>SUMIFS('Prima Nota'!$C$1:$C$9845,'Prima Nota'!$E$1:$E$9845,$A22,'Prima Nota'!$A$1:$A$9845,"&gt;="&amp;DATE('Impostazioni Software'!$B$2, C$3, 1),'Prima Nota'!$A$1:$A$9845,"&lt;="&amp;EOMONTH(DATE('Impostazioni Software'!$B$2,C$3, 1),0))</f>
        <v>0</v>
      </c>
      <c r="D22" s="14">
        <f>SUMIFS('Prima Nota'!$C$1:$C$9845,'Prima Nota'!$E$1:$E$9845,$A22,'Prima Nota'!$A$1:$A$9845,"&gt;="&amp;DATE('Impostazioni Software'!$B$2, D$3, 1),'Prima Nota'!$A$1:$A$9845,"&lt;="&amp;EOMONTH(DATE('Impostazioni Software'!$B$2,D$3, 1),0))</f>
        <v>0</v>
      </c>
      <c r="E22" s="14">
        <f>SUMIFS('Prima Nota'!$C$1:$C$9845,'Prima Nota'!$E$1:$E$9845,$A22,'Prima Nota'!$A$1:$A$9845,"&gt;="&amp;DATE('Impostazioni Software'!$B$2, E$3, 1),'Prima Nota'!$A$1:$A$9845,"&lt;="&amp;EOMONTH(DATE('Impostazioni Software'!$B$2,E$3, 1),0))</f>
        <v>0</v>
      </c>
      <c r="F22" s="14">
        <f>SUMIFS('Prima Nota'!$C$1:$C$9845,'Prima Nota'!$E$1:$E$9845,$A22,'Prima Nota'!$A$1:$A$9845,"&gt;="&amp;DATE('Impostazioni Software'!$B$2, F$3, 1),'Prima Nota'!$A$1:$A$9845,"&lt;="&amp;EOMONTH(DATE('Impostazioni Software'!$B$2,F$3, 1),0))</f>
        <v>0</v>
      </c>
      <c r="G22" s="14">
        <f>SUMIFS('Prima Nota'!$C$1:$C$9845,'Prima Nota'!$E$1:$E$9845,$A22,'Prima Nota'!$A$1:$A$9845,"&gt;="&amp;DATE('Impostazioni Software'!$B$2, G$3, 1),'Prima Nota'!$A$1:$A$9845,"&lt;="&amp;EOMONTH(DATE('Impostazioni Software'!$B$2,G$3, 1),0))</f>
        <v>0</v>
      </c>
      <c r="H22" s="14">
        <f>SUMIFS('Prima Nota'!$C$1:$C$9845,'Prima Nota'!$E$1:$E$9845,$A22,'Prima Nota'!$A$1:$A$9845,"&gt;="&amp;DATE('Impostazioni Software'!$B$2, H$3, 1),'Prima Nota'!$A$1:$A$9845,"&lt;="&amp;EOMONTH(DATE('Impostazioni Software'!$B$2,H$3, 1),0))</f>
        <v>0</v>
      </c>
      <c r="I22" s="14">
        <f>SUMIFS('Prima Nota'!$C$1:$C$9845,'Prima Nota'!$E$1:$E$9845,$A22,'Prima Nota'!$A$1:$A$9845,"&gt;="&amp;DATE('Impostazioni Software'!$B$2, I$3, 1),'Prima Nota'!$A$1:$A$9845,"&lt;="&amp;EOMONTH(DATE('Impostazioni Software'!$B$2,I$3, 1),0))</f>
        <v>0</v>
      </c>
      <c r="J22" s="14">
        <f>SUMIFS('Prima Nota'!$C$1:$C$9845,'Prima Nota'!$E$1:$E$9845,$A22,'Prima Nota'!$A$1:$A$9845,"&gt;="&amp;DATE('Impostazioni Software'!$B$2, J$3, 1),'Prima Nota'!$A$1:$A$9845,"&lt;="&amp;EOMONTH(DATE('Impostazioni Software'!$B$2,J$3, 1),0))</f>
        <v>0</v>
      </c>
      <c r="K22" s="14">
        <f>SUMIFS('Prima Nota'!$C$1:$C$9845,'Prima Nota'!$E$1:$E$9845,$A22,'Prima Nota'!$A$1:$A$9845,"&gt;="&amp;DATE('Impostazioni Software'!$B$2, K$3, 1),'Prima Nota'!$A$1:$A$9845,"&lt;="&amp;EOMONTH(DATE('Impostazioni Software'!$B$2,K$3, 1),0))</f>
        <v>0</v>
      </c>
      <c r="L22" s="14">
        <f>SUMIFS('Prima Nota'!$C$1:$C$9845,'Prima Nota'!$E$1:$E$9845,$A22,'Prima Nota'!$A$1:$A$9845,"&gt;="&amp;DATE('Impostazioni Software'!$B$2, L$3, 1),'Prima Nota'!$A$1:$A$9845,"&lt;="&amp;EOMONTH(DATE('Impostazioni Software'!$B$2,L$3, 1),0))</f>
        <v>0</v>
      </c>
      <c r="M22" s="14">
        <f>SUMIFS('Prima Nota'!$C$1:$C$9845,'Prima Nota'!$E$1:$E$9845,$A22,'Prima Nota'!$A$1:$A$9845,"&gt;="&amp;DATE('Impostazioni Software'!$B$2, M$3, 1),'Prima Nota'!$A$1:$A$9845,"&lt;="&amp;EOMONTH(DATE('Impostazioni Software'!$B$2,M$3, 1),0))</f>
        <v>0</v>
      </c>
      <c r="N22" s="25">
        <f t="shared" si="2"/>
        <v>0</v>
      </c>
      <c r="O22" s="26">
        <f t="shared" ca="1" si="3"/>
        <v>0</v>
      </c>
      <c r="Q22" s="2"/>
    </row>
    <row r="23" spans="1:17" ht="15.75" thickBot="1" x14ac:dyDescent="0.3">
      <c r="A23" s="164" t="s">
        <v>47</v>
      </c>
      <c r="B23" s="14">
        <f>SUMIFS('Prima Nota'!$C$1:$C$9845,'Prima Nota'!$E$1:$E$9845,$A23,'Prima Nota'!$A$1:$A$9845,"&gt;="&amp;DATE('Impostazioni Software'!$B$2, B$3, 1),'Prima Nota'!$A$1:$A$9845,"&lt;="&amp;EOMONTH(DATE('Impostazioni Software'!$B$2,B$3, 1),0))</f>
        <v>0</v>
      </c>
      <c r="C23" s="14">
        <f>SUMIFS('Prima Nota'!$C$1:$C$9845,'Prima Nota'!$E$1:$E$9845,$A23,'Prima Nota'!$A$1:$A$9845,"&gt;="&amp;DATE('Impostazioni Software'!$B$2, C$3, 1),'Prima Nota'!$A$1:$A$9845,"&lt;="&amp;EOMONTH(DATE('Impostazioni Software'!$B$2,C$3, 1),0))</f>
        <v>0</v>
      </c>
      <c r="D23" s="14">
        <f>SUMIFS('Prima Nota'!$C$1:$C$9845,'Prima Nota'!$E$1:$E$9845,$A23,'Prima Nota'!$A$1:$A$9845,"&gt;="&amp;DATE('Impostazioni Software'!$B$2, D$3, 1),'Prima Nota'!$A$1:$A$9845,"&lt;="&amp;EOMONTH(DATE('Impostazioni Software'!$B$2,D$3, 1),0))</f>
        <v>0</v>
      </c>
      <c r="E23" s="14">
        <f>SUMIFS('Prima Nota'!$C$1:$C$9845,'Prima Nota'!$E$1:$E$9845,$A23,'Prima Nota'!$A$1:$A$9845,"&gt;="&amp;DATE('Impostazioni Software'!$B$2, E$3, 1),'Prima Nota'!$A$1:$A$9845,"&lt;="&amp;EOMONTH(DATE('Impostazioni Software'!$B$2,E$3, 1),0))</f>
        <v>0</v>
      </c>
      <c r="F23" s="14">
        <f>SUMIFS('Prima Nota'!$C$1:$C$9845,'Prima Nota'!$E$1:$E$9845,$A23,'Prima Nota'!$A$1:$A$9845,"&gt;="&amp;DATE('Impostazioni Software'!$B$2, F$3, 1),'Prima Nota'!$A$1:$A$9845,"&lt;="&amp;EOMONTH(DATE('Impostazioni Software'!$B$2,F$3, 1),0))</f>
        <v>0</v>
      </c>
      <c r="G23" s="14">
        <f>SUMIFS('Prima Nota'!$C$1:$C$9845,'Prima Nota'!$E$1:$E$9845,$A23,'Prima Nota'!$A$1:$A$9845,"&gt;="&amp;DATE('Impostazioni Software'!$B$2, G$3, 1),'Prima Nota'!$A$1:$A$9845,"&lt;="&amp;EOMONTH(DATE('Impostazioni Software'!$B$2,G$3, 1),0))</f>
        <v>0</v>
      </c>
      <c r="H23" s="14">
        <f>SUMIFS('Prima Nota'!$C$1:$C$9845,'Prima Nota'!$E$1:$E$9845,$A23,'Prima Nota'!$A$1:$A$9845,"&gt;="&amp;DATE('Impostazioni Software'!$B$2, H$3, 1),'Prima Nota'!$A$1:$A$9845,"&lt;="&amp;EOMONTH(DATE('Impostazioni Software'!$B$2,H$3, 1),0))</f>
        <v>0</v>
      </c>
      <c r="I23" s="14">
        <f>SUMIFS('Prima Nota'!$C$1:$C$9845,'Prima Nota'!$E$1:$E$9845,$A23,'Prima Nota'!$A$1:$A$9845,"&gt;="&amp;DATE('Impostazioni Software'!$B$2, I$3, 1),'Prima Nota'!$A$1:$A$9845,"&lt;="&amp;EOMONTH(DATE('Impostazioni Software'!$B$2,I$3, 1),0))</f>
        <v>0</v>
      </c>
      <c r="J23" s="14">
        <f>SUMIFS('Prima Nota'!$C$1:$C$9845,'Prima Nota'!$E$1:$E$9845,$A23,'Prima Nota'!$A$1:$A$9845,"&gt;="&amp;DATE('Impostazioni Software'!$B$2, J$3, 1),'Prima Nota'!$A$1:$A$9845,"&lt;="&amp;EOMONTH(DATE('Impostazioni Software'!$B$2,J$3, 1),0))</f>
        <v>0</v>
      </c>
      <c r="K23" s="14">
        <f>SUMIFS('Prima Nota'!$C$1:$C$9845,'Prima Nota'!$E$1:$E$9845,$A23,'Prima Nota'!$A$1:$A$9845,"&gt;="&amp;DATE('Impostazioni Software'!$B$2, K$3, 1),'Prima Nota'!$A$1:$A$9845,"&lt;="&amp;EOMONTH(DATE('Impostazioni Software'!$B$2,K$3, 1),0))</f>
        <v>0</v>
      </c>
      <c r="L23" s="14">
        <f>SUMIFS('Prima Nota'!$C$1:$C$9845,'Prima Nota'!$E$1:$E$9845,$A23,'Prima Nota'!$A$1:$A$9845,"&gt;="&amp;DATE('Impostazioni Software'!$B$2, L$3, 1),'Prima Nota'!$A$1:$A$9845,"&lt;="&amp;EOMONTH(DATE('Impostazioni Software'!$B$2,L$3, 1),0))</f>
        <v>0</v>
      </c>
      <c r="M23" s="14">
        <f>SUMIFS('Prima Nota'!$C$1:$C$9845,'Prima Nota'!$E$1:$E$9845,$A23,'Prima Nota'!$A$1:$A$9845,"&gt;="&amp;DATE('Impostazioni Software'!$B$2, M$3, 1),'Prima Nota'!$A$1:$A$9845,"&lt;="&amp;EOMONTH(DATE('Impostazioni Software'!$B$2,M$3, 1),0))</f>
        <v>0</v>
      </c>
      <c r="N23" s="25">
        <f t="shared" si="2"/>
        <v>0</v>
      </c>
      <c r="O23" s="26">
        <f t="shared" ca="1" si="3"/>
        <v>0</v>
      </c>
      <c r="Q23" s="2"/>
    </row>
    <row r="24" spans="1:17" ht="15.75" thickBot="1" x14ac:dyDescent="0.3">
      <c r="A24" s="164" t="s">
        <v>18</v>
      </c>
      <c r="B24" s="14">
        <f>SUMIFS('Prima Nota'!$C$1:$C$9845,'Prima Nota'!$E$1:$E$9845,$A24,'Prima Nota'!$A$1:$A$9845,"&gt;="&amp;DATE('Impostazioni Software'!$B$2, B$3, 1),'Prima Nota'!$A$1:$A$9845,"&lt;="&amp;EOMONTH(DATE('Impostazioni Software'!$B$2,B$3, 1),0))</f>
        <v>0</v>
      </c>
      <c r="C24" s="14">
        <f>SUMIFS('Prima Nota'!$C$1:$C$9845,'Prima Nota'!$E$1:$E$9845,$A24,'Prima Nota'!$A$1:$A$9845,"&gt;="&amp;DATE('Impostazioni Software'!$B$2, C$3, 1),'Prima Nota'!$A$1:$A$9845,"&lt;="&amp;EOMONTH(DATE('Impostazioni Software'!$B$2,C$3, 1),0))</f>
        <v>0</v>
      </c>
      <c r="D24" s="14">
        <f>SUMIFS('Prima Nota'!$C$1:$C$9845,'Prima Nota'!$E$1:$E$9845,$A24,'Prima Nota'!$A$1:$A$9845,"&gt;="&amp;DATE('Impostazioni Software'!$B$2, D$3, 1),'Prima Nota'!$A$1:$A$9845,"&lt;="&amp;EOMONTH(DATE('Impostazioni Software'!$B$2,D$3, 1),0))</f>
        <v>0</v>
      </c>
      <c r="E24" s="14">
        <f>SUMIFS('Prima Nota'!$C$1:$C$9845,'Prima Nota'!$E$1:$E$9845,$A24,'Prima Nota'!$A$1:$A$9845,"&gt;="&amp;DATE('Impostazioni Software'!$B$2, E$3, 1),'Prima Nota'!$A$1:$A$9845,"&lt;="&amp;EOMONTH(DATE('Impostazioni Software'!$B$2,E$3, 1),0))</f>
        <v>0</v>
      </c>
      <c r="F24" s="14">
        <f>SUMIFS('Prima Nota'!$C$1:$C$9845,'Prima Nota'!$E$1:$E$9845,$A24,'Prima Nota'!$A$1:$A$9845,"&gt;="&amp;DATE('Impostazioni Software'!$B$2, F$3, 1),'Prima Nota'!$A$1:$A$9845,"&lt;="&amp;EOMONTH(DATE('Impostazioni Software'!$B$2,F$3, 1),0))</f>
        <v>0</v>
      </c>
      <c r="G24" s="14">
        <f>SUMIFS('Prima Nota'!$C$1:$C$9845,'Prima Nota'!$E$1:$E$9845,$A24,'Prima Nota'!$A$1:$A$9845,"&gt;="&amp;DATE('Impostazioni Software'!$B$2, G$3, 1),'Prima Nota'!$A$1:$A$9845,"&lt;="&amp;EOMONTH(DATE('Impostazioni Software'!$B$2,G$3, 1),0))</f>
        <v>0</v>
      </c>
      <c r="H24" s="14">
        <f>SUMIFS('Prima Nota'!$C$1:$C$9845,'Prima Nota'!$E$1:$E$9845,$A24,'Prima Nota'!$A$1:$A$9845,"&gt;="&amp;DATE('Impostazioni Software'!$B$2, H$3, 1),'Prima Nota'!$A$1:$A$9845,"&lt;="&amp;EOMONTH(DATE('Impostazioni Software'!$B$2,H$3, 1),0))</f>
        <v>0</v>
      </c>
      <c r="I24" s="14">
        <f>SUMIFS('Prima Nota'!$C$1:$C$9845,'Prima Nota'!$E$1:$E$9845,$A24,'Prima Nota'!$A$1:$A$9845,"&gt;="&amp;DATE('Impostazioni Software'!$B$2, I$3, 1),'Prima Nota'!$A$1:$A$9845,"&lt;="&amp;EOMONTH(DATE('Impostazioni Software'!$B$2,I$3, 1),0))</f>
        <v>0</v>
      </c>
      <c r="J24" s="14">
        <f>SUMIFS('Prima Nota'!$C$1:$C$9845,'Prima Nota'!$E$1:$E$9845,$A24,'Prima Nota'!$A$1:$A$9845,"&gt;="&amp;DATE('Impostazioni Software'!$B$2, J$3, 1),'Prima Nota'!$A$1:$A$9845,"&lt;="&amp;EOMONTH(DATE('Impostazioni Software'!$B$2,J$3, 1),0))</f>
        <v>0</v>
      </c>
      <c r="K24" s="14">
        <f>SUMIFS('Prima Nota'!$C$1:$C$9845,'Prima Nota'!$E$1:$E$9845,$A24,'Prima Nota'!$A$1:$A$9845,"&gt;="&amp;DATE('Impostazioni Software'!$B$2, K$3, 1),'Prima Nota'!$A$1:$A$9845,"&lt;="&amp;EOMONTH(DATE('Impostazioni Software'!$B$2,K$3, 1),0))</f>
        <v>0</v>
      </c>
      <c r="L24" s="14">
        <f>SUMIFS('Prima Nota'!$C$1:$C$9845,'Prima Nota'!$E$1:$E$9845,$A24,'Prima Nota'!$A$1:$A$9845,"&gt;="&amp;DATE('Impostazioni Software'!$B$2, L$3, 1),'Prima Nota'!$A$1:$A$9845,"&lt;="&amp;EOMONTH(DATE('Impostazioni Software'!$B$2,L$3, 1),0))</f>
        <v>0</v>
      </c>
      <c r="M24" s="14">
        <f>SUMIFS('Prima Nota'!$C$1:$C$9845,'Prima Nota'!$E$1:$E$9845,$A24,'Prima Nota'!$A$1:$A$9845,"&gt;="&amp;DATE('Impostazioni Software'!$B$2, M$3, 1),'Prima Nota'!$A$1:$A$9845,"&lt;="&amp;EOMONTH(DATE('Impostazioni Software'!$B$2,M$3, 1),0))</f>
        <v>0</v>
      </c>
      <c r="N24" s="25">
        <f t="shared" si="2"/>
        <v>0</v>
      </c>
      <c r="O24" s="26">
        <f t="shared" ca="1" si="3"/>
        <v>0</v>
      </c>
      <c r="Q24" s="2"/>
    </row>
    <row r="25" spans="1:17" ht="15.75" thickBot="1" x14ac:dyDescent="0.3">
      <c r="A25" s="164" t="s">
        <v>48</v>
      </c>
      <c r="B25" s="27">
        <f>SUMIFS('Prima Nota'!$C$1:$C$9845,'Prima Nota'!$E$1:$E$9845,$A25,'Prima Nota'!$A$1:$A$9845,"&gt;="&amp;DATE('Impostazioni Software'!$B$2, B$3, 1),'Prima Nota'!$A$1:$A$9845,"&lt;="&amp;EOMONTH(DATE('Impostazioni Software'!$B$2,B$3, 1),0))</f>
        <v>0</v>
      </c>
      <c r="C25" s="27">
        <f>SUMIFS('Prima Nota'!$C$1:$C$9845,'Prima Nota'!$E$1:$E$9845,$A25,'Prima Nota'!$A$1:$A$9845,"&gt;="&amp;DATE('Impostazioni Software'!$B$2, C$3, 1),'Prima Nota'!$A$1:$A$9845,"&lt;="&amp;EOMONTH(DATE('Impostazioni Software'!$B$2,C$3, 1),0))</f>
        <v>0</v>
      </c>
      <c r="D25" s="27">
        <f>SUMIFS('Prima Nota'!$C$1:$C$9845,'Prima Nota'!$E$1:$E$9845,$A25,'Prima Nota'!$A$1:$A$9845,"&gt;="&amp;DATE('Impostazioni Software'!$B$2, D$3, 1),'Prima Nota'!$A$1:$A$9845,"&lt;="&amp;EOMONTH(DATE('Impostazioni Software'!$B$2,D$3, 1),0))</f>
        <v>0</v>
      </c>
      <c r="E25" s="27">
        <f>SUMIFS('Prima Nota'!$C$1:$C$9845,'Prima Nota'!$E$1:$E$9845,$A25,'Prima Nota'!$A$1:$A$9845,"&gt;="&amp;DATE('Impostazioni Software'!$B$2, E$3, 1),'Prima Nota'!$A$1:$A$9845,"&lt;="&amp;EOMONTH(DATE('Impostazioni Software'!$B$2,E$3, 1),0))</f>
        <v>0</v>
      </c>
      <c r="F25" s="27">
        <f>SUMIFS('Prima Nota'!$C$1:$C$9845,'Prima Nota'!$E$1:$E$9845,$A25,'Prima Nota'!$A$1:$A$9845,"&gt;="&amp;DATE('Impostazioni Software'!$B$2, F$3, 1),'Prima Nota'!$A$1:$A$9845,"&lt;="&amp;EOMONTH(DATE('Impostazioni Software'!$B$2,F$3, 1),0))</f>
        <v>0</v>
      </c>
      <c r="G25" s="27">
        <f>SUMIFS('Prima Nota'!$C$1:$C$9845,'Prima Nota'!$E$1:$E$9845,$A25,'Prima Nota'!$A$1:$A$9845,"&gt;="&amp;DATE('Impostazioni Software'!$B$2, G$3, 1),'Prima Nota'!$A$1:$A$9845,"&lt;="&amp;EOMONTH(DATE('Impostazioni Software'!$B$2,G$3, 1),0))</f>
        <v>0</v>
      </c>
      <c r="H25" s="27">
        <f>SUMIFS('Prima Nota'!$C$1:$C$9845,'Prima Nota'!$E$1:$E$9845,$A25,'Prima Nota'!$A$1:$A$9845,"&gt;="&amp;DATE('Impostazioni Software'!$B$2, H$3, 1),'Prima Nota'!$A$1:$A$9845,"&lt;="&amp;EOMONTH(DATE('Impostazioni Software'!$B$2,H$3, 1),0))</f>
        <v>0</v>
      </c>
      <c r="I25" s="27">
        <f>SUMIFS('Prima Nota'!$C$1:$C$9845,'Prima Nota'!$E$1:$E$9845,$A25,'Prima Nota'!$A$1:$A$9845,"&gt;="&amp;DATE('Impostazioni Software'!$B$2, I$3, 1),'Prima Nota'!$A$1:$A$9845,"&lt;="&amp;EOMONTH(DATE('Impostazioni Software'!$B$2,I$3, 1),0))</f>
        <v>0</v>
      </c>
      <c r="J25" s="27">
        <f>SUMIFS('Prima Nota'!$C$1:$C$9845,'Prima Nota'!$E$1:$E$9845,$A25,'Prima Nota'!$A$1:$A$9845,"&gt;="&amp;DATE('Impostazioni Software'!$B$2, J$3, 1),'Prima Nota'!$A$1:$A$9845,"&lt;="&amp;EOMONTH(DATE('Impostazioni Software'!$B$2,J$3, 1),0))</f>
        <v>0</v>
      </c>
      <c r="K25" s="27">
        <f>SUMIFS('Prima Nota'!$C$1:$C$9845,'Prima Nota'!$E$1:$E$9845,$A25,'Prima Nota'!$A$1:$A$9845,"&gt;="&amp;DATE('Impostazioni Software'!$B$2, K$3, 1),'Prima Nota'!$A$1:$A$9845,"&lt;="&amp;EOMONTH(DATE('Impostazioni Software'!$B$2,K$3, 1),0))</f>
        <v>0</v>
      </c>
      <c r="L25" s="27">
        <f>SUMIFS('Prima Nota'!$C$1:$C$9845,'Prima Nota'!$E$1:$E$9845,$A25,'Prima Nota'!$A$1:$A$9845,"&gt;="&amp;DATE('Impostazioni Software'!$B$2, L$3, 1),'Prima Nota'!$A$1:$A$9845,"&lt;="&amp;EOMONTH(DATE('Impostazioni Software'!$B$2,L$3, 1),0))</f>
        <v>0</v>
      </c>
      <c r="M25" s="27">
        <f>SUMIFS('Prima Nota'!$C$1:$C$9845,'Prima Nota'!$E$1:$E$9845,$A25,'Prima Nota'!$A$1:$A$9845,"&gt;="&amp;DATE('Impostazioni Software'!$B$2, M$3, 1),'Prima Nota'!$A$1:$A$9845,"&lt;="&amp;EOMONTH(DATE('Impostazioni Software'!$B$2,M$3, 1),0))</f>
        <v>0</v>
      </c>
      <c r="N25" s="28">
        <f t="shared" ref="N25" si="4">SUM(B25:M25)</f>
        <v>0</v>
      </c>
      <c r="O25" s="29">
        <f t="shared" ca="1" si="3"/>
        <v>0</v>
      </c>
      <c r="Q25" s="2"/>
    </row>
    <row r="26" spans="1:17" ht="15.75" thickBot="1" x14ac:dyDescent="0.3">
      <c r="A26" s="164" t="s">
        <v>49</v>
      </c>
      <c r="B26" s="27">
        <f>SUMIFS('Prima Nota'!$C$1:$C$9845,'Prima Nota'!$E$1:$E$9845,$A26,'Prima Nota'!$A$1:$A$9845,"&gt;="&amp;DATE('Impostazioni Software'!$B$2, B$3, 1),'Prima Nota'!$A$1:$A$9845,"&lt;="&amp;EOMONTH(DATE('Impostazioni Software'!$B$2,B$3, 1),0))</f>
        <v>0</v>
      </c>
      <c r="C26" s="27">
        <f>SUMIFS('Prima Nota'!$C$1:$C$9845,'Prima Nota'!$E$1:$E$9845,$A26,'Prima Nota'!$A$1:$A$9845,"&gt;="&amp;DATE('Impostazioni Software'!$B$2, C$3, 1),'Prima Nota'!$A$1:$A$9845,"&lt;="&amp;EOMONTH(DATE('Impostazioni Software'!$B$2,C$3, 1),0))</f>
        <v>0</v>
      </c>
      <c r="D26" s="27">
        <f>SUMIFS('Prima Nota'!$C$1:$C$9845,'Prima Nota'!$E$1:$E$9845,$A26,'Prima Nota'!$A$1:$A$9845,"&gt;="&amp;DATE('Impostazioni Software'!$B$2, D$3, 1),'Prima Nota'!$A$1:$A$9845,"&lt;="&amp;EOMONTH(DATE('Impostazioni Software'!$B$2,D$3, 1),0))</f>
        <v>0</v>
      </c>
      <c r="E26" s="27">
        <f>SUMIFS('Prima Nota'!$C$1:$C$9845,'Prima Nota'!$E$1:$E$9845,$A26,'Prima Nota'!$A$1:$A$9845,"&gt;="&amp;DATE('Impostazioni Software'!$B$2, E$3, 1),'Prima Nota'!$A$1:$A$9845,"&lt;="&amp;EOMONTH(DATE('Impostazioni Software'!$B$2,E$3, 1),0))</f>
        <v>0</v>
      </c>
      <c r="F26" s="27">
        <f>SUMIFS('Prima Nota'!$C$1:$C$9845,'Prima Nota'!$E$1:$E$9845,$A26,'Prima Nota'!$A$1:$A$9845,"&gt;="&amp;DATE('Impostazioni Software'!$B$2, F$3, 1),'Prima Nota'!$A$1:$A$9845,"&lt;="&amp;EOMONTH(DATE('Impostazioni Software'!$B$2,F$3, 1),0))</f>
        <v>0</v>
      </c>
      <c r="G26" s="27">
        <f>SUMIFS('Prima Nota'!$C$1:$C$9845,'Prima Nota'!$E$1:$E$9845,$A26,'Prima Nota'!$A$1:$A$9845,"&gt;="&amp;DATE('Impostazioni Software'!$B$2, G$3, 1),'Prima Nota'!$A$1:$A$9845,"&lt;="&amp;EOMONTH(DATE('Impostazioni Software'!$B$2,G$3, 1),0))</f>
        <v>0</v>
      </c>
      <c r="H26" s="27">
        <f>SUMIFS('Prima Nota'!$C$1:$C$9845,'Prima Nota'!$E$1:$E$9845,$A26,'Prima Nota'!$A$1:$A$9845,"&gt;="&amp;DATE('Impostazioni Software'!$B$2, H$3, 1),'Prima Nota'!$A$1:$A$9845,"&lt;="&amp;EOMONTH(DATE('Impostazioni Software'!$B$2,H$3, 1),0))</f>
        <v>0</v>
      </c>
      <c r="I26" s="27">
        <f>SUMIFS('Prima Nota'!$C$1:$C$9845,'Prima Nota'!$E$1:$E$9845,$A26,'Prima Nota'!$A$1:$A$9845,"&gt;="&amp;DATE('Impostazioni Software'!$B$2, I$3, 1),'Prima Nota'!$A$1:$A$9845,"&lt;="&amp;EOMONTH(DATE('Impostazioni Software'!$B$2,I$3, 1),0))</f>
        <v>0</v>
      </c>
      <c r="J26" s="27">
        <f>SUMIFS('Prima Nota'!$C$1:$C$9845,'Prima Nota'!$E$1:$E$9845,$A26,'Prima Nota'!$A$1:$A$9845,"&gt;="&amp;DATE('Impostazioni Software'!$B$2, J$3, 1),'Prima Nota'!$A$1:$A$9845,"&lt;="&amp;EOMONTH(DATE('Impostazioni Software'!$B$2,J$3, 1),0))</f>
        <v>0</v>
      </c>
      <c r="K26" s="27">
        <f>SUMIFS('Prima Nota'!$C$1:$C$9845,'Prima Nota'!$E$1:$E$9845,$A26,'Prima Nota'!$A$1:$A$9845,"&gt;="&amp;DATE('Impostazioni Software'!$B$2, K$3, 1),'Prima Nota'!$A$1:$A$9845,"&lt;="&amp;EOMONTH(DATE('Impostazioni Software'!$B$2,K$3, 1),0))</f>
        <v>0</v>
      </c>
      <c r="L26" s="27">
        <f>SUMIFS('Prima Nota'!$C$1:$C$9845,'Prima Nota'!$E$1:$E$9845,$A26,'Prima Nota'!$A$1:$A$9845,"&gt;="&amp;DATE('Impostazioni Software'!$B$2, L$3, 1),'Prima Nota'!$A$1:$A$9845,"&lt;="&amp;EOMONTH(DATE('Impostazioni Software'!$B$2,L$3, 1),0))</f>
        <v>0</v>
      </c>
      <c r="M26" s="27">
        <f>SUMIFS('Prima Nota'!$C$1:$C$9845,'Prima Nota'!$E$1:$E$9845,$A26,'Prima Nota'!$A$1:$A$9845,"&gt;="&amp;DATE('Impostazioni Software'!$B$2, M$3, 1),'Prima Nota'!$A$1:$A$9845,"&lt;="&amp;EOMONTH(DATE('Impostazioni Software'!$B$2,M$3, 1),0))</f>
        <v>0</v>
      </c>
      <c r="N26" s="28">
        <f t="shared" ref="N26" si="5">SUM(B26:M26)</f>
        <v>0</v>
      </c>
      <c r="O26" s="29">
        <f t="shared" ca="1" si="3"/>
        <v>0</v>
      </c>
      <c r="Q26" s="2"/>
    </row>
    <row r="27" spans="1:17" ht="15.75" thickBot="1" x14ac:dyDescent="0.3">
      <c r="A27" s="164" t="s">
        <v>50</v>
      </c>
      <c r="B27" s="27">
        <f>SUMIFS('Prima Nota'!$C$1:$C$9845,'Prima Nota'!$E$1:$E$9845,$A27,'Prima Nota'!$A$1:$A$9845,"&gt;="&amp;DATE('Impostazioni Software'!$B$2, B$3, 1),'Prima Nota'!$A$1:$A$9845,"&lt;="&amp;EOMONTH(DATE('Impostazioni Software'!$B$2,B$3, 1),0))</f>
        <v>0</v>
      </c>
      <c r="C27" s="27">
        <f>SUMIFS('Prima Nota'!$C$1:$C$9845,'Prima Nota'!$E$1:$E$9845,$A27,'Prima Nota'!$A$1:$A$9845,"&gt;="&amp;DATE('Impostazioni Software'!$B$2, C$3, 1),'Prima Nota'!$A$1:$A$9845,"&lt;="&amp;EOMONTH(DATE('Impostazioni Software'!$B$2,C$3, 1),0))</f>
        <v>0</v>
      </c>
      <c r="D27" s="27">
        <f>SUMIFS('Prima Nota'!$C$1:$C$9845,'Prima Nota'!$E$1:$E$9845,$A27,'Prima Nota'!$A$1:$A$9845,"&gt;="&amp;DATE('Impostazioni Software'!$B$2, D$3, 1),'Prima Nota'!$A$1:$A$9845,"&lt;="&amp;EOMONTH(DATE('Impostazioni Software'!$B$2,D$3, 1),0))</f>
        <v>0</v>
      </c>
      <c r="E27" s="27">
        <f>SUMIFS('Prima Nota'!$C$1:$C$9845,'Prima Nota'!$E$1:$E$9845,$A27,'Prima Nota'!$A$1:$A$9845,"&gt;="&amp;DATE('Impostazioni Software'!$B$2, E$3, 1),'Prima Nota'!$A$1:$A$9845,"&lt;="&amp;EOMONTH(DATE('Impostazioni Software'!$B$2,E$3, 1),0))</f>
        <v>0</v>
      </c>
      <c r="F27" s="27">
        <f>SUMIFS('Prima Nota'!$C$1:$C$9845,'Prima Nota'!$E$1:$E$9845,$A27,'Prima Nota'!$A$1:$A$9845,"&gt;="&amp;DATE('Impostazioni Software'!$B$2, F$3, 1),'Prima Nota'!$A$1:$A$9845,"&lt;="&amp;EOMONTH(DATE('Impostazioni Software'!$B$2,F$3, 1),0))</f>
        <v>0</v>
      </c>
      <c r="G27" s="27">
        <f>SUMIFS('Prima Nota'!$C$1:$C$9845,'Prima Nota'!$E$1:$E$9845,$A27,'Prima Nota'!$A$1:$A$9845,"&gt;="&amp;DATE('Impostazioni Software'!$B$2, G$3, 1),'Prima Nota'!$A$1:$A$9845,"&lt;="&amp;EOMONTH(DATE('Impostazioni Software'!$B$2,G$3, 1),0))</f>
        <v>0</v>
      </c>
      <c r="H27" s="27">
        <f>SUMIFS('Prima Nota'!$C$1:$C$9845,'Prima Nota'!$E$1:$E$9845,$A27,'Prima Nota'!$A$1:$A$9845,"&gt;="&amp;DATE('Impostazioni Software'!$B$2, H$3, 1),'Prima Nota'!$A$1:$A$9845,"&lt;="&amp;EOMONTH(DATE('Impostazioni Software'!$B$2,H$3, 1),0))</f>
        <v>0</v>
      </c>
      <c r="I27" s="27">
        <f>SUMIFS('Prima Nota'!$C$1:$C$9845,'Prima Nota'!$E$1:$E$9845,$A27,'Prima Nota'!$A$1:$A$9845,"&gt;="&amp;DATE('Impostazioni Software'!$B$2, I$3, 1),'Prima Nota'!$A$1:$A$9845,"&lt;="&amp;EOMONTH(DATE('Impostazioni Software'!$B$2,I$3, 1),0))</f>
        <v>0</v>
      </c>
      <c r="J27" s="27">
        <f>SUMIFS('Prima Nota'!$C$1:$C$9845,'Prima Nota'!$E$1:$E$9845,$A27,'Prima Nota'!$A$1:$A$9845,"&gt;="&amp;DATE('Impostazioni Software'!$B$2, J$3, 1),'Prima Nota'!$A$1:$A$9845,"&lt;="&amp;EOMONTH(DATE('Impostazioni Software'!$B$2,J$3, 1),0))</f>
        <v>0</v>
      </c>
      <c r="K27" s="27">
        <f>SUMIFS('Prima Nota'!$C$1:$C$9845,'Prima Nota'!$E$1:$E$9845,$A27,'Prima Nota'!$A$1:$A$9845,"&gt;="&amp;DATE('Impostazioni Software'!$B$2, K$3, 1),'Prima Nota'!$A$1:$A$9845,"&lt;="&amp;EOMONTH(DATE('Impostazioni Software'!$B$2,K$3, 1),0))</f>
        <v>0</v>
      </c>
      <c r="L27" s="27">
        <f>SUMIFS('Prima Nota'!$C$1:$C$9845,'Prima Nota'!$E$1:$E$9845,$A27,'Prima Nota'!$A$1:$A$9845,"&gt;="&amp;DATE('Impostazioni Software'!$B$2, L$3, 1),'Prima Nota'!$A$1:$A$9845,"&lt;="&amp;EOMONTH(DATE('Impostazioni Software'!$B$2,L$3, 1),0))</f>
        <v>0</v>
      </c>
      <c r="M27" s="27">
        <f>SUMIFS('Prima Nota'!$C$1:$C$9845,'Prima Nota'!$E$1:$E$9845,$A27,'Prima Nota'!$A$1:$A$9845,"&gt;="&amp;DATE('Impostazioni Software'!$B$2, M$3, 1),'Prima Nota'!$A$1:$A$9845,"&lt;="&amp;EOMONTH(DATE('Impostazioni Software'!$B$2,M$3, 1),0))</f>
        <v>0</v>
      </c>
      <c r="N27" s="28">
        <f t="shared" ref="N27" si="6">SUM(B27:M27)</f>
        <v>0</v>
      </c>
      <c r="O27" s="29">
        <f t="shared" ca="1" si="3"/>
        <v>0</v>
      </c>
      <c r="Q27" s="2"/>
    </row>
    <row r="28" spans="1:17" ht="15.75" thickBot="1" x14ac:dyDescent="0.3">
      <c r="A28" s="164" t="s">
        <v>51</v>
      </c>
      <c r="B28" s="27">
        <f>SUMIFS('Prima Nota'!$C$1:$C$9845,'Prima Nota'!$E$1:$E$9845,$A28,'Prima Nota'!$A$1:$A$9845,"&gt;="&amp;DATE('Impostazioni Software'!$B$2, B$3, 1),'Prima Nota'!$A$1:$A$9845,"&lt;="&amp;EOMONTH(DATE('Impostazioni Software'!$B$2,B$3, 1),0))</f>
        <v>0</v>
      </c>
      <c r="C28" s="27">
        <f>SUMIFS('Prima Nota'!$C$1:$C$9845,'Prima Nota'!$E$1:$E$9845,$A28,'Prima Nota'!$A$1:$A$9845,"&gt;="&amp;DATE('Impostazioni Software'!$B$2, C$3, 1),'Prima Nota'!$A$1:$A$9845,"&lt;="&amp;EOMONTH(DATE('Impostazioni Software'!$B$2,C$3, 1),0))</f>
        <v>0</v>
      </c>
      <c r="D28" s="27">
        <f>SUMIFS('Prima Nota'!$C$1:$C$9845,'Prima Nota'!$E$1:$E$9845,$A28,'Prima Nota'!$A$1:$A$9845,"&gt;="&amp;DATE('Impostazioni Software'!$B$2, D$3, 1),'Prima Nota'!$A$1:$A$9845,"&lt;="&amp;EOMONTH(DATE('Impostazioni Software'!$B$2,D$3, 1),0))</f>
        <v>0</v>
      </c>
      <c r="E28" s="27">
        <f>SUMIFS('Prima Nota'!$C$1:$C$9845,'Prima Nota'!$E$1:$E$9845,$A28,'Prima Nota'!$A$1:$A$9845,"&gt;="&amp;DATE('Impostazioni Software'!$B$2, E$3, 1),'Prima Nota'!$A$1:$A$9845,"&lt;="&amp;EOMONTH(DATE('Impostazioni Software'!$B$2,E$3, 1),0))</f>
        <v>0</v>
      </c>
      <c r="F28" s="27">
        <f>SUMIFS('Prima Nota'!$C$1:$C$9845,'Prima Nota'!$E$1:$E$9845,$A28,'Prima Nota'!$A$1:$A$9845,"&gt;="&amp;DATE('Impostazioni Software'!$B$2, F$3, 1),'Prima Nota'!$A$1:$A$9845,"&lt;="&amp;EOMONTH(DATE('Impostazioni Software'!$B$2,F$3, 1),0))</f>
        <v>0</v>
      </c>
      <c r="G28" s="27">
        <f>SUMIFS('Prima Nota'!$C$1:$C$9845,'Prima Nota'!$E$1:$E$9845,$A28,'Prima Nota'!$A$1:$A$9845,"&gt;="&amp;DATE('Impostazioni Software'!$B$2, G$3, 1),'Prima Nota'!$A$1:$A$9845,"&lt;="&amp;EOMONTH(DATE('Impostazioni Software'!$B$2,G$3, 1),0))</f>
        <v>0</v>
      </c>
      <c r="H28" s="27">
        <f>SUMIFS('Prima Nota'!$C$1:$C$9845,'Prima Nota'!$E$1:$E$9845,$A28,'Prima Nota'!$A$1:$A$9845,"&gt;="&amp;DATE('Impostazioni Software'!$B$2, H$3, 1),'Prima Nota'!$A$1:$A$9845,"&lt;="&amp;EOMONTH(DATE('Impostazioni Software'!$B$2,H$3, 1),0))</f>
        <v>0</v>
      </c>
      <c r="I28" s="27">
        <f>SUMIFS('Prima Nota'!$C$1:$C$9845,'Prima Nota'!$E$1:$E$9845,$A28,'Prima Nota'!$A$1:$A$9845,"&gt;="&amp;DATE('Impostazioni Software'!$B$2, I$3, 1),'Prima Nota'!$A$1:$A$9845,"&lt;="&amp;EOMONTH(DATE('Impostazioni Software'!$B$2,I$3, 1),0))</f>
        <v>0</v>
      </c>
      <c r="J28" s="27">
        <f>SUMIFS('Prima Nota'!$C$1:$C$9845,'Prima Nota'!$E$1:$E$9845,$A28,'Prima Nota'!$A$1:$A$9845,"&gt;="&amp;DATE('Impostazioni Software'!$B$2, J$3, 1),'Prima Nota'!$A$1:$A$9845,"&lt;="&amp;EOMONTH(DATE('Impostazioni Software'!$B$2,J$3, 1),0))</f>
        <v>0</v>
      </c>
      <c r="K28" s="27">
        <f>SUMIFS('Prima Nota'!$C$1:$C$9845,'Prima Nota'!$E$1:$E$9845,$A28,'Prima Nota'!$A$1:$A$9845,"&gt;="&amp;DATE('Impostazioni Software'!$B$2, K$3, 1),'Prima Nota'!$A$1:$A$9845,"&lt;="&amp;EOMONTH(DATE('Impostazioni Software'!$B$2,K$3, 1),0))</f>
        <v>0</v>
      </c>
      <c r="L28" s="27">
        <f>SUMIFS('Prima Nota'!$C$1:$C$9845,'Prima Nota'!$E$1:$E$9845,$A28,'Prima Nota'!$A$1:$A$9845,"&gt;="&amp;DATE('Impostazioni Software'!$B$2, L$3, 1),'Prima Nota'!$A$1:$A$9845,"&lt;="&amp;EOMONTH(DATE('Impostazioni Software'!$B$2,L$3, 1),0))</f>
        <v>0</v>
      </c>
      <c r="M28" s="27">
        <f>SUMIFS('Prima Nota'!$C$1:$C$9845,'Prima Nota'!$E$1:$E$9845,$A28,'Prima Nota'!$A$1:$A$9845,"&gt;="&amp;DATE('Impostazioni Software'!$B$2, M$3, 1),'Prima Nota'!$A$1:$A$9845,"&lt;="&amp;EOMONTH(DATE('Impostazioni Software'!$B$2,M$3, 1),0))</f>
        <v>0</v>
      </c>
      <c r="N28" s="28">
        <f t="shared" ref="N28" si="7">SUM(B28:M28)</f>
        <v>0</v>
      </c>
      <c r="O28" s="29">
        <f t="shared" ca="1" si="3"/>
        <v>0</v>
      </c>
      <c r="Q28" s="2"/>
    </row>
    <row r="29" spans="1:17" ht="15.75" thickBot="1" x14ac:dyDescent="0.3">
      <c r="A29" s="164" t="s">
        <v>52</v>
      </c>
      <c r="B29" s="27">
        <f>SUMIFS('Prima Nota'!$C$1:$C$9845,'Prima Nota'!$E$1:$E$9845,$A29,'Prima Nota'!$A$1:$A$9845,"&gt;="&amp;DATE('Impostazioni Software'!$B$2, B$3, 1),'Prima Nota'!$A$1:$A$9845,"&lt;="&amp;EOMONTH(DATE('Impostazioni Software'!$B$2,B$3, 1),0))</f>
        <v>0</v>
      </c>
      <c r="C29" s="27">
        <f>SUMIFS('Prima Nota'!$C$1:$C$9845,'Prima Nota'!$E$1:$E$9845,$A29,'Prima Nota'!$A$1:$A$9845,"&gt;="&amp;DATE('Impostazioni Software'!$B$2, C$3, 1),'Prima Nota'!$A$1:$A$9845,"&lt;="&amp;EOMONTH(DATE('Impostazioni Software'!$B$2,C$3, 1),0))</f>
        <v>0</v>
      </c>
      <c r="D29" s="27">
        <f>SUMIFS('Prima Nota'!$C$1:$C$9845,'Prima Nota'!$E$1:$E$9845,$A29,'Prima Nota'!$A$1:$A$9845,"&gt;="&amp;DATE('Impostazioni Software'!$B$2, D$3, 1),'Prima Nota'!$A$1:$A$9845,"&lt;="&amp;EOMONTH(DATE('Impostazioni Software'!$B$2,D$3, 1),0))</f>
        <v>0</v>
      </c>
      <c r="E29" s="27">
        <f>SUMIFS('Prima Nota'!$C$1:$C$9845,'Prima Nota'!$E$1:$E$9845,$A29,'Prima Nota'!$A$1:$A$9845,"&gt;="&amp;DATE('Impostazioni Software'!$B$2, E$3, 1),'Prima Nota'!$A$1:$A$9845,"&lt;="&amp;EOMONTH(DATE('Impostazioni Software'!$B$2,E$3, 1),0))</f>
        <v>0</v>
      </c>
      <c r="F29" s="27">
        <f>SUMIFS('Prima Nota'!$C$1:$C$9845,'Prima Nota'!$E$1:$E$9845,$A29,'Prima Nota'!$A$1:$A$9845,"&gt;="&amp;DATE('Impostazioni Software'!$B$2, F$3, 1),'Prima Nota'!$A$1:$A$9845,"&lt;="&amp;EOMONTH(DATE('Impostazioni Software'!$B$2,F$3, 1),0))</f>
        <v>0</v>
      </c>
      <c r="G29" s="27">
        <f>SUMIFS('Prima Nota'!$C$1:$C$9845,'Prima Nota'!$E$1:$E$9845,$A29,'Prima Nota'!$A$1:$A$9845,"&gt;="&amp;DATE('Impostazioni Software'!$B$2, G$3, 1),'Prima Nota'!$A$1:$A$9845,"&lt;="&amp;EOMONTH(DATE('Impostazioni Software'!$B$2,G$3, 1),0))</f>
        <v>0</v>
      </c>
      <c r="H29" s="27">
        <f>SUMIFS('Prima Nota'!$C$1:$C$9845,'Prima Nota'!$E$1:$E$9845,$A29,'Prima Nota'!$A$1:$A$9845,"&gt;="&amp;DATE('Impostazioni Software'!$B$2, H$3, 1),'Prima Nota'!$A$1:$A$9845,"&lt;="&amp;EOMONTH(DATE('Impostazioni Software'!$B$2,H$3, 1),0))</f>
        <v>0</v>
      </c>
      <c r="I29" s="27">
        <f>SUMIFS('Prima Nota'!$C$1:$C$9845,'Prima Nota'!$E$1:$E$9845,$A29,'Prima Nota'!$A$1:$A$9845,"&gt;="&amp;DATE('Impostazioni Software'!$B$2, I$3, 1),'Prima Nota'!$A$1:$A$9845,"&lt;="&amp;EOMONTH(DATE('Impostazioni Software'!$B$2,I$3, 1),0))</f>
        <v>0</v>
      </c>
      <c r="J29" s="27">
        <f>SUMIFS('Prima Nota'!$C$1:$C$9845,'Prima Nota'!$E$1:$E$9845,$A29,'Prima Nota'!$A$1:$A$9845,"&gt;="&amp;DATE('Impostazioni Software'!$B$2, J$3, 1),'Prima Nota'!$A$1:$A$9845,"&lt;="&amp;EOMONTH(DATE('Impostazioni Software'!$B$2,J$3, 1),0))</f>
        <v>0</v>
      </c>
      <c r="K29" s="27">
        <f>SUMIFS('Prima Nota'!$C$1:$C$9845,'Prima Nota'!$E$1:$E$9845,$A29,'Prima Nota'!$A$1:$A$9845,"&gt;="&amp;DATE('Impostazioni Software'!$B$2, K$3, 1),'Prima Nota'!$A$1:$A$9845,"&lt;="&amp;EOMONTH(DATE('Impostazioni Software'!$B$2,K$3, 1),0))</f>
        <v>0</v>
      </c>
      <c r="L29" s="27">
        <f>SUMIFS('Prima Nota'!$C$1:$C$9845,'Prima Nota'!$E$1:$E$9845,$A29,'Prima Nota'!$A$1:$A$9845,"&gt;="&amp;DATE('Impostazioni Software'!$B$2, L$3, 1),'Prima Nota'!$A$1:$A$9845,"&lt;="&amp;EOMONTH(DATE('Impostazioni Software'!$B$2,L$3, 1),0))</f>
        <v>0</v>
      </c>
      <c r="M29" s="27">
        <f>SUMIFS('Prima Nota'!$C$1:$C$9845,'Prima Nota'!$E$1:$E$9845,$A29,'Prima Nota'!$A$1:$A$9845,"&gt;="&amp;DATE('Impostazioni Software'!$B$2, M$3, 1),'Prima Nota'!$A$1:$A$9845,"&lt;="&amp;EOMONTH(DATE('Impostazioni Software'!$B$2,M$3, 1),0))</f>
        <v>0</v>
      </c>
      <c r="N29" s="28">
        <f t="shared" ref="N29" si="8">SUM(B29:M29)</f>
        <v>0</v>
      </c>
      <c r="O29" s="29">
        <f t="shared" ca="1" si="3"/>
        <v>0</v>
      </c>
      <c r="Q29" s="2"/>
    </row>
    <row r="30" spans="1:17" ht="15.75" thickBot="1" x14ac:dyDescent="0.3">
      <c r="A30" s="164" t="s">
        <v>53</v>
      </c>
      <c r="B30" s="27">
        <f>SUMIFS('Prima Nota'!$C$1:$C$9845,'Prima Nota'!$E$1:$E$9845,$A30,'Prima Nota'!$A$1:$A$9845,"&gt;="&amp;DATE('Impostazioni Software'!$B$2, B$3, 1),'Prima Nota'!$A$1:$A$9845,"&lt;="&amp;EOMONTH(DATE('Impostazioni Software'!$B$2,B$3, 1),0))</f>
        <v>0</v>
      </c>
      <c r="C30" s="27">
        <f>SUMIFS('Prima Nota'!$C$1:$C$9845,'Prima Nota'!$E$1:$E$9845,$A30,'Prima Nota'!$A$1:$A$9845,"&gt;="&amp;DATE('Impostazioni Software'!$B$2, C$3, 1),'Prima Nota'!$A$1:$A$9845,"&lt;="&amp;EOMONTH(DATE('Impostazioni Software'!$B$2,C$3, 1),0))</f>
        <v>0</v>
      </c>
      <c r="D30" s="27">
        <f>SUMIFS('Prima Nota'!$C$1:$C$9845,'Prima Nota'!$E$1:$E$9845,$A30,'Prima Nota'!$A$1:$A$9845,"&gt;="&amp;DATE('Impostazioni Software'!$B$2, D$3, 1),'Prima Nota'!$A$1:$A$9845,"&lt;="&amp;EOMONTH(DATE('Impostazioni Software'!$B$2,D$3, 1),0))</f>
        <v>0</v>
      </c>
      <c r="E30" s="27">
        <f>SUMIFS('Prima Nota'!$C$1:$C$9845,'Prima Nota'!$E$1:$E$9845,$A30,'Prima Nota'!$A$1:$A$9845,"&gt;="&amp;DATE('Impostazioni Software'!$B$2, E$3, 1),'Prima Nota'!$A$1:$A$9845,"&lt;="&amp;EOMONTH(DATE('Impostazioni Software'!$B$2,E$3, 1),0))</f>
        <v>0</v>
      </c>
      <c r="F30" s="27">
        <f>SUMIFS('Prima Nota'!$C$1:$C$9845,'Prima Nota'!$E$1:$E$9845,$A30,'Prima Nota'!$A$1:$A$9845,"&gt;="&amp;DATE('Impostazioni Software'!$B$2, F$3, 1),'Prima Nota'!$A$1:$A$9845,"&lt;="&amp;EOMONTH(DATE('Impostazioni Software'!$B$2,F$3, 1),0))</f>
        <v>0</v>
      </c>
      <c r="G30" s="27">
        <f>SUMIFS('Prima Nota'!$C$1:$C$9845,'Prima Nota'!$E$1:$E$9845,$A30,'Prima Nota'!$A$1:$A$9845,"&gt;="&amp;DATE('Impostazioni Software'!$B$2, G$3, 1),'Prima Nota'!$A$1:$A$9845,"&lt;="&amp;EOMONTH(DATE('Impostazioni Software'!$B$2,G$3, 1),0))</f>
        <v>0</v>
      </c>
      <c r="H30" s="27">
        <f>SUMIFS('Prima Nota'!$C$1:$C$9845,'Prima Nota'!$E$1:$E$9845,$A30,'Prima Nota'!$A$1:$A$9845,"&gt;="&amp;DATE('Impostazioni Software'!$B$2, H$3, 1),'Prima Nota'!$A$1:$A$9845,"&lt;="&amp;EOMONTH(DATE('Impostazioni Software'!$B$2,H$3, 1),0))</f>
        <v>0</v>
      </c>
      <c r="I30" s="27">
        <f>SUMIFS('Prima Nota'!$C$1:$C$9845,'Prima Nota'!$E$1:$E$9845,$A30,'Prima Nota'!$A$1:$A$9845,"&gt;="&amp;DATE('Impostazioni Software'!$B$2, I$3, 1),'Prima Nota'!$A$1:$A$9845,"&lt;="&amp;EOMONTH(DATE('Impostazioni Software'!$B$2,I$3, 1),0))</f>
        <v>0</v>
      </c>
      <c r="J30" s="27">
        <f>SUMIFS('Prima Nota'!$C$1:$C$9845,'Prima Nota'!$E$1:$E$9845,$A30,'Prima Nota'!$A$1:$A$9845,"&gt;="&amp;DATE('Impostazioni Software'!$B$2, J$3, 1),'Prima Nota'!$A$1:$A$9845,"&lt;="&amp;EOMONTH(DATE('Impostazioni Software'!$B$2,J$3, 1),0))</f>
        <v>0</v>
      </c>
      <c r="K30" s="27">
        <f>SUMIFS('Prima Nota'!$C$1:$C$9845,'Prima Nota'!$E$1:$E$9845,$A30,'Prima Nota'!$A$1:$A$9845,"&gt;="&amp;DATE('Impostazioni Software'!$B$2, K$3, 1),'Prima Nota'!$A$1:$A$9845,"&lt;="&amp;EOMONTH(DATE('Impostazioni Software'!$B$2,K$3, 1),0))</f>
        <v>0</v>
      </c>
      <c r="L30" s="27">
        <f>SUMIFS('Prima Nota'!$C$1:$C$9845,'Prima Nota'!$E$1:$E$9845,$A30,'Prima Nota'!$A$1:$A$9845,"&gt;="&amp;DATE('Impostazioni Software'!$B$2, L$3, 1),'Prima Nota'!$A$1:$A$9845,"&lt;="&amp;EOMONTH(DATE('Impostazioni Software'!$B$2,L$3, 1),0))</f>
        <v>0</v>
      </c>
      <c r="M30" s="27">
        <f>SUMIFS('Prima Nota'!$C$1:$C$9845,'Prima Nota'!$E$1:$E$9845,$A30,'Prima Nota'!$A$1:$A$9845,"&gt;="&amp;DATE('Impostazioni Software'!$B$2, M$3, 1),'Prima Nota'!$A$1:$A$9845,"&lt;="&amp;EOMONTH(DATE('Impostazioni Software'!$B$2,M$3, 1),0))</f>
        <v>0</v>
      </c>
      <c r="N30" s="28">
        <f t="shared" ref="N30" si="9">SUM(B30:M30)</f>
        <v>0</v>
      </c>
      <c r="O30" s="29">
        <f t="shared" ca="1" si="3"/>
        <v>0</v>
      </c>
      <c r="Q30" s="2"/>
    </row>
    <row r="31" spans="1:17" ht="15.75" thickBot="1" x14ac:dyDescent="0.3">
      <c r="A31" s="164" t="s">
        <v>54</v>
      </c>
      <c r="B31" s="27">
        <f>SUMIFS('Prima Nota'!$C$1:$C$9845,'Prima Nota'!$E$1:$E$9845,$A31,'Prima Nota'!$A$1:$A$9845,"&gt;="&amp;DATE('Impostazioni Software'!$B$2, B$3, 1),'Prima Nota'!$A$1:$A$9845,"&lt;="&amp;EOMONTH(DATE('Impostazioni Software'!$B$2,B$3, 1),0))</f>
        <v>0</v>
      </c>
      <c r="C31" s="27">
        <f>SUMIFS('Prima Nota'!$C$1:$C$9845,'Prima Nota'!$E$1:$E$9845,$A31,'Prima Nota'!$A$1:$A$9845,"&gt;="&amp;DATE('Impostazioni Software'!$B$2, C$3, 1),'Prima Nota'!$A$1:$A$9845,"&lt;="&amp;EOMONTH(DATE('Impostazioni Software'!$B$2,C$3, 1),0))</f>
        <v>0</v>
      </c>
      <c r="D31" s="27">
        <f>SUMIFS('Prima Nota'!$C$1:$C$9845,'Prima Nota'!$E$1:$E$9845,$A31,'Prima Nota'!$A$1:$A$9845,"&gt;="&amp;DATE('Impostazioni Software'!$B$2, D$3, 1),'Prima Nota'!$A$1:$A$9845,"&lt;="&amp;EOMONTH(DATE('Impostazioni Software'!$B$2,D$3, 1),0))</f>
        <v>0</v>
      </c>
      <c r="E31" s="27">
        <f>SUMIFS('Prima Nota'!$C$1:$C$9845,'Prima Nota'!$E$1:$E$9845,$A31,'Prima Nota'!$A$1:$A$9845,"&gt;="&amp;DATE('Impostazioni Software'!$B$2, E$3, 1),'Prima Nota'!$A$1:$A$9845,"&lt;="&amp;EOMONTH(DATE('Impostazioni Software'!$B$2,E$3, 1),0))</f>
        <v>0</v>
      </c>
      <c r="F31" s="27">
        <f>SUMIFS('Prima Nota'!$C$1:$C$9845,'Prima Nota'!$E$1:$E$9845,$A31,'Prima Nota'!$A$1:$A$9845,"&gt;="&amp;DATE('Impostazioni Software'!$B$2, F$3, 1),'Prima Nota'!$A$1:$A$9845,"&lt;="&amp;EOMONTH(DATE('Impostazioni Software'!$B$2,F$3, 1),0))</f>
        <v>0</v>
      </c>
      <c r="G31" s="27">
        <f>SUMIFS('Prima Nota'!$C$1:$C$9845,'Prima Nota'!$E$1:$E$9845,$A31,'Prima Nota'!$A$1:$A$9845,"&gt;="&amp;DATE('Impostazioni Software'!$B$2, G$3, 1),'Prima Nota'!$A$1:$A$9845,"&lt;="&amp;EOMONTH(DATE('Impostazioni Software'!$B$2,G$3, 1),0))</f>
        <v>0</v>
      </c>
      <c r="H31" s="27">
        <f>SUMIFS('Prima Nota'!$C$1:$C$9845,'Prima Nota'!$E$1:$E$9845,$A31,'Prima Nota'!$A$1:$A$9845,"&gt;="&amp;DATE('Impostazioni Software'!$B$2, H$3, 1),'Prima Nota'!$A$1:$A$9845,"&lt;="&amp;EOMONTH(DATE('Impostazioni Software'!$B$2,H$3, 1),0))</f>
        <v>0</v>
      </c>
      <c r="I31" s="27">
        <f>SUMIFS('Prima Nota'!$C$1:$C$9845,'Prima Nota'!$E$1:$E$9845,$A31,'Prima Nota'!$A$1:$A$9845,"&gt;="&amp;DATE('Impostazioni Software'!$B$2, I$3, 1),'Prima Nota'!$A$1:$A$9845,"&lt;="&amp;EOMONTH(DATE('Impostazioni Software'!$B$2,I$3, 1),0))</f>
        <v>0</v>
      </c>
      <c r="J31" s="27">
        <f>SUMIFS('Prima Nota'!$C$1:$C$9845,'Prima Nota'!$E$1:$E$9845,$A31,'Prima Nota'!$A$1:$A$9845,"&gt;="&amp;DATE('Impostazioni Software'!$B$2, J$3, 1),'Prima Nota'!$A$1:$A$9845,"&lt;="&amp;EOMONTH(DATE('Impostazioni Software'!$B$2,J$3, 1),0))</f>
        <v>0</v>
      </c>
      <c r="K31" s="27">
        <f>SUMIFS('Prima Nota'!$C$1:$C$9845,'Prima Nota'!$E$1:$E$9845,$A31,'Prima Nota'!$A$1:$A$9845,"&gt;="&amp;DATE('Impostazioni Software'!$B$2, K$3, 1),'Prima Nota'!$A$1:$A$9845,"&lt;="&amp;EOMONTH(DATE('Impostazioni Software'!$B$2,K$3, 1),0))</f>
        <v>0</v>
      </c>
      <c r="L31" s="27">
        <f>SUMIFS('Prima Nota'!$C$1:$C$9845,'Prima Nota'!$E$1:$E$9845,$A31,'Prima Nota'!$A$1:$A$9845,"&gt;="&amp;DATE('Impostazioni Software'!$B$2, L$3, 1),'Prima Nota'!$A$1:$A$9845,"&lt;="&amp;EOMONTH(DATE('Impostazioni Software'!$B$2,L$3, 1),0))</f>
        <v>0</v>
      </c>
      <c r="M31" s="27">
        <f>SUMIFS('Prima Nota'!$C$1:$C$9845,'Prima Nota'!$E$1:$E$9845,$A31,'Prima Nota'!$A$1:$A$9845,"&gt;="&amp;DATE('Impostazioni Software'!$B$2, M$3, 1),'Prima Nota'!$A$1:$A$9845,"&lt;="&amp;EOMONTH(DATE('Impostazioni Software'!$B$2,M$3, 1),0))</f>
        <v>0</v>
      </c>
      <c r="N31" s="28">
        <f t="shared" ref="N31" si="10">SUM(B31:M31)</f>
        <v>0</v>
      </c>
      <c r="O31" s="29">
        <f t="shared" ca="1" si="3"/>
        <v>0</v>
      </c>
      <c r="Q31" s="2"/>
    </row>
    <row r="32" spans="1:17" ht="15.75" thickBot="1" x14ac:dyDescent="0.3">
      <c r="A32" s="164" t="s">
        <v>55</v>
      </c>
      <c r="B32" s="27">
        <f>SUMIFS('Prima Nota'!$C$1:$C$9845,'Prima Nota'!$E$1:$E$9845,$A32,'Prima Nota'!$A$1:$A$9845,"&gt;="&amp;DATE('Impostazioni Software'!$B$2, B$3, 1),'Prima Nota'!$A$1:$A$9845,"&lt;="&amp;EOMONTH(DATE('Impostazioni Software'!$B$2,B$3, 1),0))</f>
        <v>0</v>
      </c>
      <c r="C32" s="27">
        <f>SUMIFS('Prima Nota'!$C$1:$C$9845,'Prima Nota'!$E$1:$E$9845,$A32,'Prima Nota'!$A$1:$A$9845,"&gt;="&amp;DATE('Impostazioni Software'!$B$2, C$3, 1),'Prima Nota'!$A$1:$A$9845,"&lt;="&amp;EOMONTH(DATE('Impostazioni Software'!$B$2,C$3, 1),0))</f>
        <v>0</v>
      </c>
      <c r="D32" s="27">
        <f>SUMIFS('Prima Nota'!$C$1:$C$9845,'Prima Nota'!$E$1:$E$9845,$A32,'Prima Nota'!$A$1:$A$9845,"&gt;="&amp;DATE('Impostazioni Software'!$B$2, D$3, 1),'Prima Nota'!$A$1:$A$9845,"&lt;="&amp;EOMONTH(DATE('Impostazioni Software'!$B$2,D$3, 1),0))</f>
        <v>0</v>
      </c>
      <c r="E32" s="27">
        <f>SUMIFS('Prima Nota'!$C$1:$C$9845,'Prima Nota'!$E$1:$E$9845,$A32,'Prima Nota'!$A$1:$A$9845,"&gt;="&amp;DATE('Impostazioni Software'!$B$2, E$3, 1),'Prima Nota'!$A$1:$A$9845,"&lt;="&amp;EOMONTH(DATE('Impostazioni Software'!$B$2,E$3, 1),0))</f>
        <v>0</v>
      </c>
      <c r="F32" s="27">
        <f>SUMIFS('Prima Nota'!$C$1:$C$9845,'Prima Nota'!$E$1:$E$9845,$A32,'Prima Nota'!$A$1:$A$9845,"&gt;="&amp;DATE('Impostazioni Software'!$B$2, F$3, 1),'Prima Nota'!$A$1:$A$9845,"&lt;="&amp;EOMONTH(DATE('Impostazioni Software'!$B$2,F$3, 1),0))</f>
        <v>0</v>
      </c>
      <c r="G32" s="27">
        <f>SUMIFS('Prima Nota'!$C$1:$C$9845,'Prima Nota'!$E$1:$E$9845,$A32,'Prima Nota'!$A$1:$A$9845,"&gt;="&amp;DATE('Impostazioni Software'!$B$2, G$3, 1),'Prima Nota'!$A$1:$A$9845,"&lt;="&amp;EOMONTH(DATE('Impostazioni Software'!$B$2,G$3, 1),0))</f>
        <v>0</v>
      </c>
      <c r="H32" s="27">
        <f>SUMIFS('Prima Nota'!$C$1:$C$9845,'Prima Nota'!$E$1:$E$9845,$A32,'Prima Nota'!$A$1:$A$9845,"&gt;="&amp;DATE('Impostazioni Software'!$B$2, H$3, 1),'Prima Nota'!$A$1:$A$9845,"&lt;="&amp;EOMONTH(DATE('Impostazioni Software'!$B$2,H$3, 1),0))</f>
        <v>0</v>
      </c>
      <c r="I32" s="27">
        <f>SUMIFS('Prima Nota'!$C$1:$C$9845,'Prima Nota'!$E$1:$E$9845,$A32,'Prima Nota'!$A$1:$A$9845,"&gt;="&amp;DATE('Impostazioni Software'!$B$2, I$3, 1),'Prima Nota'!$A$1:$A$9845,"&lt;="&amp;EOMONTH(DATE('Impostazioni Software'!$B$2,I$3, 1),0))</f>
        <v>0</v>
      </c>
      <c r="J32" s="27">
        <f>SUMIFS('Prima Nota'!$C$1:$C$9845,'Prima Nota'!$E$1:$E$9845,$A32,'Prima Nota'!$A$1:$A$9845,"&gt;="&amp;DATE('Impostazioni Software'!$B$2, J$3, 1),'Prima Nota'!$A$1:$A$9845,"&lt;="&amp;EOMONTH(DATE('Impostazioni Software'!$B$2,J$3, 1),0))</f>
        <v>0</v>
      </c>
      <c r="K32" s="27">
        <f>SUMIFS('Prima Nota'!$C$1:$C$9845,'Prima Nota'!$E$1:$E$9845,$A32,'Prima Nota'!$A$1:$A$9845,"&gt;="&amp;DATE('Impostazioni Software'!$B$2, K$3, 1),'Prima Nota'!$A$1:$A$9845,"&lt;="&amp;EOMONTH(DATE('Impostazioni Software'!$B$2,K$3, 1),0))</f>
        <v>0</v>
      </c>
      <c r="L32" s="27">
        <f>SUMIFS('Prima Nota'!$C$1:$C$9845,'Prima Nota'!$E$1:$E$9845,$A32,'Prima Nota'!$A$1:$A$9845,"&gt;="&amp;DATE('Impostazioni Software'!$B$2, L$3, 1),'Prima Nota'!$A$1:$A$9845,"&lt;="&amp;EOMONTH(DATE('Impostazioni Software'!$B$2,L$3, 1),0))</f>
        <v>0</v>
      </c>
      <c r="M32" s="27">
        <f>SUMIFS('Prima Nota'!$C$1:$C$9845,'Prima Nota'!$E$1:$E$9845,$A32,'Prima Nota'!$A$1:$A$9845,"&gt;="&amp;DATE('Impostazioni Software'!$B$2, M$3, 1),'Prima Nota'!$A$1:$A$9845,"&lt;="&amp;EOMONTH(DATE('Impostazioni Software'!$B$2,M$3, 1),0))</f>
        <v>0</v>
      </c>
      <c r="N32" s="28">
        <f t="shared" ref="N32" si="11">SUM(B32:M32)</f>
        <v>0</v>
      </c>
      <c r="O32" s="29">
        <f t="shared" ca="1" si="3"/>
        <v>0</v>
      </c>
      <c r="Q32" s="2"/>
    </row>
    <row r="33" spans="1:17" ht="15.75" thickBot="1" x14ac:dyDescent="0.3">
      <c r="A33" s="164" t="s">
        <v>56</v>
      </c>
      <c r="B33" s="27">
        <f>SUMIFS('Prima Nota'!$C$1:$C$9845,'Prima Nota'!$E$1:$E$9845,$A33,'Prima Nota'!$A$1:$A$9845,"&gt;="&amp;DATE('Impostazioni Software'!$B$2, B$3, 1),'Prima Nota'!$A$1:$A$9845,"&lt;="&amp;EOMONTH(DATE('Impostazioni Software'!$B$2,B$3, 1),0))</f>
        <v>0</v>
      </c>
      <c r="C33" s="27">
        <f>SUMIFS('Prima Nota'!$C$1:$C$9845,'Prima Nota'!$E$1:$E$9845,$A33,'Prima Nota'!$A$1:$A$9845,"&gt;="&amp;DATE('Impostazioni Software'!$B$2, C$3, 1),'Prima Nota'!$A$1:$A$9845,"&lt;="&amp;EOMONTH(DATE('Impostazioni Software'!$B$2,C$3, 1),0))</f>
        <v>0</v>
      </c>
      <c r="D33" s="27">
        <f>SUMIFS('Prima Nota'!$C$1:$C$9845,'Prima Nota'!$E$1:$E$9845,$A33,'Prima Nota'!$A$1:$A$9845,"&gt;="&amp;DATE('Impostazioni Software'!$B$2, D$3, 1),'Prima Nota'!$A$1:$A$9845,"&lt;="&amp;EOMONTH(DATE('Impostazioni Software'!$B$2,D$3, 1),0))</f>
        <v>0</v>
      </c>
      <c r="E33" s="27">
        <f>SUMIFS('Prima Nota'!$C$1:$C$9845,'Prima Nota'!$E$1:$E$9845,$A33,'Prima Nota'!$A$1:$A$9845,"&gt;="&amp;DATE('Impostazioni Software'!$B$2, E$3, 1),'Prima Nota'!$A$1:$A$9845,"&lt;="&amp;EOMONTH(DATE('Impostazioni Software'!$B$2,E$3, 1),0))</f>
        <v>0</v>
      </c>
      <c r="F33" s="27">
        <f>SUMIFS('Prima Nota'!$C$1:$C$9845,'Prima Nota'!$E$1:$E$9845,$A33,'Prima Nota'!$A$1:$A$9845,"&gt;="&amp;DATE('Impostazioni Software'!$B$2, F$3, 1),'Prima Nota'!$A$1:$A$9845,"&lt;="&amp;EOMONTH(DATE('Impostazioni Software'!$B$2,F$3, 1),0))</f>
        <v>0</v>
      </c>
      <c r="G33" s="27">
        <f>SUMIFS('Prima Nota'!$C$1:$C$9845,'Prima Nota'!$E$1:$E$9845,$A33,'Prima Nota'!$A$1:$A$9845,"&gt;="&amp;DATE('Impostazioni Software'!$B$2, G$3, 1),'Prima Nota'!$A$1:$A$9845,"&lt;="&amp;EOMONTH(DATE('Impostazioni Software'!$B$2,G$3, 1),0))</f>
        <v>0</v>
      </c>
      <c r="H33" s="27">
        <f>SUMIFS('Prima Nota'!$C$1:$C$9845,'Prima Nota'!$E$1:$E$9845,$A33,'Prima Nota'!$A$1:$A$9845,"&gt;="&amp;DATE('Impostazioni Software'!$B$2, H$3, 1),'Prima Nota'!$A$1:$A$9845,"&lt;="&amp;EOMONTH(DATE('Impostazioni Software'!$B$2,H$3, 1),0))</f>
        <v>0</v>
      </c>
      <c r="I33" s="27">
        <f>SUMIFS('Prima Nota'!$C$1:$C$9845,'Prima Nota'!$E$1:$E$9845,$A33,'Prima Nota'!$A$1:$A$9845,"&gt;="&amp;DATE('Impostazioni Software'!$B$2, I$3, 1),'Prima Nota'!$A$1:$A$9845,"&lt;="&amp;EOMONTH(DATE('Impostazioni Software'!$B$2,I$3, 1),0))</f>
        <v>0</v>
      </c>
      <c r="J33" s="27">
        <f>SUMIFS('Prima Nota'!$C$1:$C$9845,'Prima Nota'!$E$1:$E$9845,$A33,'Prima Nota'!$A$1:$A$9845,"&gt;="&amp;DATE('Impostazioni Software'!$B$2, J$3, 1),'Prima Nota'!$A$1:$A$9845,"&lt;="&amp;EOMONTH(DATE('Impostazioni Software'!$B$2,J$3, 1),0))</f>
        <v>0</v>
      </c>
      <c r="K33" s="27">
        <f>SUMIFS('Prima Nota'!$C$1:$C$9845,'Prima Nota'!$E$1:$E$9845,$A33,'Prima Nota'!$A$1:$A$9845,"&gt;="&amp;DATE('Impostazioni Software'!$B$2, K$3, 1),'Prima Nota'!$A$1:$A$9845,"&lt;="&amp;EOMONTH(DATE('Impostazioni Software'!$B$2,K$3, 1),0))</f>
        <v>0</v>
      </c>
      <c r="L33" s="27">
        <f>SUMIFS('Prima Nota'!$C$1:$C$9845,'Prima Nota'!$E$1:$E$9845,$A33,'Prima Nota'!$A$1:$A$9845,"&gt;="&amp;DATE('Impostazioni Software'!$B$2, L$3, 1),'Prima Nota'!$A$1:$A$9845,"&lt;="&amp;EOMONTH(DATE('Impostazioni Software'!$B$2,L$3, 1),0))</f>
        <v>0</v>
      </c>
      <c r="M33" s="27">
        <f>SUMIFS('Prima Nota'!$C$1:$C$9845,'Prima Nota'!$E$1:$E$9845,$A33,'Prima Nota'!$A$1:$A$9845,"&gt;="&amp;DATE('Impostazioni Software'!$B$2, M$3, 1),'Prima Nota'!$A$1:$A$9845,"&lt;="&amp;EOMONTH(DATE('Impostazioni Software'!$B$2,M$3, 1),0))</f>
        <v>0</v>
      </c>
      <c r="N33" s="28">
        <f t="shared" ref="N33" si="12">SUM(B33:M33)</f>
        <v>0</v>
      </c>
      <c r="O33" s="29">
        <f t="shared" ca="1" si="3"/>
        <v>0</v>
      </c>
      <c r="Q33" s="2"/>
    </row>
    <row r="34" spans="1:17" ht="15.75" thickBot="1" x14ac:dyDescent="0.3">
      <c r="A34" s="164" t="s">
        <v>57</v>
      </c>
      <c r="B34" s="27">
        <f>SUMIFS('Prima Nota'!$C$1:$C$9845,'Prima Nota'!$E$1:$E$9845,$A34,'Prima Nota'!$A$1:$A$9845,"&gt;="&amp;DATE('Impostazioni Software'!$B$2, B$3, 1),'Prima Nota'!$A$1:$A$9845,"&lt;="&amp;EOMONTH(DATE('Impostazioni Software'!$B$2,B$3, 1),0))</f>
        <v>0</v>
      </c>
      <c r="C34" s="27">
        <f>SUMIFS('Prima Nota'!$C$1:$C$9845,'Prima Nota'!$E$1:$E$9845,$A34,'Prima Nota'!$A$1:$A$9845,"&gt;="&amp;DATE('Impostazioni Software'!$B$2, C$3, 1),'Prima Nota'!$A$1:$A$9845,"&lt;="&amp;EOMONTH(DATE('Impostazioni Software'!$B$2,C$3, 1),0))</f>
        <v>0</v>
      </c>
      <c r="D34" s="27">
        <f>SUMIFS('Prima Nota'!$C$1:$C$9845,'Prima Nota'!$E$1:$E$9845,$A34,'Prima Nota'!$A$1:$A$9845,"&gt;="&amp;DATE('Impostazioni Software'!$B$2, D$3, 1),'Prima Nota'!$A$1:$A$9845,"&lt;="&amp;EOMONTH(DATE('Impostazioni Software'!$B$2,D$3, 1),0))</f>
        <v>0</v>
      </c>
      <c r="E34" s="27">
        <f>SUMIFS('Prima Nota'!$C$1:$C$9845,'Prima Nota'!$E$1:$E$9845,$A34,'Prima Nota'!$A$1:$A$9845,"&gt;="&amp;DATE('Impostazioni Software'!$B$2, E$3, 1),'Prima Nota'!$A$1:$A$9845,"&lt;="&amp;EOMONTH(DATE('Impostazioni Software'!$B$2,E$3, 1),0))</f>
        <v>0</v>
      </c>
      <c r="F34" s="27">
        <f>SUMIFS('Prima Nota'!$C$1:$C$9845,'Prima Nota'!$E$1:$E$9845,$A34,'Prima Nota'!$A$1:$A$9845,"&gt;="&amp;DATE('Impostazioni Software'!$B$2, F$3, 1),'Prima Nota'!$A$1:$A$9845,"&lt;="&amp;EOMONTH(DATE('Impostazioni Software'!$B$2,F$3, 1),0))</f>
        <v>0</v>
      </c>
      <c r="G34" s="27">
        <f>SUMIFS('Prima Nota'!$C$1:$C$9845,'Prima Nota'!$E$1:$E$9845,$A34,'Prima Nota'!$A$1:$A$9845,"&gt;="&amp;DATE('Impostazioni Software'!$B$2, G$3, 1),'Prima Nota'!$A$1:$A$9845,"&lt;="&amp;EOMONTH(DATE('Impostazioni Software'!$B$2,G$3, 1),0))</f>
        <v>0</v>
      </c>
      <c r="H34" s="27">
        <f>SUMIFS('Prima Nota'!$C$1:$C$9845,'Prima Nota'!$E$1:$E$9845,$A34,'Prima Nota'!$A$1:$A$9845,"&gt;="&amp;DATE('Impostazioni Software'!$B$2, H$3, 1),'Prima Nota'!$A$1:$A$9845,"&lt;="&amp;EOMONTH(DATE('Impostazioni Software'!$B$2,H$3, 1),0))</f>
        <v>0</v>
      </c>
      <c r="I34" s="27">
        <f>SUMIFS('Prima Nota'!$C$1:$C$9845,'Prima Nota'!$E$1:$E$9845,$A34,'Prima Nota'!$A$1:$A$9845,"&gt;="&amp;DATE('Impostazioni Software'!$B$2, I$3, 1),'Prima Nota'!$A$1:$A$9845,"&lt;="&amp;EOMONTH(DATE('Impostazioni Software'!$B$2,I$3, 1),0))</f>
        <v>0</v>
      </c>
      <c r="J34" s="27">
        <f>SUMIFS('Prima Nota'!$C$1:$C$9845,'Prima Nota'!$E$1:$E$9845,$A34,'Prima Nota'!$A$1:$A$9845,"&gt;="&amp;DATE('Impostazioni Software'!$B$2, J$3, 1),'Prima Nota'!$A$1:$A$9845,"&lt;="&amp;EOMONTH(DATE('Impostazioni Software'!$B$2,J$3, 1),0))</f>
        <v>0</v>
      </c>
      <c r="K34" s="27">
        <f>SUMIFS('Prima Nota'!$C$1:$C$9845,'Prima Nota'!$E$1:$E$9845,$A34,'Prima Nota'!$A$1:$A$9845,"&gt;="&amp;DATE('Impostazioni Software'!$B$2, K$3, 1),'Prima Nota'!$A$1:$A$9845,"&lt;="&amp;EOMONTH(DATE('Impostazioni Software'!$B$2,K$3, 1),0))</f>
        <v>0</v>
      </c>
      <c r="L34" s="27">
        <f>SUMIFS('Prima Nota'!$C$1:$C$9845,'Prima Nota'!$E$1:$E$9845,$A34,'Prima Nota'!$A$1:$A$9845,"&gt;="&amp;DATE('Impostazioni Software'!$B$2, L$3, 1),'Prima Nota'!$A$1:$A$9845,"&lt;="&amp;EOMONTH(DATE('Impostazioni Software'!$B$2,L$3, 1),0))</f>
        <v>0</v>
      </c>
      <c r="M34" s="27">
        <f>SUMIFS('Prima Nota'!$C$1:$C$9845,'Prima Nota'!$E$1:$E$9845,$A34,'Prima Nota'!$A$1:$A$9845,"&gt;="&amp;DATE('Impostazioni Software'!$B$2, M$3, 1),'Prima Nota'!$A$1:$A$9845,"&lt;="&amp;EOMONTH(DATE('Impostazioni Software'!$B$2,M$3, 1),0))</f>
        <v>0</v>
      </c>
      <c r="N34" s="28">
        <f t="shared" ref="N34" si="13">SUM(B34:M34)</f>
        <v>0</v>
      </c>
      <c r="O34" s="29">
        <f t="shared" ca="1" si="3"/>
        <v>0</v>
      </c>
      <c r="Q34" s="2"/>
    </row>
    <row r="35" spans="1:17" ht="15.75" thickBot="1" x14ac:dyDescent="0.3">
      <c r="A35" s="164" t="s">
        <v>19</v>
      </c>
      <c r="B35" s="27">
        <f>SUMIFS('Prima Nota'!$C$1:$C$9845,'Prima Nota'!$E$1:$E$9845,$A35,'Prima Nota'!$A$1:$A$9845,"&gt;="&amp;DATE('Impostazioni Software'!$B$2, B$3, 1),'Prima Nota'!$A$1:$A$9845,"&lt;="&amp;EOMONTH(DATE('Impostazioni Software'!$B$2,B$3, 1),0))</f>
        <v>0</v>
      </c>
      <c r="C35" s="27">
        <f>SUMIFS('Prima Nota'!$C$1:$C$9845,'Prima Nota'!$E$1:$E$9845,$A35,'Prima Nota'!$A$1:$A$9845,"&gt;="&amp;DATE('Impostazioni Software'!$B$2, C$3, 1),'Prima Nota'!$A$1:$A$9845,"&lt;="&amp;EOMONTH(DATE('Impostazioni Software'!$B$2,C$3, 1),0))</f>
        <v>0</v>
      </c>
      <c r="D35" s="27">
        <f>SUMIFS('Prima Nota'!$C$1:$C$9845,'Prima Nota'!$E$1:$E$9845,$A35,'Prima Nota'!$A$1:$A$9845,"&gt;="&amp;DATE('Impostazioni Software'!$B$2, D$3, 1),'Prima Nota'!$A$1:$A$9845,"&lt;="&amp;EOMONTH(DATE('Impostazioni Software'!$B$2,D$3, 1),0))</f>
        <v>0</v>
      </c>
      <c r="E35" s="27">
        <f>SUMIFS('Prima Nota'!$C$1:$C$9845,'Prima Nota'!$E$1:$E$9845,$A35,'Prima Nota'!$A$1:$A$9845,"&gt;="&amp;DATE('Impostazioni Software'!$B$2, E$3, 1),'Prima Nota'!$A$1:$A$9845,"&lt;="&amp;EOMONTH(DATE('Impostazioni Software'!$B$2,E$3, 1),0))</f>
        <v>0</v>
      </c>
      <c r="F35" s="27">
        <f>SUMIFS('Prima Nota'!$C$1:$C$9845,'Prima Nota'!$E$1:$E$9845,$A35,'Prima Nota'!$A$1:$A$9845,"&gt;="&amp;DATE('Impostazioni Software'!$B$2, F$3, 1),'Prima Nota'!$A$1:$A$9845,"&lt;="&amp;EOMONTH(DATE('Impostazioni Software'!$B$2,F$3, 1),0))</f>
        <v>0</v>
      </c>
      <c r="G35" s="27">
        <f>SUMIFS('Prima Nota'!$C$1:$C$9845,'Prima Nota'!$E$1:$E$9845,$A35,'Prima Nota'!$A$1:$A$9845,"&gt;="&amp;DATE('Impostazioni Software'!$B$2, G$3, 1),'Prima Nota'!$A$1:$A$9845,"&lt;="&amp;EOMONTH(DATE('Impostazioni Software'!$B$2,G$3, 1),0))</f>
        <v>0</v>
      </c>
      <c r="H35" s="27">
        <f>SUMIFS('Prima Nota'!$C$1:$C$9845,'Prima Nota'!$E$1:$E$9845,$A35,'Prima Nota'!$A$1:$A$9845,"&gt;="&amp;DATE('Impostazioni Software'!$B$2, H$3, 1),'Prima Nota'!$A$1:$A$9845,"&lt;="&amp;EOMONTH(DATE('Impostazioni Software'!$B$2,H$3, 1),0))</f>
        <v>0</v>
      </c>
      <c r="I35" s="27">
        <f>SUMIFS('Prima Nota'!$C$1:$C$9845,'Prima Nota'!$E$1:$E$9845,$A35,'Prima Nota'!$A$1:$A$9845,"&gt;="&amp;DATE('Impostazioni Software'!$B$2, I$3, 1),'Prima Nota'!$A$1:$A$9845,"&lt;="&amp;EOMONTH(DATE('Impostazioni Software'!$B$2,I$3, 1),0))</f>
        <v>0</v>
      </c>
      <c r="J35" s="27">
        <f>SUMIFS('Prima Nota'!$C$1:$C$9845,'Prima Nota'!$E$1:$E$9845,$A35,'Prima Nota'!$A$1:$A$9845,"&gt;="&amp;DATE('Impostazioni Software'!$B$2, J$3, 1),'Prima Nota'!$A$1:$A$9845,"&lt;="&amp;EOMONTH(DATE('Impostazioni Software'!$B$2,J$3, 1),0))</f>
        <v>0</v>
      </c>
      <c r="K35" s="27">
        <f>SUMIFS('Prima Nota'!$C$1:$C$9845,'Prima Nota'!$E$1:$E$9845,$A35,'Prima Nota'!$A$1:$A$9845,"&gt;="&amp;DATE('Impostazioni Software'!$B$2, K$3, 1),'Prima Nota'!$A$1:$A$9845,"&lt;="&amp;EOMONTH(DATE('Impostazioni Software'!$B$2,K$3, 1),0))</f>
        <v>0</v>
      </c>
      <c r="L35" s="27">
        <f>SUMIFS('Prima Nota'!$C$1:$C$9845,'Prima Nota'!$E$1:$E$9845,$A35,'Prima Nota'!$A$1:$A$9845,"&gt;="&amp;DATE('Impostazioni Software'!$B$2, L$3, 1),'Prima Nota'!$A$1:$A$9845,"&lt;="&amp;EOMONTH(DATE('Impostazioni Software'!$B$2,L$3, 1),0))</f>
        <v>0</v>
      </c>
      <c r="M35" s="27">
        <f>SUMIFS('Prima Nota'!$C$1:$C$9845,'Prima Nota'!$E$1:$E$9845,$A35,'Prima Nota'!$A$1:$A$9845,"&gt;="&amp;DATE('Impostazioni Software'!$B$2, M$3, 1),'Prima Nota'!$A$1:$A$9845,"&lt;="&amp;EOMONTH(DATE('Impostazioni Software'!$B$2,M$3, 1),0))</f>
        <v>0</v>
      </c>
      <c r="N35" s="28">
        <f t="shared" ref="N35" si="14">SUM(B35:M35)</f>
        <v>0</v>
      </c>
      <c r="O35" s="29">
        <f t="shared" ca="1" si="3"/>
        <v>0</v>
      </c>
      <c r="Q35" s="2"/>
    </row>
    <row r="36" spans="1:17" ht="15.75" thickBot="1" x14ac:dyDescent="0.3">
      <c r="A36" s="164" t="s">
        <v>58</v>
      </c>
      <c r="B36" s="27">
        <f>SUMIFS('Prima Nota'!$C$1:$C$9845,'Prima Nota'!$E$1:$E$9845,$A36,'Prima Nota'!$A$1:$A$9845,"&gt;="&amp;DATE('Impostazioni Software'!$B$2, B$3, 1),'Prima Nota'!$A$1:$A$9845,"&lt;="&amp;EOMONTH(DATE('Impostazioni Software'!$B$2,B$3, 1),0))</f>
        <v>0</v>
      </c>
      <c r="C36" s="27">
        <f>SUMIFS('Prima Nota'!$C$1:$C$9845,'Prima Nota'!$E$1:$E$9845,$A36,'Prima Nota'!$A$1:$A$9845,"&gt;="&amp;DATE('Impostazioni Software'!$B$2, C$3, 1),'Prima Nota'!$A$1:$A$9845,"&lt;="&amp;EOMONTH(DATE('Impostazioni Software'!$B$2,C$3, 1),0))</f>
        <v>0</v>
      </c>
      <c r="D36" s="27">
        <f>SUMIFS('Prima Nota'!$C$1:$C$9845,'Prima Nota'!$E$1:$E$9845,$A36,'Prima Nota'!$A$1:$A$9845,"&gt;="&amp;DATE('Impostazioni Software'!$B$2, D$3, 1),'Prima Nota'!$A$1:$A$9845,"&lt;="&amp;EOMONTH(DATE('Impostazioni Software'!$B$2,D$3, 1),0))</f>
        <v>0</v>
      </c>
      <c r="E36" s="27">
        <f>SUMIFS('Prima Nota'!$C$1:$C$9845,'Prima Nota'!$E$1:$E$9845,$A36,'Prima Nota'!$A$1:$A$9845,"&gt;="&amp;DATE('Impostazioni Software'!$B$2, E$3, 1),'Prima Nota'!$A$1:$A$9845,"&lt;="&amp;EOMONTH(DATE('Impostazioni Software'!$B$2,E$3, 1),0))</f>
        <v>0</v>
      </c>
      <c r="F36" s="27">
        <f>SUMIFS('Prima Nota'!$C$1:$C$9845,'Prima Nota'!$E$1:$E$9845,$A36,'Prima Nota'!$A$1:$A$9845,"&gt;="&amp;DATE('Impostazioni Software'!$B$2, F$3, 1),'Prima Nota'!$A$1:$A$9845,"&lt;="&amp;EOMONTH(DATE('Impostazioni Software'!$B$2,F$3, 1),0))</f>
        <v>0</v>
      </c>
      <c r="G36" s="27">
        <f>SUMIFS('Prima Nota'!$C$1:$C$9845,'Prima Nota'!$E$1:$E$9845,$A36,'Prima Nota'!$A$1:$A$9845,"&gt;="&amp;DATE('Impostazioni Software'!$B$2, G$3, 1),'Prima Nota'!$A$1:$A$9845,"&lt;="&amp;EOMONTH(DATE('Impostazioni Software'!$B$2,G$3, 1),0))</f>
        <v>0</v>
      </c>
      <c r="H36" s="27">
        <f>SUMIFS('Prima Nota'!$C$1:$C$9845,'Prima Nota'!$E$1:$E$9845,$A36,'Prima Nota'!$A$1:$A$9845,"&gt;="&amp;DATE('Impostazioni Software'!$B$2, H$3, 1),'Prima Nota'!$A$1:$A$9845,"&lt;="&amp;EOMONTH(DATE('Impostazioni Software'!$B$2,H$3, 1),0))</f>
        <v>0</v>
      </c>
      <c r="I36" s="27">
        <f>SUMIFS('Prima Nota'!$C$1:$C$9845,'Prima Nota'!$E$1:$E$9845,$A36,'Prima Nota'!$A$1:$A$9845,"&gt;="&amp;DATE('Impostazioni Software'!$B$2, I$3, 1),'Prima Nota'!$A$1:$A$9845,"&lt;="&amp;EOMONTH(DATE('Impostazioni Software'!$B$2,I$3, 1),0))</f>
        <v>0</v>
      </c>
      <c r="J36" s="27">
        <f>SUMIFS('Prima Nota'!$C$1:$C$9845,'Prima Nota'!$E$1:$E$9845,$A36,'Prima Nota'!$A$1:$A$9845,"&gt;="&amp;DATE('Impostazioni Software'!$B$2, J$3, 1),'Prima Nota'!$A$1:$A$9845,"&lt;="&amp;EOMONTH(DATE('Impostazioni Software'!$B$2,J$3, 1),0))</f>
        <v>0</v>
      </c>
      <c r="K36" s="27">
        <f>SUMIFS('Prima Nota'!$C$1:$C$9845,'Prima Nota'!$E$1:$E$9845,$A36,'Prima Nota'!$A$1:$A$9845,"&gt;="&amp;DATE('Impostazioni Software'!$B$2, K$3, 1),'Prima Nota'!$A$1:$A$9845,"&lt;="&amp;EOMONTH(DATE('Impostazioni Software'!$B$2,K$3, 1),0))</f>
        <v>0</v>
      </c>
      <c r="L36" s="27">
        <f>SUMIFS('Prima Nota'!$C$1:$C$9845,'Prima Nota'!$E$1:$E$9845,$A36,'Prima Nota'!$A$1:$A$9845,"&gt;="&amp;DATE('Impostazioni Software'!$B$2, L$3, 1),'Prima Nota'!$A$1:$A$9845,"&lt;="&amp;EOMONTH(DATE('Impostazioni Software'!$B$2,L$3, 1),0))</f>
        <v>0</v>
      </c>
      <c r="M36" s="27">
        <f>SUMIFS('Prima Nota'!$C$1:$C$9845,'Prima Nota'!$E$1:$E$9845,$A36,'Prima Nota'!$A$1:$A$9845,"&gt;="&amp;DATE('Impostazioni Software'!$B$2, M$3, 1),'Prima Nota'!$A$1:$A$9845,"&lt;="&amp;EOMONTH(DATE('Impostazioni Software'!$B$2,M$3, 1),0))</f>
        <v>0</v>
      </c>
      <c r="N36" s="28">
        <f t="shared" ref="N36" si="15">SUM(B36:M36)</f>
        <v>0</v>
      </c>
      <c r="O36" s="29">
        <f t="shared" ca="1" si="3"/>
        <v>0</v>
      </c>
      <c r="Q36" s="2"/>
    </row>
    <row r="37" spans="1:17" ht="15.75" thickBot="1" x14ac:dyDescent="0.3">
      <c r="A37" s="164" t="s">
        <v>59</v>
      </c>
      <c r="B37" s="27">
        <f>SUMIFS('Prima Nota'!$C$1:$C$9845,'Prima Nota'!$E$1:$E$9845,$A37,'Prima Nota'!$A$1:$A$9845,"&gt;="&amp;DATE('Impostazioni Software'!$B$2, B$3, 1),'Prima Nota'!$A$1:$A$9845,"&lt;="&amp;EOMONTH(DATE('Impostazioni Software'!$B$2,B$3, 1),0))</f>
        <v>0</v>
      </c>
      <c r="C37" s="27">
        <f>SUMIFS('Prima Nota'!$C$1:$C$9845,'Prima Nota'!$E$1:$E$9845,$A37,'Prima Nota'!$A$1:$A$9845,"&gt;="&amp;DATE('Impostazioni Software'!$B$2, C$3, 1),'Prima Nota'!$A$1:$A$9845,"&lt;="&amp;EOMONTH(DATE('Impostazioni Software'!$B$2,C$3, 1),0))</f>
        <v>0</v>
      </c>
      <c r="D37" s="27">
        <f>SUMIFS('Prima Nota'!$C$1:$C$9845,'Prima Nota'!$E$1:$E$9845,$A37,'Prima Nota'!$A$1:$A$9845,"&gt;="&amp;DATE('Impostazioni Software'!$B$2, D$3, 1),'Prima Nota'!$A$1:$A$9845,"&lt;="&amp;EOMONTH(DATE('Impostazioni Software'!$B$2,D$3, 1),0))</f>
        <v>0</v>
      </c>
      <c r="E37" s="27">
        <f>SUMIFS('Prima Nota'!$C$1:$C$9845,'Prima Nota'!$E$1:$E$9845,$A37,'Prima Nota'!$A$1:$A$9845,"&gt;="&amp;DATE('Impostazioni Software'!$B$2, E$3, 1),'Prima Nota'!$A$1:$A$9845,"&lt;="&amp;EOMONTH(DATE('Impostazioni Software'!$B$2,E$3, 1),0))</f>
        <v>0</v>
      </c>
      <c r="F37" s="27">
        <f>SUMIFS('Prima Nota'!$C$1:$C$9845,'Prima Nota'!$E$1:$E$9845,$A37,'Prima Nota'!$A$1:$A$9845,"&gt;="&amp;DATE('Impostazioni Software'!$B$2, F$3, 1),'Prima Nota'!$A$1:$A$9845,"&lt;="&amp;EOMONTH(DATE('Impostazioni Software'!$B$2,F$3, 1),0))</f>
        <v>0</v>
      </c>
      <c r="G37" s="27">
        <f>SUMIFS('Prima Nota'!$C$1:$C$9845,'Prima Nota'!$E$1:$E$9845,$A37,'Prima Nota'!$A$1:$A$9845,"&gt;="&amp;DATE('Impostazioni Software'!$B$2, G$3, 1),'Prima Nota'!$A$1:$A$9845,"&lt;="&amp;EOMONTH(DATE('Impostazioni Software'!$B$2,G$3, 1),0))</f>
        <v>0</v>
      </c>
      <c r="H37" s="27">
        <f>SUMIFS('Prima Nota'!$C$1:$C$9845,'Prima Nota'!$E$1:$E$9845,$A37,'Prima Nota'!$A$1:$A$9845,"&gt;="&amp;DATE('Impostazioni Software'!$B$2, H$3, 1),'Prima Nota'!$A$1:$A$9845,"&lt;="&amp;EOMONTH(DATE('Impostazioni Software'!$B$2,H$3, 1),0))</f>
        <v>0</v>
      </c>
      <c r="I37" s="27">
        <f>SUMIFS('Prima Nota'!$C$1:$C$9845,'Prima Nota'!$E$1:$E$9845,$A37,'Prima Nota'!$A$1:$A$9845,"&gt;="&amp;DATE('Impostazioni Software'!$B$2, I$3, 1),'Prima Nota'!$A$1:$A$9845,"&lt;="&amp;EOMONTH(DATE('Impostazioni Software'!$B$2,I$3, 1),0))</f>
        <v>0</v>
      </c>
      <c r="J37" s="27">
        <f>SUMIFS('Prima Nota'!$C$1:$C$9845,'Prima Nota'!$E$1:$E$9845,$A37,'Prima Nota'!$A$1:$A$9845,"&gt;="&amp;DATE('Impostazioni Software'!$B$2, J$3, 1),'Prima Nota'!$A$1:$A$9845,"&lt;="&amp;EOMONTH(DATE('Impostazioni Software'!$B$2,J$3, 1),0))</f>
        <v>0</v>
      </c>
      <c r="K37" s="27">
        <f>SUMIFS('Prima Nota'!$C$1:$C$9845,'Prima Nota'!$E$1:$E$9845,$A37,'Prima Nota'!$A$1:$A$9845,"&gt;="&amp;DATE('Impostazioni Software'!$B$2, K$3, 1),'Prima Nota'!$A$1:$A$9845,"&lt;="&amp;EOMONTH(DATE('Impostazioni Software'!$B$2,K$3, 1),0))</f>
        <v>0</v>
      </c>
      <c r="L37" s="27">
        <f>SUMIFS('Prima Nota'!$C$1:$C$9845,'Prima Nota'!$E$1:$E$9845,$A37,'Prima Nota'!$A$1:$A$9845,"&gt;="&amp;DATE('Impostazioni Software'!$B$2, L$3, 1),'Prima Nota'!$A$1:$A$9845,"&lt;="&amp;EOMONTH(DATE('Impostazioni Software'!$B$2,L$3, 1),0))</f>
        <v>0</v>
      </c>
      <c r="M37" s="27">
        <f>SUMIFS('Prima Nota'!$C$1:$C$9845,'Prima Nota'!$E$1:$E$9845,$A37,'Prima Nota'!$A$1:$A$9845,"&gt;="&amp;DATE('Impostazioni Software'!$B$2, M$3, 1),'Prima Nota'!$A$1:$A$9845,"&lt;="&amp;EOMONTH(DATE('Impostazioni Software'!$B$2,M$3, 1),0))</f>
        <v>0</v>
      </c>
      <c r="N37" s="28">
        <f t="shared" ref="N37" si="16">SUM(B37:M37)</f>
        <v>0</v>
      </c>
      <c r="O37" s="29">
        <f t="shared" ca="1" si="3"/>
        <v>0</v>
      </c>
      <c r="Q37" s="2"/>
    </row>
    <row r="38" spans="1:17" s="1" customFormat="1" ht="19.5" thickBot="1" x14ac:dyDescent="0.35">
      <c r="A38" s="149" t="s">
        <v>29</v>
      </c>
      <c r="B38" s="30">
        <f ca="1">SUM(INDIRECT("B"&amp;(MATCH(1.570796327,B1:B24,0)+2)&amp;":B"&amp;(ROW()-1)))</f>
        <v>1</v>
      </c>
      <c r="C38" s="30">
        <f ca="1">SUM(INDIRECT("C"&amp;(MATCH(1.570796327,C1:C24,0)+2)&amp;":C"&amp;(ROW()-1)))</f>
        <v>0</v>
      </c>
      <c r="D38" s="30">
        <f ca="1">SUM(INDIRECT("D"&amp;(MATCH(1.570796327,D1:D24,0)+2)&amp;":D"&amp;(ROW()-1)))</f>
        <v>0</v>
      </c>
      <c r="E38" s="30">
        <f ca="1">SUM(INDIRECT("E"&amp;(MATCH(1.570796327,E1:E24,0)+2)&amp;":E"&amp;(ROW()-1)))</f>
        <v>0</v>
      </c>
      <c r="F38" s="30">
        <f ca="1">SUM(INDIRECT("F"&amp;(MATCH(1.570796327,F1:F24,0)+2)&amp;":F"&amp;(ROW()-1)))</f>
        <v>0</v>
      </c>
      <c r="G38" s="30">
        <f ca="1">SUM(INDIRECT("G"&amp;(MATCH(1.570796327,G1:G24,0)+2)&amp;":G"&amp;(ROW()-1)))</f>
        <v>0</v>
      </c>
      <c r="H38" s="30">
        <f ca="1">SUM(INDIRECT("H"&amp;(MATCH(1.570796327,H1:H24,0)+2)&amp;":H"&amp;(ROW()-1)))</f>
        <v>0</v>
      </c>
      <c r="I38" s="30">
        <f ca="1">SUM(INDIRECT("I"&amp;(MATCH(1.570796327,I1:I24,0)+2)&amp;":I"&amp;(ROW()-1)))</f>
        <v>0</v>
      </c>
      <c r="J38" s="30">
        <f ca="1">SUM(INDIRECT("J"&amp;(MATCH(1.570796327,J1:J24,0)+2)&amp;":J"&amp;(ROW()-1)))</f>
        <v>0</v>
      </c>
      <c r="K38" s="30">
        <f ca="1">SUM(INDIRECT("K"&amp;(MATCH(1.570796327,K1:K24,0)+2)&amp;":K"&amp;(ROW()-1)))</f>
        <v>0</v>
      </c>
      <c r="L38" s="30">
        <f ca="1">SUM(INDIRECT("L"&amp;(MATCH(1.570796327,L1:L24,0)+2)&amp;":L"&amp;(ROW()-1)))</f>
        <v>0</v>
      </c>
      <c r="M38" s="30">
        <f ca="1">SUM(INDIRECT("M"&amp;(MATCH(1.570796327,M1:M24,0)+2)&amp;":M"&amp;(ROW()-1)))</f>
        <v>0</v>
      </c>
      <c r="N38" s="30">
        <f ca="1">SUM(INDIRECT("N"&amp;(MATCH(1.570796327,N1:N24,0)+2)&amp;":N"&amp;(ROW()-1)))</f>
        <v>1</v>
      </c>
      <c r="O38" s="31"/>
    </row>
    <row r="39" spans="1:17" s="1" customFormat="1" ht="15.75" thickBot="1" x14ac:dyDescent="0.3">
      <c r="A39" s="16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8"/>
      <c r="Q39" s="5"/>
    </row>
    <row r="40" spans="1:17" s="21" customFormat="1" ht="19.5" thickBot="1" x14ac:dyDescent="0.35">
      <c r="A40" s="161" t="s">
        <v>32</v>
      </c>
      <c r="B40" s="22">
        <f t="shared" ref="B40:M40" ca="1" si="17">B10-B38</f>
        <v>0</v>
      </c>
      <c r="C40" s="22">
        <f t="shared" ca="1" si="17"/>
        <v>0</v>
      </c>
      <c r="D40" s="22">
        <f t="shared" ca="1" si="17"/>
        <v>0</v>
      </c>
      <c r="E40" s="22">
        <f t="shared" ca="1" si="17"/>
        <v>0</v>
      </c>
      <c r="F40" s="22">
        <f t="shared" ca="1" si="17"/>
        <v>0</v>
      </c>
      <c r="G40" s="22">
        <f t="shared" ca="1" si="17"/>
        <v>0</v>
      </c>
      <c r="H40" s="22">
        <f t="shared" ca="1" si="17"/>
        <v>0</v>
      </c>
      <c r="I40" s="22">
        <f t="shared" ca="1" si="17"/>
        <v>0</v>
      </c>
      <c r="J40" s="22">
        <f t="shared" ca="1" si="17"/>
        <v>0</v>
      </c>
      <c r="K40" s="22">
        <f t="shared" ca="1" si="17"/>
        <v>0</v>
      </c>
      <c r="L40" s="22">
        <f t="shared" ca="1" si="17"/>
        <v>0</v>
      </c>
      <c r="M40" s="22">
        <f t="shared" ca="1" si="17"/>
        <v>0</v>
      </c>
      <c r="N40" s="22"/>
      <c r="O40" s="23"/>
    </row>
    <row r="41" spans="1:17" s="21" customFormat="1" ht="16.5" thickBot="1" x14ac:dyDescent="0.3">
      <c r="A41" s="16"/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8"/>
    </row>
    <row r="42" spans="1:17" s="21" customFormat="1" ht="38.25" thickBot="1" x14ac:dyDescent="0.35">
      <c r="A42" s="162" t="str">
        <f>"Saldo Liquidità Disponibile (Saldo al 31/12/"&amp;'Impostazioni Software'!B2-1&amp;" + Entrate - Uscite)"</f>
        <v>Saldo Liquidità Disponibile (Saldo al 31/12/2018 + Entrate - Uscite)</v>
      </c>
      <c r="B42" s="134">
        <f ca="1">B5+B40</f>
        <v>10000</v>
      </c>
      <c r="C42" s="134">
        <f ca="1">B42+C40</f>
        <v>10000</v>
      </c>
      <c r="D42" s="134">
        <f ca="1">C42+D40</f>
        <v>10000</v>
      </c>
      <c r="E42" s="134">
        <f ca="1">D42+E40</f>
        <v>10000</v>
      </c>
      <c r="F42" s="134">
        <f ca="1">E42+F40</f>
        <v>10000</v>
      </c>
      <c r="G42" s="134">
        <f ca="1">F42+G40</f>
        <v>10000</v>
      </c>
      <c r="H42" s="134">
        <f t="shared" ref="H42:M42" ca="1" si="18">G42+H40</f>
        <v>10000</v>
      </c>
      <c r="I42" s="134">
        <f t="shared" ca="1" si="18"/>
        <v>10000</v>
      </c>
      <c r="J42" s="134">
        <f t="shared" ca="1" si="18"/>
        <v>10000</v>
      </c>
      <c r="K42" s="134">
        <f t="shared" ca="1" si="18"/>
        <v>10000</v>
      </c>
      <c r="L42" s="134">
        <f t="shared" ca="1" si="18"/>
        <v>10000</v>
      </c>
      <c r="M42" s="134">
        <f t="shared" ca="1" si="18"/>
        <v>10000</v>
      </c>
      <c r="N42" s="135"/>
      <c r="O42" s="136">
        <f ca="1">M42</f>
        <v>10000</v>
      </c>
    </row>
    <row r="43" spans="1:17" s="21" customFormat="1" ht="15.75" x14ac:dyDescent="0.25">
      <c r="A43" s="140"/>
      <c r="B43" s="141"/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2"/>
    </row>
    <row r="44" spans="1:17" s="21" customFormat="1" ht="15.75" x14ac:dyDescent="0.25">
      <c r="A44" s="140"/>
      <c r="B44" s="141"/>
      <c r="C44" s="141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2"/>
    </row>
    <row r="45" spans="1:17" s="21" customFormat="1" ht="15.75" x14ac:dyDescent="0.25">
      <c r="A45" s="140"/>
      <c r="B45" s="141"/>
      <c r="C45" s="141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2"/>
    </row>
    <row r="46" spans="1:17" ht="15.75" thickBo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</row>
    <row r="47" spans="1:17" s="4" customFormat="1" ht="18.75" x14ac:dyDescent="0.3">
      <c r="A47" s="37" t="s">
        <v>24</v>
      </c>
      <c r="B47" s="38" t="s">
        <v>25</v>
      </c>
      <c r="C47" s="39" t="s">
        <v>26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</row>
    <row r="48" spans="1:17" ht="30" x14ac:dyDescent="0.25">
      <c r="A48" s="41" t="s">
        <v>33</v>
      </c>
      <c r="B48" s="42"/>
      <c r="C48" s="43"/>
      <c r="D48" s="35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</row>
    <row r="49" spans="1:16" x14ac:dyDescent="0.25">
      <c r="A49" s="44" t="s">
        <v>13</v>
      </c>
      <c r="B49" s="42"/>
      <c r="C49" s="43"/>
      <c r="D49" s="35"/>
      <c r="E49" s="35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</row>
    <row r="50" spans="1:16" x14ac:dyDescent="0.25">
      <c r="A50" s="44" t="s">
        <v>37</v>
      </c>
      <c r="B50" s="45"/>
      <c r="C50" s="46"/>
      <c r="D50" s="35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</row>
    <row r="51" spans="1:16" x14ac:dyDescent="0.25">
      <c r="A51" s="44" t="s">
        <v>38</v>
      </c>
      <c r="B51" s="42"/>
      <c r="C51" s="43"/>
      <c r="D51" s="35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</row>
    <row r="52" spans="1:16" x14ac:dyDescent="0.25">
      <c r="A52" s="44" t="s">
        <v>39</v>
      </c>
      <c r="B52" s="42"/>
      <c r="C52" s="43"/>
      <c r="D52" s="35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</row>
    <row r="53" spans="1:16" ht="15.75" thickBot="1" x14ac:dyDescent="0.3">
      <c r="A53" s="47" t="s">
        <v>34</v>
      </c>
      <c r="B53" s="48"/>
      <c r="C53" s="49"/>
      <c r="D53" s="35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</row>
    <row r="54" spans="1:16" ht="15.75" thickBot="1" x14ac:dyDescent="0.3">
      <c r="A54" s="50"/>
      <c r="B54" s="51"/>
      <c r="C54" s="52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</row>
    <row r="55" spans="1:16" s="1" customFormat="1" ht="15.75" thickBot="1" x14ac:dyDescent="0.3">
      <c r="A55" s="53" t="s">
        <v>30</v>
      </c>
      <c r="B55" s="54">
        <f>SUM(B48:B53)</f>
        <v>0</v>
      </c>
      <c r="C55" s="55">
        <f>SUM(C48:C52)</f>
        <v>0</v>
      </c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</row>
    <row r="56" spans="1:16" x14ac:dyDescent="0.25">
      <c r="A56" s="50"/>
      <c r="B56" s="51"/>
      <c r="C56" s="52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</row>
    <row r="57" spans="1:16" s="1" customFormat="1" ht="30.75" thickBot="1" x14ac:dyDescent="0.3">
      <c r="A57" s="57" t="s">
        <v>31</v>
      </c>
      <c r="B57" s="58">
        <f ca="1">O42-B55</f>
        <v>10000</v>
      </c>
      <c r="C57" s="59">
        <f ca="1">B57-C55</f>
        <v>10000</v>
      </c>
      <c r="D57" s="56"/>
      <c r="E57" s="60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</row>
    <row r="58" spans="1:16" x14ac:dyDescent="0.25">
      <c r="A58" s="34"/>
      <c r="B58" s="36"/>
      <c r="C58" s="36"/>
      <c r="D58" s="34"/>
      <c r="E58" s="34" t="s">
        <v>20</v>
      </c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</row>
    <row r="59" spans="1:16" x14ac:dyDescent="0.25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</row>
    <row r="60" spans="1:16" x14ac:dyDescent="0.25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</row>
    <row r="61" spans="1:16" x14ac:dyDescent="0.25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</row>
    <row r="62" spans="1:16" x14ac:dyDescent="0.25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</row>
    <row r="63" spans="1:16" x14ac:dyDescent="0.25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</row>
    <row r="64" spans="1:16" x14ac:dyDescent="0.25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</row>
    <row r="65" spans="1:15" x14ac:dyDescent="0.25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5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5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</row>
    <row r="68" spans="1:15" x14ac:dyDescent="0.25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</row>
    <row r="69" spans="1:15" x14ac:dyDescent="0.25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</row>
    <row r="70" spans="1:15" x14ac:dyDescent="0.25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</row>
    <row r="71" spans="1:15" x14ac:dyDescent="0.25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</row>
    <row r="72" spans="1:15" x14ac:dyDescent="0.25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</row>
    <row r="73" spans="1:15" x14ac:dyDescent="0.25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x14ac:dyDescent="0.25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</row>
    <row r="75" spans="1:15" x14ac:dyDescent="0.25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</row>
    <row r="76" spans="1:15" x14ac:dyDescent="0.25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</row>
    <row r="77" spans="1:15" x14ac:dyDescent="0.25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</row>
    <row r="78" spans="1:15" x14ac:dyDescent="0.25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</row>
    <row r="79" spans="1:15" x14ac:dyDescent="0.25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</row>
    <row r="80" spans="1:15" x14ac:dyDescent="0.25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</row>
    <row r="81" spans="1:15" x14ac:dyDescent="0.25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</row>
    <row r="82" spans="1:15" x14ac:dyDescent="0.25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</row>
    <row r="83" spans="1:15" x14ac:dyDescent="0.25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</row>
    <row r="84" spans="1:15" x14ac:dyDescent="0.25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</row>
    <row r="85" spans="1:15" x14ac:dyDescent="0.25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</row>
    <row r="86" spans="1:15" x14ac:dyDescent="0.25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</row>
    <row r="87" spans="1:15" x14ac:dyDescent="0.25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</row>
    <row r="88" spans="1:15" x14ac:dyDescent="0.25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</row>
    <row r="89" spans="1:15" x14ac:dyDescent="0.25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</row>
    <row r="90" spans="1:15" x14ac:dyDescent="0.25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5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5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</row>
    <row r="93" spans="1:15" x14ac:dyDescent="0.25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</row>
    <row r="94" spans="1:15" x14ac:dyDescent="0.25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</row>
    <row r="95" spans="1:15" x14ac:dyDescent="0.25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</row>
    <row r="96" spans="1:15" x14ac:dyDescent="0.25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</row>
    <row r="97" spans="1:15" x14ac:dyDescent="0.25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</row>
    <row r="98" spans="1:15" x14ac:dyDescent="0.25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x14ac:dyDescent="0.25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</row>
    <row r="100" spans="1:15" x14ac:dyDescent="0.25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</row>
    <row r="101" spans="1:15" x14ac:dyDescent="0.25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</row>
    <row r="102" spans="1:15" x14ac:dyDescent="0.25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</row>
    <row r="103" spans="1:15" x14ac:dyDescent="0.25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</row>
    <row r="104" spans="1:15" x14ac:dyDescent="0.25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</row>
    <row r="105" spans="1:15" x14ac:dyDescent="0.25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</row>
    <row r="106" spans="1:15" x14ac:dyDescent="0.25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</row>
    <row r="107" spans="1:15" x14ac:dyDescent="0.25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</row>
    <row r="108" spans="1:15" x14ac:dyDescent="0.25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</row>
    <row r="109" spans="1:15" x14ac:dyDescent="0.25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</row>
    <row r="110" spans="1:15" x14ac:dyDescent="0.25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</row>
    <row r="111" spans="1:15" x14ac:dyDescent="0.25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</row>
    <row r="112" spans="1:15" x14ac:dyDescent="0.25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</row>
    <row r="113" spans="1:15" x14ac:dyDescent="0.25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</row>
    <row r="114" spans="1:15" x14ac:dyDescent="0.25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</row>
    <row r="115" spans="1:15" x14ac:dyDescent="0.25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5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5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</row>
    <row r="118" spans="1:15" x14ac:dyDescent="0.25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</row>
    <row r="119" spans="1:15" x14ac:dyDescent="0.25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</row>
    <row r="120" spans="1:15" x14ac:dyDescent="0.25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</row>
    <row r="121" spans="1:15" x14ac:dyDescent="0.25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</row>
    <row r="122" spans="1:15" x14ac:dyDescent="0.25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</row>
    <row r="123" spans="1:15" x14ac:dyDescent="0.25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x14ac:dyDescent="0.25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</row>
    <row r="125" spans="1:15" x14ac:dyDescent="0.25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</row>
    <row r="126" spans="1:15" x14ac:dyDescent="0.25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</row>
    <row r="127" spans="1:15" x14ac:dyDescent="0.25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</row>
    <row r="128" spans="1:15" x14ac:dyDescent="0.25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</row>
    <row r="129" spans="1:15" x14ac:dyDescent="0.25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</row>
    <row r="130" spans="1:15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</row>
    <row r="131" spans="1:15" x14ac:dyDescent="0.25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</row>
    <row r="132" spans="1:15" x14ac:dyDescent="0.25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</row>
    <row r="133" spans="1:15" x14ac:dyDescent="0.25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</row>
    <row r="134" spans="1:15" x14ac:dyDescent="0.25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</row>
    <row r="135" spans="1:15" x14ac:dyDescent="0.25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</row>
    <row r="136" spans="1:15" x14ac:dyDescent="0.25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</row>
    <row r="137" spans="1:15" x14ac:dyDescent="0.25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</row>
    <row r="138" spans="1:15" x14ac:dyDescent="0.25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</row>
    <row r="139" spans="1:15" x14ac:dyDescent="0.25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</row>
    <row r="140" spans="1:15" x14ac:dyDescent="0.25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</row>
    <row r="141" spans="1:15" x14ac:dyDescent="0.25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5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5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</row>
    <row r="144" spans="1:15" x14ac:dyDescent="0.25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</row>
    <row r="145" spans="1:15" x14ac:dyDescent="0.25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</row>
    <row r="146" spans="1:15" x14ac:dyDescent="0.25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</row>
    <row r="147" spans="1:15" x14ac:dyDescent="0.25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</row>
    <row r="148" spans="1:15" x14ac:dyDescent="0.25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</row>
    <row r="149" spans="1:15" x14ac:dyDescent="0.25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x14ac:dyDescent="0.25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</row>
    <row r="151" spans="1:15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</row>
    <row r="152" spans="1:15" x14ac:dyDescent="0.25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</row>
    <row r="153" spans="1:15" x14ac:dyDescent="0.25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</row>
    <row r="154" spans="1:15" x14ac:dyDescent="0.25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</row>
    <row r="155" spans="1:15" x14ac:dyDescent="0.25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</row>
    <row r="156" spans="1:15" x14ac:dyDescent="0.25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</row>
    <row r="157" spans="1:15" x14ac:dyDescent="0.25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</row>
    <row r="158" spans="1:15" x14ac:dyDescent="0.25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</row>
    <row r="159" spans="1:15" x14ac:dyDescent="0.25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</row>
    <row r="160" spans="1:15" x14ac:dyDescent="0.25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</row>
    <row r="161" spans="1:15" x14ac:dyDescent="0.25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</row>
    <row r="162" spans="1:15" x14ac:dyDescent="0.25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</row>
    <row r="163" spans="1:15" x14ac:dyDescent="0.25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</row>
    <row r="164" spans="1:15" x14ac:dyDescent="0.25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</row>
    <row r="165" spans="1:15" x14ac:dyDescent="0.25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</row>
    <row r="166" spans="1:15" x14ac:dyDescent="0.25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5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5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</row>
    <row r="169" spans="1:15" x14ac:dyDescent="0.25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</row>
    <row r="170" spans="1:15" x14ac:dyDescent="0.25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</row>
    <row r="171" spans="1:15" x14ac:dyDescent="0.25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</row>
    <row r="172" spans="1:15" x14ac:dyDescent="0.25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</row>
    <row r="173" spans="1:15" x14ac:dyDescent="0.25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</row>
    <row r="174" spans="1:15" x14ac:dyDescent="0.25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x14ac:dyDescent="0.25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</row>
    <row r="176" spans="1:15" x14ac:dyDescent="0.25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</row>
    <row r="177" spans="1:15" x14ac:dyDescent="0.25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</row>
    <row r="178" spans="1:15" x14ac:dyDescent="0.25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</row>
    <row r="179" spans="1:15" x14ac:dyDescent="0.25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</row>
    <row r="180" spans="1:15" x14ac:dyDescent="0.25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</row>
    <row r="181" spans="1:15" x14ac:dyDescent="0.25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</row>
    <row r="182" spans="1:15" x14ac:dyDescent="0.25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</row>
    <row r="183" spans="1:15" x14ac:dyDescent="0.25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</row>
    <row r="184" spans="1:15" x14ac:dyDescent="0.25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</row>
    <row r="185" spans="1:15" x14ac:dyDescent="0.25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</row>
    <row r="186" spans="1:15" x14ac:dyDescent="0.25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</row>
    <row r="187" spans="1:15" x14ac:dyDescent="0.25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</row>
    <row r="188" spans="1:15" x14ac:dyDescent="0.25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</row>
    <row r="189" spans="1:15" x14ac:dyDescent="0.25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</row>
    <row r="190" spans="1:15" x14ac:dyDescent="0.25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</row>
    <row r="191" spans="1:15" x14ac:dyDescent="0.25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5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5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</row>
    <row r="194" spans="1:15" x14ac:dyDescent="0.25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</row>
    <row r="195" spans="1:15" x14ac:dyDescent="0.25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</row>
    <row r="196" spans="1:15" x14ac:dyDescent="0.25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</row>
    <row r="197" spans="1:15" x14ac:dyDescent="0.25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</row>
    <row r="198" spans="1:15" x14ac:dyDescent="0.2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</row>
    <row r="199" spans="1:15" x14ac:dyDescent="0.25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x14ac:dyDescent="0.25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</row>
    <row r="201" spans="1:15" x14ac:dyDescent="0.25">
      <c r="A201" s="34"/>
      <c r="B201" s="34"/>
      <c r="C201" s="34"/>
      <c r="D201" s="34"/>
      <c r="E201" s="34"/>
      <c r="F201" s="34"/>
      <c r="G201" s="34"/>
      <c r="H201" s="34"/>
      <c r="I201" s="34"/>
      <c r="J201" s="34"/>
      <c r="K201" s="34"/>
      <c r="L201" s="34"/>
      <c r="M201" s="34"/>
      <c r="N201" s="34"/>
      <c r="O201" s="34"/>
    </row>
    <row r="202" spans="1:15" x14ac:dyDescent="0.25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4"/>
      <c r="O202" s="34"/>
    </row>
    <row r="203" spans="1:15" x14ac:dyDescent="0.25">
      <c r="A203" s="34"/>
      <c r="B203" s="34"/>
      <c r="C203" s="34"/>
      <c r="D203" s="34"/>
      <c r="E203" s="34"/>
      <c r="F203" s="34"/>
      <c r="G203" s="34"/>
      <c r="H203" s="34"/>
      <c r="I203" s="34"/>
      <c r="J203" s="34"/>
      <c r="K203" s="34"/>
      <c r="L203" s="34"/>
      <c r="M203" s="34"/>
      <c r="N203" s="34"/>
      <c r="O203" s="34"/>
    </row>
    <row r="204" spans="1:15" x14ac:dyDescent="0.25">
      <c r="A204" s="34"/>
      <c r="B204" s="34"/>
      <c r="C204" s="34"/>
      <c r="D204" s="34"/>
      <c r="E204" s="34"/>
      <c r="F204" s="34"/>
      <c r="G204" s="34"/>
      <c r="H204" s="34"/>
      <c r="I204" s="34"/>
      <c r="J204" s="34"/>
      <c r="K204" s="34"/>
      <c r="L204" s="34"/>
      <c r="M204" s="34"/>
      <c r="N204" s="34"/>
      <c r="O204" s="34"/>
    </row>
    <row r="205" spans="1:15" x14ac:dyDescent="0.25">
      <c r="A205" s="34"/>
      <c r="B205" s="34"/>
      <c r="C205" s="34"/>
      <c r="D205" s="34"/>
      <c r="E205" s="34"/>
      <c r="F205" s="34"/>
      <c r="G205" s="34"/>
      <c r="H205" s="34"/>
      <c r="I205" s="34"/>
      <c r="J205" s="34"/>
      <c r="K205" s="34"/>
      <c r="L205" s="34"/>
      <c r="M205" s="34"/>
      <c r="N205" s="34"/>
      <c r="O205" s="34"/>
    </row>
    <row r="206" spans="1:15" x14ac:dyDescent="0.25">
      <c r="A206" s="34"/>
      <c r="B206" s="34"/>
      <c r="C206" s="34"/>
      <c r="D206" s="34"/>
      <c r="E206" s="34"/>
      <c r="F206" s="34"/>
      <c r="G206" s="34"/>
      <c r="H206" s="34"/>
      <c r="I206" s="34"/>
      <c r="J206" s="34"/>
      <c r="K206" s="34"/>
      <c r="L206" s="34"/>
      <c r="M206" s="34"/>
      <c r="N206" s="34"/>
      <c r="O206" s="34"/>
    </row>
    <row r="207" spans="1:15" x14ac:dyDescent="0.25">
      <c r="A207" s="34"/>
      <c r="B207" s="34"/>
      <c r="C207" s="34"/>
      <c r="D207" s="34"/>
      <c r="E207" s="34"/>
      <c r="F207" s="34"/>
      <c r="G207" s="34"/>
      <c r="H207" s="34"/>
      <c r="I207" s="34"/>
      <c r="J207" s="34"/>
      <c r="K207" s="34"/>
      <c r="L207" s="34"/>
      <c r="M207" s="34"/>
      <c r="N207" s="34"/>
      <c r="O207" s="34"/>
    </row>
    <row r="208" spans="1:15" x14ac:dyDescent="0.25">
      <c r="A208" s="34"/>
      <c r="B208" s="34"/>
      <c r="C208" s="34"/>
      <c r="D208" s="34"/>
      <c r="E208" s="34"/>
      <c r="F208" s="34"/>
      <c r="G208" s="34"/>
      <c r="H208" s="34"/>
      <c r="I208" s="34"/>
      <c r="J208" s="34"/>
      <c r="K208" s="34"/>
      <c r="L208" s="34"/>
      <c r="M208" s="34"/>
      <c r="N208" s="34"/>
      <c r="O208" s="34"/>
    </row>
    <row r="209" spans="1:15" x14ac:dyDescent="0.25">
      <c r="A209" s="34"/>
      <c r="B209" s="34"/>
      <c r="C209" s="34"/>
      <c r="D209" s="34"/>
      <c r="E209" s="34"/>
      <c r="F209" s="34"/>
      <c r="G209" s="34"/>
      <c r="H209" s="34"/>
      <c r="I209" s="34"/>
      <c r="J209" s="34"/>
      <c r="K209" s="34"/>
      <c r="L209" s="34"/>
      <c r="M209" s="34"/>
      <c r="N209" s="34"/>
      <c r="O209" s="34"/>
    </row>
    <row r="210" spans="1:15" x14ac:dyDescent="0.25">
      <c r="A210" s="34"/>
      <c r="B210" s="34"/>
      <c r="C210" s="34"/>
      <c r="D210" s="34"/>
      <c r="E210" s="34"/>
      <c r="F210" s="34"/>
      <c r="G210" s="34"/>
      <c r="H210" s="34"/>
      <c r="I210" s="34"/>
      <c r="J210" s="34"/>
      <c r="K210" s="34"/>
      <c r="L210" s="34"/>
      <c r="M210" s="34"/>
      <c r="N210" s="34"/>
      <c r="O210" s="34"/>
    </row>
    <row r="211" spans="1:15" x14ac:dyDescent="0.25">
      <c r="A211" s="34"/>
      <c r="B211" s="34"/>
      <c r="C211" s="34"/>
      <c r="D211" s="34"/>
      <c r="E211" s="34"/>
      <c r="F211" s="34"/>
      <c r="G211" s="34"/>
      <c r="H211" s="34"/>
      <c r="I211" s="34"/>
      <c r="J211" s="34"/>
      <c r="K211" s="34"/>
      <c r="L211" s="34"/>
      <c r="M211" s="34"/>
      <c r="N211" s="34"/>
      <c r="O211" s="34"/>
    </row>
    <row r="212" spans="1:15" x14ac:dyDescent="0.25">
      <c r="A212" s="34"/>
      <c r="B212" s="34"/>
      <c r="C212" s="34"/>
      <c r="D212" s="34"/>
      <c r="E212" s="34"/>
      <c r="F212" s="34"/>
      <c r="G212" s="34"/>
      <c r="H212" s="34"/>
      <c r="I212" s="34"/>
      <c r="J212" s="34"/>
      <c r="K212" s="34"/>
      <c r="L212" s="34"/>
      <c r="M212" s="34"/>
      <c r="N212" s="34"/>
      <c r="O212" s="34"/>
    </row>
    <row r="213" spans="1:15" x14ac:dyDescent="0.25">
      <c r="A213" s="34"/>
      <c r="B213" s="34"/>
      <c r="C213" s="34"/>
      <c r="D213" s="34"/>
      <c r="E213" s="34"/>
      <c r="F213" s="34"/>
      <c r="G213" s="34"/>
      <c r="H213" s="34"/>
      <c r="I213" s="34"/>
      <c r="J213" s="34"/>
      <c r="K213" s="34"/>
      <c r="L213" s="34"/>
      <c r="M213" s="34"/>
      <c r="N213" s="34"/>
      <c r="O213" s="34"/>
    </row>
    <row r="214" spans="1:15" x14ac:dyDescent="0.25">
      <c r="A214" s="34"/>
      <c r="B214" s="34"/>
      <c r="C214" s="34"/>
      <c r="D214" s="34"/>
      <c r="E214" s="34"/>
      <c r="F214" s="34"/>
      <c r="G214" s="34"/>
      <c r="H214" s="34"/>
      <c r="I214" s="34"/>
      <c r="J214" s="34"/>
      <c r="K214" s="34"/>
      <c r="L214" s="34"/>
      <c r="M214" s="34"/>
      <c r="N214" s="34"/>
      <c r="O214" s="34"/>
    </row>
    <row r="215" spans="1:15" x14ac:dyDescent="0.25">
      <c r="A215" s="34"/>
      <c r="B215" s="34"/>
      <c r="C215" s="34"/>
      <c r="D215" s="34"/>
      <c r="E215" s="34"/>
      <c r="F215" s="34"/>
      <c r="G215" s="34"/>
      <c r="H215" s="34"/>
      <c r="I215" s="34"/>
      <c r="J215" s="34"/>
      <c r="K215" s="34"/>
      <c r="L215" s="34"/>
      <c r="M215" s="34"/>
      <c r="N215" s="34"/>
      <c r="O215" s="34"/>
    </row>
    <row r="216" spans="1:15" x14ac:dyDescent="0.25">
      <c r="A216" s="34"/>
      <c r="B216" s="34"/>
      <c r="C216" s="3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5">
      <c r="A217" s="34"/>
      <c r="B217" s="34"/>
      <c r="C217" s="34"/>
      <c r="D217" s="34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5">
      <c r="A218" s="34"/>
      <c r="B218" s="34"/>
      <c r="C218" s="34"/>
      <c r="D218" s="34"/>
      <c r="E218" s="34"/>
      <c r="F218" s="34"/>
      <c r="G218" s="34"/>
      <c r="H218" s="34"/>
      <c r="I218" s="34"/>
      <c r="J218" s="34"/>
      <c r="K218" s="34"/>
      <c r="L218" s="34"/>
      <c r="M218" s="34"/>
      <c r="N218" s="34"/>
      <c r="O218" s="34"/>
    </row>
    <row r="219" spans="1:15" x14ac:dyDescent="0.25">
      <c r="A219" s="34"/>
      <c r="B219" s="34"/>
      <c r="C219" s="34"/>
      <c r="D219" s="34"/>
      <c r="E219" s="34"/>
      <c r="F219" s="34"/>
      <c r="G219" s="34"/>
      <c r="H219" s="34"/>
      <c r="I219" s="34"/>
      <c r="J219" s="34"/>
      <c r="K219" s="34"/>
      <c r="L219" s="34"/>
      <c r="M219" s="34"/>
      <c r="N219" s="34"/>
      <c r="O219" s="34"/>
    </row>
    <row r="220" spans="1:15" x14ac:dyDescent="0.25">
      <c r="A220" s="34"/>
      <c r="B220" s="34"/>
      <c r="C220" s="34"/>
      <c r="D220" s="34"/>
      <c r="E220" s="34"/>
      <c r="F220" s="34"/>
      <c r="G220" s="34"/>
      <c r="H220" s="34"/>
      <c r="I220" s="34"/>
      <c r="J220" s="34"/>
      <c r="K220" s="34"/>
      <c r="L220" s="34"/>
      <c r="M220" s="34"/>
      <c r="N220" s="34"/>
      <c r="O220" s="34"/>
    </row>
    <row r="221" spans="1:15" x14ac:dyDescent="0.25">
      <c r="A221" s="34"/>
      <c r="B221" s="34"/>
      <c r="C221" s="34"/>
      <c r="D221" s="34"/>
      <c r="E221" s="34"/>
      <c r="F221" s="34"/>
      <c r="G221" s="34"/>
      <c r="H221" s="34"/>
      <c r="I221" s="34"/>
      <c r="J221" s="34"/>
      <c r="K221" s="34"/>
      <c r="L221" s="34"/>
      <c r="M221" s="34"/>
      <c r="N221" s="34"/>
      <c r="O221" s="34"/>
    </row>
    <row r="222" spans="1:15" x14ac:dyDescent="0.25">
      <c r="A222" s="34"/>
      <c r="B222" s="34"/>
      <c r="C222" s="34"/>
      <c r="D222" s="34"/>
      <c r="E222" s="34"/>
      <c r="F222" s="34"/>
      <c r="G222" s="34"/>
      <c r="H222" s="34"/>
      <c r="I222" s="34"/>
      <c r="J222" s="34"/>
      <c r="K222" s="34"/>
      <c r="L222" s="34"/>
      <c r="M222" s="34"/>
      <c r="N222" s="34"/>
      <c r="O222" s="34"/>
    </row>
    <row r="223" spans="1:15" x14ac:dyDescent="0.25">
      <c r="A223" s="34"/>
      <c r="B223" s="34"/>
      <c r="C223" s="34"/>
      <c r="D223" s="34"/>
      <c r="E223" s="34"/>
      <c r="F223" s="34"/>
      <c r="G223" s="34"/>
      <c r="H223" s="34"/>
      <c r="I223" s="34"/>
      <c r="J223" s="34"/>
      <c r="K223" s="34"/>
      <c r="L223" s="34"/>
      <c r="M223" s="34"/>
      <c r="N223" s="34"/>
      <c r="O223" s="34"/>
    </row>
    <row r="224" spans="1:15" x14ac:dyDescent="0.25">
      <c r="A224" s="34"/>
      <c r="B224" s="34"/>
      <c r="C224" s="34"/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x14ac:dyDescent="0.25">
      <c r="A225" s="34"/>
      <c r="B225" s="34"/>
      <c r="C225" s="34"/>
      <c r="D225" s="34"/>
      <c r="E225" s="34"/>
      <c r="F225" s="34"/>
      <c r="G225" s="34"/>
      <c r="H225" s="34"/>
      <c r="I225" s="34"/>
      <c r="J225" s="34"/>
      <c r="K225" s="34"/>
      <c r="L225" s="34"/>
      <c r="M225" s="34"/>
      <c r="N225" s="34"/>
      <c r="O225" s="34"/>
    </row>
    <row r="226" spans="1:15" x14ac:dyDescent="0.25">
      <c r="A226" s="34"/>
      <c r="B226" s="34"/>
      <c r="C226" s="34"/>
      <c r="D226" s="34"/>
      <c r="E226" s="34"/>
      <c r="F226" s="34"/>
      <c r="G226" s="34"/>
      <c r="H226" s="34"/>
      <c r="I226" s="34"/>
      <c r="J226" s="34"/>
      <c r="K226" s="34"/>
      <c r="L226" s="34"/>
      <c r="M226" s="34"/>
      <c r="N226" s="34"/>
      <c r="O226" s="34"/>
    </row>
    <row r="227" spans="1:15" x14ac:dyDescent="0.25">
      <c r="A227" s="34"/>
      <c r="B227" s="34"/>
      <c r="C227" s="34"/>
      <c r="D227" s="34"/>
      <c r="E227" s="34"/>
      <c r="F227" s="34"/>
      <c r="G227" s="34"/>
      <c r="H227" s="34"/>
      <c r="I227" s="34"/>
      <c r="J227" s="34"/>
      <c r="K227" s="34"/>
      <c r="L227" s="34"/>
      <c r="M227" s="34"/>
      <c r="N227" s="34"/>
      <c r="O227" s="34"/>
    </row>
    <row r="228" spans="1:15" x14ac:dyDescent="0.25">
      <c r="A228" s="34"/>
      <c r="B228" s="34"/>
      <c r="C228" s="34"/>
      <c r="D228" s="34"/>
      <c r="E228" s="34"/>
      <c r="F228" s="34"/>
      <c r="G228" s="34"/>
      <c r="H228" s="34"/>
      <c r="I228" s="34"/>
      <c r="J228" s="34"/>
      <c r="K228" s="34"/>
      <c r="L228" s="34"/>
      <c r="M228" s="34"/>
      <c r="N228" s="34"/>
      <c r="O228" s="34"/>
    </row>
    <row r="229" spans="1:15" x14ac:dyDescent="0.25">
      <c r="A229" s="34"/>
      <c r="B229" s="34"/>
      <c r="C229" s="34"/>
      <c r="D229" s="34"/>
      <c r="E229" s="34"/>
      <c r="F229" s="34"/>
      <c r="G229" s="34"/>
      <c r="H229" s="34"/>
      <c r="I229" s="34"/>
      <c r="J229" s="34"/>
      <c r="K229" s="34"/>
      <c r="L229" s="34"/>
      <c r="M229" s="34"/>
      <c r="N229" s="34"/>
      <c r="O229" s="34"/>
    </row>
    <row r="230" spans="1:15" x14ac:dyDescent="0.25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</row>
    <row r="231" spans="1:15" x14ac:dyDescent="0.25">
      <c r="A231" s="34"/>
      <c r="B231" s="34"/>
      <c r="C231" s="34"/>
      <c r="D231" s="34"/>
      <c r="E231" s="34"/>
      <c r="F231" s="34"/>
      <c r="G231" s="34"/>
      <c r="H231" s="34"/>
      <c r="I231" s="34"/>
      <c r="J231" s="34"/>
      <c r="K231" s="34"/>
      <c r="L231" s="34"/>
      <c r="M231" s="34"/>
      <c r="N231" s="34"/>
      <c r="O231" s="34"/>
    </row>
    <row r="232" spans="1:15" x14ac:dyDescent="0.25">
      <c r="A232" s="34"/>
      <c r="B232" s="34"/>
      <c r="C232" s="34"/>
      <c r="D232" s="34"/>
      <c r="E232" s="34"/>
      <c r="F232" s="34"/>
      <c r="G232" s="34"/>
      <c r="H232" s="34"/>
      <c r="I232" s="34"/>
      <c r="J232" s="34"/>
      <c r="K232" s="34"/>
      <c r="L232" s="34"/>
      <c r="M232" s="34"/>
      <c r="N232" s="34"/>
      <c r="O232" s="34"/>
    </row>
    <row r="233" spans="1:15" x14ac:dyDescent="0.25">
      <c r="A233" s="34"/>
      <c r="B233" s="34"/>
      <c r="C233" s="34"/>
      <c r="D233" s="34"/>
      <c r="E233" s="34"/>
      <c r="F233" s="34"/>
      <c r="G233" s="34"/>
      <c r="H233" s="34"/>
      <c r="I233" s="34"/>
      <c r="J233" s="34"/>
      <c r="K233" s="34"/>
      <c r="L233" s="34"/>
      <c r="M233" s="34"/>
      <c r="N233" s="34"/>
      <c r="O233" s="34"/>
    </row>
    <row r="234" spans="1:15" x14ac:dyDescent="0.25">
      <c r="A234" s="34"/>
      <c r="B234" s="34"/>
      <c r="C234" s="34"/>
      <c r="D234" s="34"/>
      <c r="E234" s="34"/>
      <c r="F234" s="34"/>
      <c r="G234" s="34"/>
      <c r="H234" s="34"/>
      <c r="I234" s="34"/>
      <c r="J234" s="34"/>
      <c r="K234" s="34"/>
      <c r="L234" s="34"/>
      <c r="M234" s="34"/>
      <c r="N234" s="34"/>
      <c r="O234" s="34"/>
    </row>
    <row r="235" spans="1:15" x14ac:dyDescent="0.25">
      <c r="A235" s="34"/>
      <c r="B235" s="34"/>
      <c r="C235" s="34"/>
      <c r="D235" s="34"/>
      <c r="E235" s="34"/>
      <c r="F235" s="34"/>
      <c r="G235" s="34"/>
      <c r="H235" s="34"/>
      <c r="I235" s="34"/>
      <c r="J235" s="34"/>
      <c r="K235" s="34"/>
      <c r="L235" s="34"/>
      <c r="M235" s="34"/>
      <c r="N235" s="34"/>
      <c r="O235" s="34"/>
    </row>
    <row r="236" spans="1:15" x14ac:dyDescent="0.25">
      <c r="A236" s="34"/>
      <c r="B236" s="34"/>
      <c r="C236" s="34"/>
      <c r="D236" s="34"/>
      <c r="E236" s="34"/>
      <c r="F236" s="34"/>
      <c r="G236" s="34"/>
      <c r="H236" s="34"/>
      <c r="I236" s="34"/>
      <c r="J236" s="34"/>
      <c r="K236" s="34"/>
      <c r="L236" s="34"/>
      <c r="M236" s="34"/>
      <c r="N236" s="34"/>
      <c r="O236" s="34"/>
    </row>
    <row r="237" spans="1:15" x14ac:dyDescent="0.25">
      <c r="A237" s="34"/>
      <c r="B237" s="34"/>
      <c r="C237" s="34"/>
      <c r="D237" s="34"/>
      <c r="E237" s="34"/>
      <c r="F237" s="34"/>
      <c r="G237" s="34"/>
      <c r="H237" s="34"/>
      <c r="I237" s="34"/>
      <c r="J237" s="34"/>
      <c r="K237" s="34"/>
      <c r="L237" s="34"/>
      <c r="M237" s="34"/>
      <c r="N237" s="34"/>
      <c r="O237" s="34"/>
    </row>
    <row r="238" spans="1:15" x14ac:dyDescent="0.25">
      <c r="A238" s="34"/>
      <c r="B238" s="34"/>
      <c r="C238" s="34"/>
      <c r="D238" s="34"/>
      <c r="E238" s="34"/>
      <c r="F238" s="34"/>
      <c r="G238" s="34"/>
      <c r="H238" s="34"/>
      <c r="I238" s="34"/>
      <c r="J238" s="34"/>
      <c r="K238" s="34"/>
      <c r="L238" s="34"/>
      <c r="M238" s="34"/>
      <c r="N238" s="34"/>
      <c r="O238" s="34"/>
    </row>
    <row r="239" spans="1:15" x14ac:dyDescent="0.25">
      <c r="A239" s="34"/>
      <c r="B239" s="34"/>
      <c r="C239" s="34"/>
      <c r="D239" s="34"/>
      <c r="E239" s="34"/>
      <c r="F239" s="34"/>
      <c r="G239" s="34"/>
      <c r="H239" s="34"/>
      <c r="I239" s="34"/>
      <c r="J239" s="34"/>
      <c r="K239" s="34"/>
      <c r="L239" s="34"/>
      <c r="M239" s="34"/>
      <c r="N239" s="34"/>
      <c r="O239" s="34"/>
    </row>
    <row r="240" spans="1:15" x14ac:dyDescent="0.25">
      <c r="A240" s="34"/>
      <c r="B240" s="34"/>
      <c r="C240" s="34"/>
      <c r="D240" s="34"/>
      <c r="E240" s="34"/>
      <c r="F240" s="34"/>
      <c r="G240" s="34"/>
      <c r="H240" s="34"/>
      <c r="I240" s="34"/>
      <c r="J240" s="34"/>
      <c r="K240" s="34"/>
      <c r="L240" s="34"/>
      <c r="M240" s="34"/>
      <c r="N240" s="34"/>
      <c r="O240" s="34"/>
    </row>
    <row r="241" spans="1:15" x14ac:dyDescent="0.25">
      <c r="A241" s="34"/>
      <c r="B241" s="34"/>
      <c r="C241" s="34"/>
      <c r="D241" s="34"/>
      <c r="E241" s="34"/>
      <c r="F241" s="34"/>
      <c r="G241" s="34"/>
      <c r="H241" s="34"/>
      <c r="I241" s="34"/>
      <c r="J241" s="34"/>
      <c r="K241" s="34"/>
      <c r="L241" s="34"/>
      <c r="M241" s="34"/>
      <c r="N241" s="34"/>
      <c r="O241" s="34"/>
    </row>
    <row r="242" spans="1:15" x14ac:dyDescent="0.25">
      <c r="A242" s="34"/>
      <c r="B242" s="34"/>
      <c r="C242" s="3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5">
      <c r="A243" s="34"/>
      <c r="B243" s="34"/>
      <c r="C243" s="34"/>
      <c r="D243" s="34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5">
      <c r="A244" s="34"/>
      <c r="B244" s="34"/>
      <c r="C244" s="34"/>
      <c r="D244" s="34"/>
      <c r="E244" s="34"/>
      <c r="F244" s="34"/>
      <c r="G244" s="34"/>
      <c r="H244" s="34"/>
      <c r="I244" s="34"/>
      <c r="J244" s="34"/>
      <c r="K244" s="34"/>
      <c r="L244" s="34"/>
      <c r="M244" s="34"/>
      <c r="N244" s="34"/>
      <c r="O244" s="34"/>
    </row>
    <row r="245" spans="1:15" x14ac:dyDescent="0.25">
      <c r="A245" s="34"/>
      <c r="B245" s="34"/>
      <c r="C245" s="34"/>
      <c r="D245" s="34"/>
      <c r="E245" s="34"/>
      <c r="F245" s="34"/>
      <c r="G245" s="34"/>
      <c r="H245" s="34"/>
      <c r="I245" s="34"/>
      <c r="J245" s="34"/>
      <c r="K245" s="34"/>
      <c r="L245" s="34"/>
      <c r="M245" s="34"/>
      <c r="N245" s="34"/>
      <c r="O245" s="34"/>
    </row>
    <row r="246" spans="1:15" x14ac:dyDescent="0.25">
      <c r="A246" s="34"/>
      <c r="B246" s="34"/>
      <c r="C246" s="34"/>
      <c r="D246" s="34"/>
      <c r="E246" s="34"/>
      <c r="F246" s="34"/>
      <c r="G246" s="34"/>
      <c r="H246" s="34"/>
      <c r="I246" s="34"/>
      <c r="J246" s="34"/>
      <c r="K246" s="34"/>
      <c r="L246" s="34"/>
      <c r="M246" s="34"/>
      <c r="N246" s="34"/>
      <c r="O246" s="34"/>
    </row>
    <row r="247" spans="1:15" x14ac:dyDescent="0.25">
      <c r="A247" s="34"/>
      <c r="B247" s="34"/>
      <c r="C247" s="34"/>
      <c r="D247" s="34"/>
      <c r="E247" s="34"/>
      <c r="F247" s="34"/>
      <c r="G247" s="34"/>
      <c r="H247" s="34"/>
      <c r="I247" s="34"/>
      <c r="J247" s="34"/>
      <c r="K247" s="34"/>
      <c r="L247" s="34"/>
      <c r="M247" s="34"/>
      <c r="N247" s="34"/>
      <c r="O247" s="34"/>
    </row>
    <row r="248" spans="1:15" x14ac:dyDescent="0.25">
      <c r="A248" s="34"/>
      <c r="B248" s="34"/>
      <c r="C248" s="34"/>
      <c r="D248" s="34"/>
      <c r="E248" s="34"/>
      <c r="F248" s="34"/>
      <c r="G248" s="34"/>
      <c r="H248" s="34"/>
      <c r="I248" s="34"/>
      <c r="J248" s="34"/>
      <c r="K248" s="34"/>
      <c r="L248" s="34"/>
      <c r="M248" s="34"/>
      <c r="N248" s="34"/>
      <c r="O248" s="34"/>
    </row>
    <row r="249" spans="1:15" x14ac:dyDescent="0.25">
      <c r="A249" s="34"/>
      <c r="B249" s="34"/>
      <c r="C249" s="34"/>
      <c r="D249" s="34"/>
      <c r="E249" s="34"/>
      <c r="F249" s="34"/>
      <c r="G249" s="34"/>
      <c r="H249" s="34"/>
      <c r="I249" s="34"/>
      <c r="J249" s="34"/>
      <c r="K249" s="34"/>
      <c r="L249" s="34"/>
      <c r="M249" s="34"/>
      <c r="N249" s="34"/>
      <c r="O249" s="34"/>
    </row>
    <row r="250" spans="1:15" x14ac:dyDescent="0.25">
      <c r="A250" s="34"/>
      <c r="B250" s="34"/>
      <c r="C250" s="34"/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x14ac:dyDescent="0.25">
      <c r="A251" s="34"/>
      <c r="B251" s="34"/>
      <c r="C251" s="34"/>
      <c r="D251" s="34"/>
      <c r="E251" s="34"/>
      <c r="F251" s="34"/>
      <c r="G251" s="34"/>
      <c r="H251" s="34"/>
      <c r="I251" s="34"/>
      <c r="J251" s="34"/>
      <c r="K251" s="34"/>
      <c r="L251" s="34"/>
      <c r="M251" s="34"/>
      <c r="N251" s="34"/>
      <c r="O251" s="34"/>
    </row>
    <row r="252" spans="1:15" x14ac:dyDescent="0.25">
      <c r="A252" s="34"/>
      <c r="B252" s="34"/>
      <c r="C252" s="34"/>
      <c r="D252" s="34"/>
      <c r="E252" s="34"/>
      <c r="F252" s="34"/>
      <c r="G252" s="34"/>
      <c r="H252" s="34"/>
      <c r="I252" s="34"/>
      <c r="J252" s="34"/>
      <c r="K252" s="34"/>
      <c r="L252" s="34"/>
      <c r="M252" s="34"/>
      <c r="N252" s="34"/>
      <c r="O252" s="34"/>
    </row>
    <row r="253" spans="1:15" x14ac:dyDescent="0.25">
      <c r="A253" s="34"/>
      <c r="B253" s="34"/>
      <c r="C253" s="34"/>
      <c r="D253" s="34"/>
      <c r="E253" s="34"/>
      <c r="F253" s="34"/>
      <c r="G253" s="34"/>
      <c r="H253" s="34"/>
      <c r="I253" s="34"/>
      <c r="J253" s="34"/>
      <c r="K253" s="34"/>
      <c r="L253" s="34"/>
      <c r="M253" s="34"/>
      <c r="N253" s="34"/>
      <c r="O253" s="34"/>
    </row>
    <row r="254" spans="1:15" x14ac:dyDescent="0.25">
      <c r="A254" s="34"/>
      <c r="B254" s="34"/>
      <c r="C254" s="34"/>
      <c r="D254" s="34"/>
      <c r="E254" s="34"/>
      <c r="F254" s="34"/>
      <c r="G254" s="34"/>
      <c r="H254" s="34"/>
      <c r="I254" s="34"/>
      <c r="J254" s="34"/>
      <c r="K254" s="34"/>
      <c r="L254" s="34"/>
      <c r="M254" s="34"/>
      <c r="N254" s="34"/>
      <c r="O254" s="34"/>
    </row>
    <row r="255" spans="1:15" x14ac:dyDescent="0.25">
      <c r="A255" s="34"/>
      <c r="B255" s="34"/>
      <c r="C255" s="34"/>
      <c r="D255" s="34"/>
      <c r="E255" s="34"/>
      <c r="F255" s="34"/>
      <c r="G255" s="34"/>
      <c r="H255" s="34"/>
      <c r="I255" s="34"/>
      <c r="J255" s="34"/>
      <c r="K255" s="34"/>
      <c r="L255" s="34"/>
      <c r="M255" s="34"/>
      <c r="N255" s="34"/>
      <c r="O255" s="34"/>
    </row>
    <row r="256" spans="1:15" x14ac:dyDescent="0.25">
      <c r="A256" s="34"/>
      <c r="B256" s="34"/>
      <c r="C256" s="34"/>
      <c r="D256" s="34"/>
      <c r="E256" s="34"/>
      <c r="F256" s="34"/>
      <c r="G256" s="34"/>
      <c r="H256" s="34"/>
      <c r="I256" s="34"/>
      <c r="J256" s="34"/>
      <c r="K256" s="34"/>
      <c r="L256" s="34"/>
      <c r="M256" s="34"/>
      <c r="N256" s="34"/>
      <c r="O256" s="34"/>
    </row>
    <row r="257" spans="1:15" x14ac:dyDescent="0.25">
      <c r="A257" s="34"/>
      <c r="B257" s="34"/>
      <c r="C257" s="34"/>
      <c r="D257" s="34"/>
      <c r="E257" s="34"/>
      <c r="F257" s="34"/>
      <c r="G257" s="34"/>
      <c r="H257" s="34"/>
      <c r="I257" s="34"/>
      <c r="J257" s="34"/>
      <c r="K257" s="34"/>
      <c r="L257" s="34"/>
      <c r="M257" s="34"/>
      <c r="N257" s="34"/>
      <c r="O257" s="34"/>
    </row>
    <row r="258" spans="1:15" x14ac:dyDescent="0.25">
      <c r="A258" s="34"/>
      <c r="B258" s="34"/>
      <c r="C258" s="34"/>
      <c r="D258" s="34"/>
      <c r="E258" s="34"/>
      <c r="F258" s="34"/>
      <c r="G258" s="34"/>
      <c r="H258" s="34"/>
      <c r="I258" s="34"/>
      <c r="J258" s="34"/>
      <c r="K258" s="34"/>
      <c r="L258" s="34"/>
      <c r="M258" s="34"/>
      <c r="N258" s="34"/>
      <c r="O258" s="34"/>
    </row>
    <row r="259" spans="1:15" x14ac:dyDescent="0.25">
      <c r="A259" s="34"/>
      <c r="B259" s="34"/>
      <c r="C259" s="34"/>
      <c r="D259" s="34"/>
      <c r="E259" s="34"/>
      <c r="F259" s="34"/>
      <c r="G259" s="34"/>
      <c r="H259" s="34"/>
      <c r="I259" s="34"/>
      <c r="J259" s="34"/>
      <c r="K259" s="34"/>
      <c r="L259" s="34"/>
      <c r="M259" s="34"/>
      <c r="N259" s="34"/>
      <c r="O259" s="34"/>
    </row>
    <row r="260" spans="1:15" x14ac:dyDescent="0.25">
      <c r="A260" s="34"/>
      <c r="B260" s="34"/>
      <c r="C260" s="34"/>
      <c r="D260" s="34"/>
      <c r="E260" s="34"/>
      <c r="F260" s="34"/>
      <c r="G260" s="34"/>
      <c r="H260" s="34"/>
      <c r="I260" s="34"/>
      <c r="J260" s="34"/>
      <c r="K260" s="34"/>
      <c r="L260" s="34"/>
      <c r="M260" s="34"/>
      <c r="N260" s="34"/>
      <c r="O260" s="34"/>
    </row>
    <row r="261" spans="1:15" x14ac:dyDescent="0.25">
      <c r="A261" s="34"/>
      <c r="B261" s="34"/>
      <c r="C261" s="34"/>
      <c r="D261" s="34"/>
      <c r="E261" s="34"/>
      <c r="F261" s="34"/>
      <c r="G261" s="34"/>
      <c r="H261" s="34"/>
      <c r="I261" s="34"/>
      <c r="J261" s="34"/>
      <c r="K261" s="34"/>
      <c r="L261" s="34"/>
      <c r="M261" s="34"/>
      <c r="N261" s="34"/>
      <c r="O261" s="34"/>
    </row>
    <row r="262" spans="1:15" x14ac:dyDescent="0.25">
      <c r="A262" s="34"/>
      <c r="B262" s="34"/>
      <c r="C262" s="34"/>
      <c r="D262" s="34"/>
      <c r="E262" s="34"/>
      <c r="F262" s="34"/>
      <c r="G262" s="34"/>
      <c r="H262" s="34"/>
      <c r="I262" s="34"/>
      <c r="J262" s="34"/>
      <c r="K262" s="34"/>
      <c r="L262" s="34"/>
      <c r="M262" s="34"/>
      <c r="N262" s="34"/>
      <c r="O262" s="34"/>
    </row>
    <row r="263" spans="1:15" x14ac:dyDescent="0.25">
      <c r="A263" s="34"/>
      <c r="B263" s="34"/>
      <c r="C263" s="34"/>
      <c r="D263" s="34"/>
      <c r="E263" s="34"/>
      <c r="F263" s="34"/>
      <c r="G263" s="34"/>
      <c r="H263" s="34"/>
      <c r="I263" s="34"/>
      <c r="J263" s="34"/>
      <c r="K263" s="34"/>
      <c r="L263" s="34"/>
      <c r="M263" s="34"/>
      <c r="N263" s="34"/>
      <c r="O263" s="34"/>
    </row>
    <row r="264" spans="1:15" x14ac:dyDescent="0.25">
      <c r="A264" s="34"/>
      <c r="B264" s="34"/>
      <c r="C264" s="34"/>
      <c r="D264" s="34"/>
      <c r="E264" s="34"/>
      <c r="F264" s="34"/>
      <c r="G264" s="34"/>
      <c r="H264" s="34"/>
      <c r="I264" s="34"/>
      <c r="J264" s="34"/>
      <c r="K264" s="34"/>
      <c r="L264" s="34"/>
      <c r="M264" s="34"/>
      <c r="N264" s="34"/>
      <c r="O264" s="34"/>
    </row>
    <row r="265" spans="1:15" x14ac:dyDescent="0.25">
      <c r="A265" s="34"/>
      <c r="B265" s="34"/>
      <c r="C265" s="34"/>
      <c r="D265" s="34"/>
      <c r="E265" s="34"/>
      <c r="F265" s="34"/>
      <c r="G265" s="34"/>
      <c r="H265" s="34"/>
      <c r="I265" s="34"/>
      <c r="J265" s="34"/>
      <c r="K265" s="34"/>
      <c r="L265" s="34"/>
      <c r="M265" s="34"/>
      <c r="N265" s="34"/>
      <c r="O265" s="34"/>
    </row>
    <row r="266" spans="1:15" x14ac:dyDescent="0.25">
      <c r="A266" s="34"/>
      <c r="B266" s="34"/>
      <c r="C266" s="34"/>
      <c r="D266" s="34"/>
      <c r="E266" s="34"/>
      <c r="F266" s="34"/>
      <c r="G266" s="34"/>
      <c r="H266" s="34"/>
      <c r="I266" s="34"/>
      <c r="J266" s="34"/>
      <c r="K266" s="34"/>
      <c r="L266" s="34"/>
      <c r="M266" s="34"/>
      <c r="N266" s="34"/>
      <c r="O266" s="34"/>
    </row>
    <row r="267" spans="1:15" x14ac:dyDescent="0.25">
      <c r="A267" s="34"/>
      <c r="B267" s="34"/>
      <c r="C267" s="3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5">
      <c r="A268" s="34"/>
      <c r="B268" s="34"/>
      <c r="C268" s="34"/>
      <c r="D268" s="34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5">
      <c r="A269" s="34"/>
      <c r="B269" s="34"/>
      <c r="C269" s="34"/>
      <c r="D269" s="34"/>
      <c r="E269" s="34"/>
      <c r="F269" s="34"/>
      <c r="G269" s="34"/>
      <c r="H269" s="34"/>
      <c r="I269" s="34"/>
      <c r="J269" s="34"/>
      <c r="K269" s="34"/>
      <c r="L269" s="34"/>
      <c r="M269" s="34"/>
      <c r="N269" s="34"/>
      <c r="O269" s="34"/>
    </row>
    <row r="270" spans="1:15" x14ac:dyDescent="0.25">
      <c r="A270" s="34"/>
      <c r="B270" s="34"/>
      <c r="C270" s="34"/>
      <c r="D270" s="34"/>
      <c r="E270" s="34"/>
      <c r="F270" s="34"/>
      <c r="G270" s="34"/>
      <c r="H270" s="34"/>
      <c r="I270" s="34"/>
      <c r="J270" s="34"/>
      <c r="K270" s="34"/>
      <c r="L270" s="34"/>
      <c r="M270" s="34"/>
      <c r="N270" s="34"/>
      <c r="O270" s="34"/>
    </row>
    <row r="271" spans="1:15" x14ac:dyDescent="0.25">
      <c r="A271" s="34"/>
      <c r="B271" s="34"/>
      <c r="C271" s="34"/>
      <c r="D271" s="34"/>
      <c r="E271" s="34"/>
      <c r="F271" s="34"/>
      <c r="G271" s="34"/>
      <c r="H271" s="34"/>
      <c r="I271" s="34"/>
      <c r="J271" s="34"/>
      <c r="K271" s="34"/>
      <c r="L271" s="34"/>
      <c r="M271" s="34"/>
      <c r="N271" s="34"/>
      <c r="O271" s="34"/>
    </row>
    <row r="272" spans="1:15" x14ac:dyDescent="0.25">
      <c r="A272" s="34"/>
      <c r="B272" s="34"/>
      <c r="C272" s="34"/>
      <c r="D272" s="34"/>
      <c r="E272" s="34"/>
      <c r="F272" s="34"/>
      <c r="G272" s="34"/>
      <c r="H272" s="34"/>
      <c r="I272" s="34"/>
      <c r="J272" s="34"/>
      <c r="K272" s="34"/>
      <c r="L272" s="34"/>
      <c r="M272" s="34"/>
      <c r="N272" s="34"/>
      <c r="O272" s="34"/>
    </row>
    <row r="273" spans="1:15" x14ac:dyDescent="0.25">
      <c r="A273" s="34"/>
      <c r="B273" s="34"/>
      <c r="C273" s="34"/>
      <c r="D273" s="34"/>
      <c r="E273" s="34"/>
      <c r="F273" s="34"/>
      <c r="G273" s="34"/>
      <c r="H273" s="34"/>
      <c r="I273" s="34"/>
      <c r="J273" s="34"/>
      <c r="K273" s="34"/>
      <c r="L273" s="34"/>
      <c r="M273" s="34"/>
      <c r="N273" s="34"/>
      <c r="O273" s="34"/>
    </row>
    <row r="274" spans="1:15" x14ac:dyDescent="0.25">
      <c r="A274" s="34"/>
      <c r="B274" s="34"/>
      <c r="C274" s="34"/>
      <c r="D274" s="34"/>
      <c r="E274" s="34"/>
      <c r="F274" s="34"/>
      <c r="G274" s="34"/>
      <c r="H274" s="34"/>
      <c r="I274" s="34"/>
      <c r="J274" s="34"/>
      <c r="K274" s="34"/>
      <c r="L274" s="34"/>
      <c r="M274" s="34"/>
      <c r="N274" s="34"/>
      <c r="O274" s="34"/>
    </row>
    <row r="275" spans="1:15" x14ac:dyDescent="0.25">
      <c r="A275" s="34"/>
      <c r="B275" s="34"/>
      <c r="C275" s="34"/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x14ac:dyDescent="0.25">
      <c r="A276" s="34"/>
      <c r="B276" s="34"/>
      <c r="C276" s="34"/>
      <c r="D276" s="34"/>
      <c r="E276" s="34"/>
      <c r="F276" s="34"/>
      <c r="G276" s="34"/>
      <c r="H276" s="34"/>
      <c r="I276" s="34"/>
      <c r="J276" s="34"/>
      <c r="K276" s="34"/>
      <c r="L276" s="34"/>
      <c r="M276" s="34"/>
      <c r="N276" s="34"/>
      <c r="O276" s="34"/>
    </row>
    <row r="277" spans="1:15" x14ac:dyDescent="0.25">
      <c r="A277" s="34"/>
      <c r="B277" s="34"/>
      <c r="C277" s="34"/>
      <c r="D277" s="34"/>
      <c r="E277" s="34"/>
      <c r="F277" s="34"/>
      <c r="G277" s="34"/>
      <c r="H277" s="34"/>
      <c r="I277" s="34"/>
      <c r="J277" s="34"/>
      <c r="K277" s="34"/>
      <c r="L277" s="34"/>
      <c r="M277" s="34"/>
      <c r="N277" s="34"/>
      <c r="O277" s="34"/>
    </row>
    <row r="278" spans="1:15" x14ac:dyDescent="0.25">
      <c r="A278" s="34"/>
      <c r="B278" s="34"/>
      <c r="C278" s="34"/>
      <c r="D278" s="34"/>
      <c r="E278" s="34"/>
      <c r="F278" s="34"/>
      <c r="G278" s="34"/>
      <c r="H278" s="34"/>
      <c r="I278" s="34"/>
      <c r="J278" s="34"/>
      <c r="K278" s="34"/>
      <c r="L278" s="34"/>
      <c r="M278" s="34"/>
      <c r="N278" s="34"/>
      <c r="O278" s="34"/>
    </row>
    <row r="279" spans="1:15" x14ac:dyDescent="0.25">
      <c r="A279" s="34"/>
      <c r="B279" s="34"/>
      <c r="C279" s="34"/>
      <c r="D279" s="34"/>
      <c r="E279" s="34"/>
      <c r="F279" s="34"/>
      <c r="G279" s="34"/>
      <c r="H279" s="34"/>
      <c r="I279" s="34"/>
      <c r="J279" s="34"/>
      <c r="K279" s="34"/>
      <c r="L279" s="34"/>
      <c r="M279" s="34"/>
      <c r="N279" s="34"/>
      <c r="O279" s="34"/>
    </row>
    <row r="280" spans="1:15" x14ac:dyDescent="0.25">
      <c r="A280" s="34"/>
      <c r="B280" s="34"/>
      <c r="C280" s="34"/>
      <c r="D280" s="34"/>
      <c r="E280" s="34"/>
      <c r="F280" s="34"/>
      <c r="G280" s="34"/>
      <c r="H280" s="34"/>
      <c r="I280" s="34"/>
      <c r="J280" s="34"/>
      <c r="K280" s="34"/>
      <c r="L280" s="34"/>
      <c r="M280" s="34"/>
      <c r="N280" s="34"/>
      <c r="O280" s="34"/>
    </row>
    <row r="281" spans="1:15" x14ac:dyDescent="0.25">
      <c r="A281" s="34"/>
      <c r="B281" s="34"/>
      <c r="C281" s="34"/>
      <c r="D281" s="34"/>
      <c r="E281" s="34"/>
      <c r="F281" s="34"/>
      <c r="G281" s="34"/>
      <c r="H281" s="34"/>
      <c r="I281" s="34"/>
      <c r="J281" s="34"/>
      <c r="K281" s="34"/>
      <c r="L281" s="34"/>
      <c r="M281" s="34"/>
      <c r="N281" s="34"/>
      <c r="O281" s="34"/>
    </row>
    <row r="282" spans="1:15" x14ac:dyDescent="0.25">
      <c r="A282" s="34"/>
      <c r="B282" s="34"/>
      <c r="C282" s="34"/>
      <c r="D282" s="34"/>
      <c r="E282" s="34"/>
      <c r="F282" s="34"/>
      <c r="G282" s="34"/>
      <c r="H282" s="34"/>
      <c r="I282" s="34"/>
      <c r="J282" s="34"/>
      <c r="K282" s="34"/>
      <c r="L282" s="34"/>
      <c r="M282" s="34"/>
      <c r="N282" s="34"/>
      <c r="O282" s="34"/>
    </row>
    <row r="283" spans="1:15" x14ac:dyDescent="0.25">
      <c r="A283" s="34"/>
      <c r="B283" s="34"/>
      <c r="C283" s="34"/>
      <c r="D283" s="34"/>
      <c r="E283" s="34"/>
      <c r="F283" s="34"/>
      <c r="G283" s="34"/>
      <c r="H283" s="34"/>
      <c r="I283" s="34"/>
      <c r="J283" s="34"/>
      <c r="K283" s="34"/>
      <c r="L283" s="34"/>
      <c r="M283" s="34"/>
      <c r="N283" s="34"/>
      <c r="O283" s="34"/>
    </row>
    <row r="284" spans="1:15" x14ac:dyDescent="0.25">
      <c r="A284" s="34"/>
      <c r="B284" s="34"/>
      <c r="C284" s="34"/>
      <c r="D284" s="34"/>
      <c r="E284" s="34"/>
      <c r="F284" s="34"/>
      <c r="G284" s="34"/>
      <c r="H284" s="34"/>
      <c r="I284" s="34"/>
      <c r="J284" s="34"/>
      <c r="K284" s="34"/>
      <c r="L284" s="34"/>
      <c r="M284" s="34"/>
      <c r="N284" s="34"/>
      <c r="O284" s="34"/>
    </row>
    <row r="285" spans="1:15" x14ac:dyDescent="0.25">
      <c r="A285" s="34"/>
      <c r="B285" s="34"/>
      <c r="C285" s="34"/>
      <c r="D285" s="34"/>
      <c r="E285" s="34"/>
      <c r="F285" s="34"/>
      <c r="G285" s="34"/>
      <c r="H285" s="34"/>
      <c r="I285" s="34"/>
      <c r="J285" s="34"/>
      <c r="K285" s="34"/>
      <c r="L285" s="34"/>
      <c r="M285" s="34"/>
      <c r="N285" s="34"/>
      <c r="O285" s="34"/>
    </row>
    <row r="286" spans="1:15" x14ac:dyDescent="0.25">
      <c r="A286" s="34"/>
      <c r="B286" s="34"/>
      <c r="C286" s="34"/>
      <c r="D286" s="34"/>
      <c r="E286" s="34"/>
      <c r="F286" s="34"/>
      <c r="G286" s="34"/>
      <c r="H286" s="34"/>
      <c r="I286" s="34"/>
      <c r="J286" s="34"/>
      <c r="K286" s="34"/>
      <c r="L286" s="34"/>
      <c r="M286" s="34"/>
      <c r="N286" s="34"/>
      <c r="O286" s="34"/>
    </row>
    <row r="287" spans="1:15" x14ac:dyDescent="0.25">
      <c r="A287" s="34"/>
      <c r="B287" s="34"/>
      <c r="C287" s="34"/>
      <c r="D287" s="34"/>
      <c r="E287" s="34"/>
      <c r="F287" s="34"/>
      <c r="G287" s="34"/>
      <c r="H287" s="34"/>
      <c r="I287" s="34"/>
      <c r="J287" s="34"/>
      <c r="K287" s="34"/>
      <c r="L287" s="34"/>
      <c r="M287" s="34"/>
      <c r="N287" s="34"/>
      <c r="O287" s="34"/>
    </row>
    <row r="288" spans="1:15" x14ac:dyDescent="0.25">
      <c r="A288" s="34"/>
      <c r="B288" s="34"/>
      <c r="C288" s="34"/>
      <c r="D288" s="34"/>
      <c r="E288" s="34"/>
      <c r="F288" s="34"/>
      <c r="G288" s="34"/>
      <c r="H288" s="34"/>
      <c r="I288" s="34"/>
      <c r="J288" s="34"/>
      <c r="K288" s="34"/>
      <c r="L288" s="34"/>
      <c r="M288" s="34"/>
      <c r="N288" s="34"/>
      <c r="O288" s="34"/>
    </row>
    <row r="289" spans="1:15" x14ac:dyDescent="0.25">
      <c r="A289" s="34"/>
      <c r="B289" s="34"/>
      <c r="C289" s="34"/>
      <c r="D289" s="34"/>
      <c r="E289" s="34"/>
      <c r="F289" s="34"/>
      <c r="G289" s="34"/>
      <c r="H289" s="34"/>
      <c r="I289" s="34"/>
      <c r="J289" s="34"/>
      <c r="K289" s="34"/>
      <c r="L289" s="34"/>
      <c r="M289" s="34"/>
      <c r="N289" s="34"/>
      <c r="O289" s="34"/>
    </row>
    <row r="290" spans="1:15" x14ac:dyDescent="0.25">
      <c r="A290" s="34"/>
      <c r="B290" s="34"/>
      <c r="C290" s="34"/>
      <c r="D290" s="34"/>
      <c r="E290" s="34"/>
      <c r="F290" s="34"/>
      <c r="G290" s="34"/>
      <c r="H290" s="34"/>
      <c r="I290" s="34"/>
      <c r="J290" s="34"/>
      <c r="K290" s="34"/>
      <c r="L290" s="34"/>
      <c r="M290" s="34"/>
      <c r="N290" s="34"/>
      <c r="O290" s="34"/>
    </row>
    <row r="291" spans="1:15" x14ac:dyDescent="0.25">
      <c r="A291" s="34"/>
      <c r="B291" s="34"/>
      <c r="C291" s="34"/>
      <c r="D291" s="34"/>
      <c r="E291" s="34"/>
      <c r="F291" s="34"/>
      <c r="G291" s="34"/>
      <c r="H291" s="34"/>
      <c r="I291" s="34"/>
      <c r="J291" s="34"/>
      <c r="K291" s="34"/>
      <c r="L291" s="34"/>
      <c r="M291" s="34"/>
      <c r="N291" s="34"/>
      <c r="O291" s="34"/>
    </row>
    <row r="292" spans="1:15" x14ac:dyDescent="0.25">
      <c r="A292" s="34"/>
      <c r="B292" s="34"/>
      <c r="C292" s="3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5">
      <c r="A293" s="34"/>
      <c r="B293" s="34"/>
      <c r="C293" s="34"/>
      <c r="D293" s="34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5">
      <c r="A294" s="34"/>
      <c r="B294" s="34"/>
      <c r="C294" s="34"/>
      <c r="D294" s="34"/>
      <c r="E294" s="34"/>
      <c r="F294" s="34"/>
      <c r="G294" s="34"/>
      <c r="H294" s="34"/>
      <c r="I294" s="34"/>
      <c r="J294" s="34"/>
      <c r="K294" s="34"/>
      <c r="L294" s="34"/>
      <c r="M294" s="34"/>
      <c r="N294" s="34"/>
      <c r="O294" s="34"/>
    </row>
    <row r="295" spans="1:15" x14ac:dyDescent="0.25">
      <c r="A295" s="34"/>
      <c r="B295" s="34"/>
      <c r="C295" s="34"/>
      <c r="D295" s="34"/>
      <c r="E295" s="34"/>
      <c r="F295" s="34"/>
      <c r="G295" s="34"/>
      <c r="H295" s="34"/>
      <c r="I295" s="34"/>
      <c r="J295" s="34"/>
      <c r="K295" s="34"/>
      <c r="L295" s="34"/>
      <c r="M295" s="34"/>
      <c r="N295" s="34"/>
      <c r="O295" s="34"/>
    </row>
    <row r="296" spans="1:15" x14ac:dyDescent="0.25">
      <c r="A296" s="34"/>
      <c r="B296" s="34"/>
      <c r="C296" s="34"/>
      <c r="D296" s="34"/>
      <c r="E296" s="34"/>
      <c r="F296" s="34"/>
      <c r="G296" s="34"/>
      <c r="H296" s="34"/>
      <c r="I296" s="34"/>
      <c r="J296" s="34"/>
      <c r="K296" s="34"/>
      <c r="L296" s="34"/>
      <c r="M296" s="34"/>
      <c r="N296" s="34"/>
      <c r="O296" s="34"/>
    </row>
    <row r="297" spans="1:15" x14ac:dyDescent="0.25">
      <c r="A297" s="34"/>
      <c r="B297" s="34"/>
      <c r="C297" s="34"/>
      <c r="D297" s="34"/>
      <c r="E297" s="34"/>
      <c r="F297" s="34"/>
      <c r="G297" s="34"/>
      <c r="H297" s="34"/>
      <c r="I297" s="34"/>
      <c r="J297" s="34"/>
      <c r="K297" s="34"/>
      <c r="L297" s="34"/>
      <c r="M297" s="34"/>
      <c r="N297" s="34"/>
      <c r="O297" s="34"/>
    </row>
    <row r="298" spans="1:15" x14ac:dyDescent="0.25">
      <c r="A298" s="34"/>
      <c r="B298" s="34"/>
      <c r="C298" s="34"/>
      <c r="D298" s="34"/>
      <c r="E298" s="34"/>
      <c r="F298" s="34"/>
      <c r="G298" s="34"/>
      <c r="H298" s="34"/>
      <c r="I298" s="34"/>
      <c r="J298" s="34"/>
      <c r="K298" s="34"/>
      <c r="L298" s="34"/>
      <c r="M298" s="34"/>
      <c r="N298" s="34"/>
      <c r="O298" s="34"/>
    </row>
    <row r="299" spans="1:15" x14ac:dyDescent="0.25">
      <c r="A299" s="34"/>
      <c r="B299" s="34"/>
      <c r="C299" s="34"/>
      <c r="D299" s="34"/>
      <c r="E299" s="34"/>
      <c r="F299" s="34"/>
      <c r="G299" s="34"/>
      <c r="H299" s="34"/>
      <c r="I299" s="34"/>
      <c r="J299" s="34"/>
      <c r="K299" s="34"/>
      <c r="L299" s="34"/>
      <c r="M299" s="34"/>
      <c r="N299" s="34"/>
      <c r="O299" s="34"/>
    </row>
    <row r="300" spans="1:15" x14ac:dyDescent="0.25">
      <c r="A300" s="34"/>
      <c r="B300" s="34"/>
      <c r="C300" s="34"/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x14ac:dyDescent="0.25">
      <c r="A301" s="34"/>
      <c r="B301" s="34"/>
      <c r="C301" s="34"/>
      <c r="D301" s="34"/>
      <c r="E301" s="34"/>
      <c r="F301" s="34"/>
      <c r="G301" s="34"/>
      <c r="H301" s="34"/>
      <c r="I301" s="34"/>
      <c r="J301" s="34"/>
      <c r="K301" s="34"/>
      <c r="L301" s="34"/>
      <c r="M301" s="34"/>
      <c r="N301" s="34"/>
      <c r="O301" s="34"/>
    </row>
    <row r="302" spans="1:15" x14ac:dyDescent="0.25">
      <c r="A302" s="34"/>
      <c r="B302" s="34"/>
      <c r="C302" s="34"/>
      <c r="D302" s="34"/>
      <c r="E302" s="34"/>
      <c r="F302" s="34"/>
      <c r="G302" s="34"/>
      <c r="H302" s="34"/>
      <c r="I302" s="34"/>
      <c r="J302" s="34"/>
      <c r="K302" s="34"/>
      <c r="L302" s="34"/>
      <c r="M302" s="34"/>
      <c r="N302" s="34"/>
      <c r="O302" s="34"/>
    </row>
    <row r="303" spans="1:15" x14ac:dyDescent="0.25">
      <c r="A303" s="34"/>
      <c r="B303" s="34"/>
      <c r="C303" s="34"/>
      <c r="D303" s="34"/>
      <c r="E303" s="34"/>
      <c r="F303" s="34"/>
      <c r="G303" s="34"/>
      <c r="H303" s="34"/>
      <c r="I303" s="34"/>
      <c r="J303" s="34"/>
      <c r="K303" s="34"/>
      <c r="L303" s="34"/>
      <c r="M303" s="34"/>
      <c r="N303" s="34"/>
      <c r="O303" s="34"/>
    </row>
    <row r="304" spans="1:15" x14ac:dyDescent="0.25">
      <c r="A304" s="34"/>
      <c r="B304" s="34"/>
      <c r="C304" s="34"/>
      <c r="D304" s="34"/>
      <c r="E304" s="34"/>
      <c r="F304" s="34"/>
      <c r="G304" s="34"/>
      <c r="H304" s="34"/>
      <c r="I304" s="34"/>
      <c r="J304" s="34"/>
      <c r="K304" s="34"/>
      <c r="L304" s="34"/>
      <c r="M304" s="34"/>
      <c r="N304" s="34"/>
      <c r="O304" s="34"/>
    </row>
    <row r="305" spans="1:15" x14ac:dyDescent="0.25">
      <c r="A305" s="34"/>
      <c r="B305" s="34"/>
      <c r="C305" s="34"/>
      <c r="D305" s="34"/>
      <c r="E305" s="34"/>
      <c r="F305" s="34"/>
      <c r="G305" s="34"/>
      <c r="H305" s="34"/>
      <c r="I305" s="34"/>
      <c r="J305" s="34"/>
      <c r="K305" s="34"/>
      <c r="L305" s="34"/>
      <c r="M305" s="34"/>
      <c r="N305" s="34"/>
      <c r="O305" s="34"/>
    </row>
    <row r="306" spans="1:15" x14ac:dyDescent="0.25">
      <c r="A306" s="34"/>
      <c r="B306" s="34"/>
      <c r="C306" s="34"/>
      <c r="D306" s="34"/>
      <c r="E306" s="34"/>
      <c r="F306" s="34"/>
      <c r="G306" s="34"/>
      <c r="H306" s="34"/>
      <c r="I306" s="34"/>
      <c r="J306" s="34"/>
      <c r="K306" s="34"/>
      <c r="L306" s="34"/>
      <c r="M306" s="34"/>
      <c r="N306" s="34"/>
      <c r="O306" s="34"/>
    </row>
    <row r="307" spans="1:15" x14ac:dyDescent="0.25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4"/>
      <c r="O307" s="34"/>
    </row>
    <row r="308" spans="1:15" x14ac:dyDescent="0.25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4"/>
      <c r="O308" s="34"/>
    </row>
    <row r="309" spans="1:15" x14ac:dyDescent="0.25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4"/>
      <c r="O309" s="34"/>
    </row>
    <row r="310" spans="1:15" x14ac:dyDescent="0.25">
      <c r="A310" s="34"/>
      <c r="B310" s="34"/>
      <c r="C310" s="34"/>
      <c r="D310" s="34"/>
      <c r="E310" s="34"/>
      <c r="F310" s="34"/>
      <c r="G310" s="34"/>
      <c r="H310" s="34"/>
      <c r="I310" s="34"/>
      <c r="J310" s="34"/>
      <c r="K310" s="34"/>
      <c r="L310" s="34"/>
      <c r="M310" s="34"/>
      <c r="N310" s="34"/>
      <c r="O310" s="34"/>
    </row>
    <row r="311" spans="1:15" x14ac:dyDescent="0.25">
      <c r="A311" s="34"/>
      <c r="B311" s="34"/>
      <c r="C311" s="34"/>
      <c r="D311" s="34"/>
      <c r="E311" s="34"/>
      <c r="F311" s="34"/>
      <c r="G311" s="34"/>
      <c r="H311" s="34"/>
      <c r="I311" s="34"/>
      <c r="J311" s="34"/>
      <c r="K311" s="34"/>
      <c r="L311" s="34"/>
      <c r="M311" s="34"/>
      <c r="N311" s="34"/>
      <c r="O311" s="34"/>
    </row>
    <row r="312" spans="1:15" x14ac:dyDescent="0.25">
      <c r="A312" s="34"/>
      <c r="B312" s="34"/>
      <c r="C312" s="34"/>
      <c r="D312" s="34"/>
      <c r="E312" s="34"/>
      <c r="F312" s="34"/>
      <c r="G312" s="34"/>
      <c r="H312" s="34"/>
      <c r="I312" s="34"/>
      <c r="J312" s="34"/>
      <c r="K312" s="34"/>
      <c r="L312" s="34"/>
      <c r="M312" s="34"/>
      <c r="N312" s="34"/>
      <c r="O312" s="34"/>
    </row>
    <row r="313" spans="1:15" x14ac:dyDescent="0.25">
      <c r="A313" s="34"/>
      <c r="B313" s="34"/>
      <c r="C313" s="34"/>
      <c r="D313" s="34"/>
      <c r="E313" s="34"/>
      <c r="F313" s="34"/>
      <c r="G313" s="34"/>
      <c r="H313" s="34"/>
      <c r="I313" s="34"/>
      <c r="J313" s="34"/>
      <c r="K313" s="34"/>
      <c r="L313" s="34"/>
      <c r="M313" s="34"/>
      <c r="N313" s="34"/>
      <c r="O313" s="34"/>
    </row>
    <row r="314" spans="1:15" x14ac:dyDescent="0.25">
      <c r="A314" s="34"/>
      <c r="B314" s="34"/>
      <c r="C314" s="34"/>
      <c r="D314" s="34"/>
      <c r="E314" s="34"/>
      <c r="F314" s="34"/>
      <c r="G314" s="34"/>
      <c r="H314" s="34"/>
      <c r="I314" s="34"/>
      <c r="J314" s="34"/>
      <c r="K314" s="34"/>
      <c r="L314" s="34"/>
      <c r="M314" s="34"/>
      <c r="N314" s="34"/>
      <c r="O314" s="34"/>
    </row>
    <row r="315" spans="1:15" x14ac:dyDescent="0.25">
      <c r="A315" s="34"/>
      <c r="B315" s="34"/>
      <c r="C315" s="34"/>
      <c r="D315" s="34"/>
      <c r="E315" s="34"/>
      <c r="F315" s="34"/>
      <c r="G315" s="34"/>
      <c r="H315" s="34"/>
      <c r="I315" s="34"/>
      <c r="J315" s="34"/>
      <c r="K315" s="34"/>
      <c r="L315" s="34"/>
      <c r="M315" s="34"/>
      <c r="N315" s="34"/>
      <c r="O315" s="34"/>
    </row>
    <row r="316" spans="1:15" x14ac:dyDescent="0.25">
      <c r="A316" s="34"/>
      <c r="B316" s="34"/>
      <c r="C316" s="34"/>
      <c r="D316" s="34"/>
      <c r="E316" s="34"/>
      <c r="F316" s="34"/>
      <c r="G316" s="34"/>
      <c r="H316" s="34"/>
      <c r="I316" s="34"/>
      <c r="J316" s="34"/>
      <c r="K316" s="34"/>
      <c r="L316" s="34"/>
      <c r="M316" s="34"/>
      <c r="N316" s="34"/>
      <c r="O316" s="34"/>
    </row>
    <row r="317" spans="1:15" x14ac:dyDescent="0.25">
      <c r="A317" s="34"/>
      <c r="B317" s="34"/>
      <c r="C317" s="34"/>
      <c r="D317" s="34"/>
      <c r="E317" s="34"/>
      <c r="F317" s="34"/>
      <c r="G317" s="34"/>
      <c r="H317" s="34"/>
      <c r="I317" s="34"/>
      <c r="J317" s="34"/>
      <c r="K317" s="34"/>
      <c r="L317" s="34"/>
      <c r="M317" s="34"/>
      <c r="N317" s="34"/>
      <c r="O317" s="34"/>
    </row>
    <row r="318" spans="1:15" x14ac:dyDescent="0.25">
      <c r="A318" s="34"/>
      <c r="B318" s="34"/>
      <c r="C318" s="3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5">
      <c r="A319" s="34"/>
      <c r="B319" s="34"/>
      <c r="C319" s="34"/>
      <c r="D319" s="34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5">
      <c r="A320" s="34"/>
      <c r="B320" s="34"/>
      <c r="C320" s="34"/>
      <c r="D320" s="34"/>
      <c r="E320" s="34"/>
      <c r="F320" s="34"/>
      <c r="G320" s="34"/>
      <c r="H320" s="34"/>
      <c r="I320" s="34"/>
      <c r="J320" s="34"/>
      <c r="K320" s="34"/>
      <c r="L320" s="34"/>
      <c r="M320" s="34"/>
      <c r="N320" s="34"/>
      <c r="O320" s="34"/>
    </row>
    <row r="321" spans="1:15" x14ac:dyDescent="0.25">
      <c r="A321" s="34"/>
      <c r="B321" s="34"/>
      <c r="C321" s="34"/>
      <c r="D321" s="34"/>
      <c r="E321" s="34"/>
      <c r="F321" s="34"/>
      <c r="G321" s="34"/>
      <c r="H321" s="34"/>
      <c r="I321" s="34"/>
      <c r="J321" s="34"/>
      <c r="K321" s="34"/>
      <c r="L321" s="34"/>
      <c r="M321" s="34"/>
      <c r="N321" s="34"/>
      <c r="O321" s="34"/>
    </row>
    <row r="322" spans="1:15" x14ac:dyDescent="0.25">
      <c r="A322" s="34"/>
      <c r="B322" s="34"/>
      <c r="C322" s="34"/>
      <c r="D322" s="34"/>
      <c r="E322" s="34"/>
      <c r="F322" s="34"/>
      <c r="G322" s="34"/>
      <c r="H322" s="34"/>
      <c r="I322" s="34"/>
      <c r="J322" s="34"/>
      <c r="K322" s="34"/>
      <c r="L322" s="34"/>
      <c r="M322" s="34"/>
      <c r="N322" s="34"/>
      <c r="O322" s="34"/>
    </row>
    <row r="323" spans="1:15" x14ac:dyDescent="0.25">
      <c r="A323" s="34"/>
      <c r="B323" s="34"/>
      <c r="C323" s="34"/>
      <c r="D323" s="34"/>
      <c r="E323" s="34"/>
      <c r="F323" s="34"/>
      <c r="G323" s="34"/>
      <c r="H323" s="34"/>
      <c r="I323" s="34"/>
      <c r="J323" s="34"/>
      <c r="K323" s="34"/>
      <c r="L323" s="34"/>
      <c r="M323" s="34"/>
      <c r="N323" s="34"/>
      <c r="O323" s="34"/>
    </row>
    <row r="324" spans="1:15" x14ac:dyDescent="0.25">
      <c r="A324" s="34"/>
      <c r="B324" s="34"/>
      <c r="C324" s="34"/>
      <c r="D324" s="34"/>
      <c r="E324" s="34"/>
      <c r="F324" s="34"/>
      <c r="G324" s="34"/>
      <c r="H324" s="34"/>
      <c r="I324" s="34"/>
      <c r="J324" s="34"/>
      <c r="K324" s="34"/>
      <c r="L324" s="34"/>
      <c r="M324" s="34"/>
      <c r="N324" s="34"/>
      <c r="O324" s="34"/>
    </row>
    <row r="325" spans="1:15" x14ac:dyDescent="0.25">
      <c r="A325" s="34"/>
      <c r="B325" s="34"/>
      <c r="C325" s="34"/>
      <c r="D325" s="34"/>
      <c r="E325" s="34"/>
      <c r="F325" s="34"/>
      <c r="G325" s="34"/>
      <c r="H325" s="34"/>
      <c r="I325" s="34"/>
      <c r="J325" s="34"/>
      <c r="K325" s="34"/>
      <c r="L325" s="34"/>
      <c r="M325" s="34"/>
      <c r="N325" s="34"/>
      <c r="O325" s="34"/>
    </row>
    <row r="326" spans="1:15" x14ac:dyDescent="0.25">
      <c r="A326" s="34"/>
      <c r="B326" s="34"/>
      <c r="C326" s="34"/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x14ac:dyDescent="0.25">
      <c r="A327" s="34"/>
      <c r="B327" s="34"/>
      <c r="C327" s="34"/>
      <c r="D327" s="34"/>
      <c r="E327" s="34"/>
      <c r="F327" s="34"/>
      <c r="G327" s="34"/>
      <c r="H327" s="34"/>
      <c r="I327" s="34"/>
      <c r="J327" s="34"/>
      <c r="K327" s="34"/>
      <c r="L327" s="34"/>
      <c r="M327" s="34"/>
      <c r="N327" s="34"/>
      <c r="O327" s="34"/>
    </row>
    <row r="328" spans="1:15" x14ac:dyDescent="0.25">
      <c r="A328" s="34"/>
      <c r="B328" s="34"/>
      <c r="C328" s="34"/>
      <c r="D328" s="34"/>
      <c r="E328" s="34"/>
      <c r="F328" s="34"/>
      <c r="G328" s="34"/>
      <c r="H328" s="34"/>
      <c r="I328" s="34"/>
      <c r="J328" s="34"/>
      <c r="K328" s="34"/>
      <c r="L328" s="34"/>
      <c r="M328" s="34"/>
      <c r="N328" s="34"/>
      <c r="O328" s="34"/>
    </row>
    <row r="329" spans="1:15" x14ac:dyDescent="0.25">
      <c r="A329" s="34"/>
      <c r="B329" s="34"/>
      <c r="C329" s="34"/>
      <c r="D329" s="34"/>
      <c r="E329" s="34"/>
      <c r="F329" s="34"/>
      <c r="G329" s="34"/>
      <c r="H329" s="34"/>
      <c r="I329" s="34"/>
      <c r="J329" s="34"/>
      <c r="K329" s="34"/>
      <c r="L329" s="34"/>
      <c r="M329" s="34"/>
      <c r="N329" s="34"/>
      <c r="O329" s="34"/>
    </row>
    <row r="330" spans="1:15" x14ac:dyDescent="0.25">
      <c r="A330" s="34"/>
      <c r="B330" s="34"/>
      <c r="C330" s="34"/>
      <c r="D330" s="34"/>
      <c r="E330" s="34"/>
      <c r="F330" s="34"/>
      <c r="G330" s="34"/>
      <c r="H330" s="34"/>
      <c r="I330" s="34"/>
      <c r="J330" s="34"/>
      <c r="K330" s="34"/>
      <c r="L330" s="34"/>
      <c r="M330" s="34"/>
      <c r="N330" s="34"/>
      <c r="O330" s="34"/>
    </row>
    <row r="331" spans="1:15" x14ac:dyDescent="0.25">
      <c r="A331" s="34"/>
      <c r="B331" s="34"/>
      <c r="C331" s="34"/>
      <c r="D331" s="34"/>
      <c r="E331" s="34"/>
      <c r="F331" s="34"/>
      <c r="G331" s="34"/>
      <c r="H331" s="34"/>
      <c r="I331" s="34"/>
      <c r="J331" s="34"/>
      <c r="K331" s="34"/>
      <c r="L331" s="34"/>
      <c r="M331" s="34"/>
      <c r="N331" s="34"/>
      <c r="O331" s="34"/>
    </row>
    <row r="332" spans="1:15" x14ac:dyDescent="0.25">
      <c r="A332" s="34"/>
      <c r="B332" s="34"/>
      <c r="C332" s="34"/>
      <c r="D332" s="34"/>
      <c r="E332" s="34"/>
      <c r="F332" s="34"/>
      <c r="G332" s="34"/>
      <c r="H332" s="34"/>
      <c r="I332" s="34"/>
      <c r="J332" s="34"/>
      <c r="K332" s="34"/>
      <c r="L332" s="34"/>
      <c r="M332" s="34"/>
      <c r="N332" s="34"/>
      <c r="O332" s="34"/>
    </row>
    <row r="333" spans="1:15" x14ac:dyDescent="0.25">
      <c r="A333" s="34"/>
      <c r="B333" s="34"/>
      <c r="C333" s="34"/>
      <c r="D333" s="34"/>
      <c r="E333" s="34"/>
      <c r="F333" s="34"/>
      <c r="G333" s="34"/>
      <c r="H333" s="34"/>
      <c r="I333" s="34"/>
      <c r="J333" s="34"/>
      <c r="K333" s="34"/>
      <c r="L333" s="34"/>
      <c r="M333" s="34"/>
      <c r="N333" s="34"/>
      <c r="O333" s="34"/>
    </row>
    <row r="334" spans="1:15" x14ac:dyDescent="0.25">
      <c r="A334" s="34"/>
      <c r="B334" s="34"/>
      <c r="C334" s="34"/>
      <c r="D334" s="34"/>
      <c r="E334" s="34"/>
      <c r="F334" s="34"/>
      <c r="G334" s="34"/>
      <c r="H334" s="34"/>
      <c r="I334" s="34"/>
      <c r="J334" s="34"/>
      <c r="K334" s="34"/>
      <c r="L334" s="34"/>
      <c r="M334" s="34"/>
      <c r="N334" s="34"/>
      <c r="O334" s="34"/>
    </row>
    <row r="335" spans="1:15" x14ac:dyDescent="0.25">
      <c r="A335" s="34"/>
      <c r="B335" s="34"/>
      <c r="C335" s="34"/>
      <c r="D335" s="34"/>
      <c r="E335" s="34"/>
      <c r="F335" s="34"/>
      <c r="G335" s="34"/>
      <c r="H335" s="34"/>
      <c r="I335" s="34"/>
      <c r="J335" s="34"/>
      <c r="K335" s="34"/>
      <c r="L335" s="34"/>
      <c r="M335" s="34"/>
      <c r="N335" s="34"/>
      <c r="O335" s="34"/>
    </row>
    <row r="336" spans="1:15" x14ac:dyDescent="0.25">
      <c r="A336" s="34"/>
      <c r="B336" s="34"/>
      <c r="C336" s="34"/>
      <c r="D336" s="34"/>
      <c r="E336" s="34"/>
      <c r="F336" s="34"/>
      <c r="G336" s="34"/>
      <c r="H336" s="34"/>
      <c r="I336" s="34"/>
      <c r="J336" s="34"/>
      <c r="K336" s="34"/>
      <c r="L336" s="34"/>
      <c r="M336" s="34"/>
      <c r="N336" s="34"/>
      <c r="O336" s="34"/>
    </row>
    <row r="337" spans="1:15" x14ac:dyDescent="0.25">
      <c r="A337" s="34"/>
      <c r="B337" s="34"/>
      <c r="C337" s="34"/>
      <c r="D337" s="34"/>
      <c r="E337" s="34"/>
      <c r="F337" s="34"/>
      <c r="G337" s="34"/>
      <c r="H337" s="34"/>
      <c r="I337" s="34"/>
      <c r="J337" s="34"/>
      <c r="K337" s="34"/>
      <c r="L337" s="34"/>
      <c r="M337" s="34"/>
      <c r="N337" s="34"/>
      <c r="O337" s="34"/>
    </row>
    <row r="338" spans="1:15" x14ac:dyDescent="0.25">
      <c r="A338" s="34"/>
      <c r="B338" s="34"/>
      <c r="C338" s="34"/>
      <c r="D338" s="34"/>
      <c r="E338" s="34"/>
      <c r="F338" s="34"/>
      <c r="G338" s="34"/>
      <c r="H338" s="34"/>
      <c r="I338" s="34"/>
      <c r="J338" s="34"/>
      <c r="K338" s="34"/>
      <c r="L338" s="34"/>
      <c r="M338" s="34"/>
      <c r="N338" s="34"/>
      <c r="O338" s="34"/>
    </row>
    <row r="339" spans="1:15" x14ac:dyDescent="0.25">
      <c r="A339" s="34"/>
      <c r="B339" s="34"/>
      <c r="C339" s="34"/>
      <c r="D339" s="34"/>
      <c r="E339" s="34"/>
      <c r="F339" s="34"/>
      <c r="G339" s="34"/>
      <c r="H339" s="34"/>
      <c r="I339" s="34"/>
      <c r="J339" s="34"/>
      <c r="K339" s="34"/>
      <c r="L339" s="34"/>
      <c r="M339" s="34"/>
      <c r="N339" s="34"/>
      <c r="O339" s="34"/>
    </row>
    <row r="340" spans="1:15" x14ac:dyDescent="0.25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4"/>
      <c r="O340" s="34"/>
    </row>
    <row r="341" spans="1:15" x14ac:dyDescent="0.25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4"/>
      <c r="O341" s="34"/>
    </row>
    <row r="342" spans="1:15" x14ac:dyDescent="0.25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4"/>
      <c r="O342" s="34"/>
    </row>
    <row r="343" spans="1:15" x14ac:dyDescent="0.25">
      <c r="A343" s="34"/>
      <c r="B343" s="34"/>
      <c r="C343" s="3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5">
      <c r="A344" s="34"/>
      <c r="B344" s="34"/>
      <c r="C344" s="34"/>
      <c r="D344" s="34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5">
      <c r="A345" s="34"/>
      <c r="B345" s="34"/>
      <c r="C345" s="34"/>
      <c r="D345" s="34"/>
      <c r="E345" s="34"/>
      <c r="F345" s="34"/>
      <c r="G345" s="34"/>
      <c r="H345" s="34"/>
      <c r="I345" s="34"/>
      <c r="J345" s="34"/>
      <c r="K345" s="34"/>
      <c r="L345" s="34"/>
      <c r="M345" s="34"/>
      <c r="N345" s="34"/>
      <c r="O345" s="34"/>
    </row>
    <row r="346" spans="1:15" x14ac:dyDescent="0.25">
      <c r="A346" s="34"/>
      <c r="B346" s="34"/>
      <c r="C346" s="34"/>
      <c r="D346" s="34"/>
      <c r="E346" s="34"/>
      <c r="F346" s="34"/>
      <c r="G346" s="34"/>
      <c r="H346" s="34"/>
      <c r="I346" s="34"/>
      <c r="J346" s="34"/>
      <c r="K346" s="34"/>
      <c r="L346" s="34"/>
      <c r="M346" s="34"/>
      <c r="N346" s="34"/>
      <c r="O346" s="34"/>
    </row>
    <row r="347" spans="1:15" x14ac:dyDescent="0.25">
      <c r="A347" s="34"/>
      <c r="B347" s="34"/>
      <c r="C347" s="34"/>
      <c r="D347" s="34"/>
      <c r="E347" s="34"/>
      <c r="F347" s="34"/>
      <c r="G347" s="34"/>
      <c r="H347" s="34"/>
      <c r="I347" s="34"/>
      <c r="J347" s="34"/>
      <c r="K347" s="34"/>
      <c r="L347" s="34"/>
      <c r="M347" s="34"/>
      <c r="N347" s="34"/>
      <c r="O347" s="34"/>
    </row>
    <row r="348" spans="1:15" x14ac:dyDescent="0.25">
      <c r="A348" s="34"/>
      <c r="B348" s="34"/>
      <c r="C348" s="34"/>
      <c r="D348" s="34"/>
      <c r="E348" s="34"/>
      <c r="F348" s="34"/>
      <c r="G348" s="34"/>
      <c r="H348" s="34"/>
      <c r="I348" s="34"/>
      <c r="J348" s="34"/>
      <c r="K348" s="34"/>
      <c r="L348" s="34"/>
      <c r="M348" s="34"/>
      <c r="N348" s="34"/>
      <c r="O348" s="34"/>
    </row>
    <row r="349" spans="1:15" x14ac:dyDescent="0.25">
      <c r="A349" s="34"/>
      <c r="B349" s="34"/>
      <c r="C349" s="34"/>
      <c r="D349" s="34"/>
      <c r="E349" s="34"/>
      <c r="F349" s="34"/>
      <c r="G349" s="34"/>
      <c r="H349" s="34"/>
      <c r="I349" s="34"/>
      <c r="J349" s="34"/>
      <c r="K349" s="34"/>
      <c r="L349" s="34"/>
      <c r="M349" s="34"/>
      <c r="N349" s="34"/>
      <c r="O349" s="34"/>
    </row>
    <row r="350" spans="1:15" x14ac:dyDescent="0.25">
      <c r="A350" s="34"/>
      <c r="B350" s="34"/>
      <c r="C350" s="34"/>
      <c r="D350" s="34"/>
      <c r="E350" s="34"/>
      <c r="F350" s="34"/>
      <c r="G350" s="34"/>
      <c r="H350" s="34"/>
      <c r="I350" s="34"/>
      <c r="J350" s="34"/>
      <c r="K350" s="34"/>
      <c r="L350" s="34"/>
      <c r="M350" s="34"/>
      <c r="N350" s="34"/>
      <c r="O350" s="34"/>
    </row>
    <row r="351" spans="1:15" x14ac:dyDescent="0.25">
      <c r="A351" s="34"/>
      <c r="B351" s="34"/>
      <c r="C351" s="34"/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x14ac:dyDescent="0.25">
      <c r="A352" s="34"/>
      <c r="B352" s="34"/>
      <c r="C352" s="34"/>
      <c r="D352" s="34"/>
      <c r="E352" s="34"/>
      <c r="F352" s="34"/>
      <c r="G352" s="34"/>
      <c r="H352" s="34"/>
      <c r="I352" s="34"/>
      <c r="J352" s="34"/>
      <c r="K352" s="34"/>
      <c r="L352" s="34"/>
      <c r="M352" s="34"/>
      <c r="N352" s="34"/>
      <c r="O352" s="34"/>
    </row>
    <row r="353" spans="1:15" x14ac:dyDescent="0.25">
      <c r="A353" s="34"/>
      <c r="B353" s="34"/>
      <c r="C353" s="34"/>
      <c r="D353" s="34"/>
      <c r="E353" s="34"/>
      <c r="F353" s="34"/>
      <c r="G353" s="34"/>
      <c r="H353" s="34"/>
      <c r="I353" s="34"/>
      <c r="J353" s="34"/>
      <c r="K353" s="34"/>
      <c r="L353" s="34"/>
      <c r="M353" s="34"/>
      <c r="N353" s="34"/>
      <c r="O353" s="34"/>
    </row>
    <row r="354" spans="1:15" x14ac:dyDescent="0.25">
      <c r="A354" s="34"/>
      <c r="B354" s="34"/>
      <c r="C354" s="34"/>
      <c r="D354" s="34"/>
      <c r="E354" s="34"/>
      <c r="F354" s="34"/>
      <c r="G354" s="34"/>
      <c r="H354" s="34"/>
      <c r="I354" s="34"/>
      <c r="J354" s="34"/>
      <c r="K354" s="34"/>
      <c r="L354" s="34"/>
      <c r="M354" s="34"/>
      <c r="N354" s="34"/>
      <c r="O354" s="34"/>
    </row>
    <row r="355" spans="1:15" x14ac:dyDescent="0.25">
      <c r="A355" s="34"/>
      <c r="B355" s="34"/>
      <c r="C355" s="34"/>
      <c r="D355" s="34"/>
      <c r="E355" s="34"/>
      <c r="F355" s="34"/>
      <c r="G355" s="34"/>
      <c r="H355" s="34"/>
      <c r="I355" s="34"/>
      <c r="J355" s="34"/>
      <c r="K355" s="34"/>
      <c r="L355" s="34"/>
      <c r="M355" s="34"/>
      <c r="N355" s="34"/>
      <c r="O355" s="34"/>
    </row>
    <row r="356" spans="1:15" x14ac:dyDescent="0.25">
      <c r="A356" s="34"/>
      <c r="B356" s="34"/>
      <c r="C356" s="34"/>
      <c r="D356" s="34"/>
      <c r="E356" s="34"/>
      <c r="F356" s="34"/>
      <c r="G356" s="34"/>
      <c r="H356" s="34"/>
      <c r="I356" s="34"/>
      <c r="J356" s="34"/>
      <c r="K356" s="34"/>
      <c r="L356" s="34"/>
      <c r="M356" s="34"/>
      <c r="N356" s="34"/>
      <c r="O356" s="34"/>
    </row>
    <row r="357" spans="1:15" x14ac:dyDescent="0.25">
      <c r="A357" s="34"/>
      <c r="B357" s="34"/>
      <c r="C357" s="34"/>
      <c r="D357" s="34"/>
      <c r="E357" s="34"/>
      <c r="F357" s="34"/>
      <c r="G357" s="34"/>
      <c r="H357" s="34"/>
      <c r="I357" s="34"/>
      <c r="J357" s="34"/>
      <c r="K357" s="34"/>
      <c r="L357" s="34"/>
      <c r="M357" s="34"/>
      <c r="N357" s="34"/>
      <c r="O357" s="34"/>
    </row>
    <row r="358" spans="1:15" x14ac:dyDescent="0.25">
      <c r="A358" s="34"/>
      <c r="B358" s="34"/>
      <c r="C358" s="34"/>
      <c r="D358" s="34"/>
      <c r="E358" s="34"/>
      <c r="F358" s="34"/>
      <c r="G358" s="34"/>
      <c r="H358" s="34"/>
      <c r="I358" s="34"/>
      <c r="J358" s="34"/>
      <c r="K358" s="34"/>
      <c r="L358" s="34"/>
      <c r="M358" s="34"/>
      <c r="N358" s="34"/>
      <c r="O358" s="34"/>
    </row>
    <row r="359" spans="1:15" x14ac:dyDescent="0.25">
      <c r="A359" s="34"/>
      <c r="B359" s="34"/>
      <c r="C359" s="34"/>
      <c r="D359" s="34"/>
      <c r="E359" s="34"/>
      <c r="F359" s="34"/>
      <c r="G359" s="34"/>
      <c r="H359" s="34"/>
      <c r="I359" s="34"/>
      <c r="J359" s="34"/>
      <c r="K359" s="34"/>
      <c r="L359" s="34"/>
      <c r="M359" s="34"/>
      <c r="N359" s="34"/>
      <c r="O359" s="34"/>
    </row>
    <row r="360" spans="1:15" x14ac:dyDescent="0.25">
      <c r="A360" s="34"/>
      <c r="B360" s="34"/>
      <c r="C360" s="34"/>
      <c r="D360" s="34"/>
      <c r="E360" s="34"/>
      <c r="F360" s="34"/>
      <c r="G360" s="34"/>
      <c r="H360" s="34"/>
      <c r="I360" s="34"/>
      <c r="J360" s="34"/>
      <c r="K360" s="34"/>
      <c r="L360" s="34"/>
      <c r="M360" s="34"/>
      <c r="N360" s="34"/>
      <c r="O360" s="34"/>
    </row>
    <row r="361" spans="1:15" x14ac:dyDescent="0.25">
      <c r="A361" s="34"/>
      <c r="B361" s="34"/>
      <c r="C361" s="34"/>
      <c r="D361" s="34"/>
      <c r="E361" s="34"/>
      <c r="F361" s="34"/>
      <c r="G361" s="34"/>
      <c r="H361" s="34"/>
      <c r="I361" s="34"/>
      <c r="J361" s="34"/>
      <c r="K361" s="34"/>
      <c r="L361" s="34"/>
      <c r="M361" s="34"/>
      <c r="N361" s="34"/>
      <c r="O361" s="34"/>
    </row>
    <row r="362" spans="1:15" x14ac:dyDescent="0.25">
      <c r="A362" s="34"/>
      <c r="B362" s="34"/>
      <c r="C362" s="34"/>
      <c r="D362" s="34"/>
      <c r="E362" s="34"/>
      <c r="F362" s="34"/>
      <c r="G362" s="34"/>
      <c r="H362" s="34"/>
      <c r="I362" s="34"/>
      <c r="J362" s="34"/>
      <c r="K362" s="34"/>
      <c r="L362" s="34"/>
      <c r="M362" s="34"/>
      <c r="N362" s="34"/>
      <c r="O362" s="34"/>
    </row>
    <row r="363" spans="1:15" x14ac:dyDescent="0.25">
      <c r="A363" s="34"/>
      <c r="B363" s="34"/>
      <c r="C363" s="34"/>
      <c r="D363" s="34"/>
      <c r="E363" s="34"/>
      <c r="F363" s="34"/>
      <c r="G363" s="34"/>
      <c r="H363" s="34"/>
      <c r="I363" s="34"/>
      <c r="J363" s="34"/>
      <c r="K363" s="34"/>
      <c r="L363" s="34"/>
      <c r="M363" s="34"/>
      <c r="N363" s="34"/>
      <c r="O363" s="34"/>
    </row>
    <row r="364" spans="1:15" x14ac:dyDescent="0.25">
      <c r="A364" s="34"/>
      <c r="B364" s="34"/>
      <c r="C364" s="34"/>
      <c r="D364" s="34"/>
      <c r="E364" s="34"/>
      <c r="F364" s="34"/>
      <c r="G364" s="34"/>
      <c r="H364" s="34"/>
      <c r="I364" s="34"/>
      <c r="J364" s="34"/>
      <c r="K364" s="34"/>
      <c r="L364" s="34"/>
      <c r="M364" s="34"/>
      <c r="N364" s="34"/>
      <c r="O364" s="34"/>
    </row>
    <row r="365" spans="1:15" x14ac:dyDescent="0.25">
      <c r="A365" s="34"/>
      <c r="B365" s="34"/>
      <c r="C365" s="34"/>
      <c r="D365" s="34"/>
      <c r="E365" s="34"/>
      <c r="F365" s="34"/>
      <c r="G365" s="34"/>
      <c r="H365" s="34"/>
      <c r="I365" s="34"/>
      <c r="J365" s="34"/>
      <c r="K365" s="34"/>
      <c r="L365" s="34"/>
      <c r="M365" s="34"/>
      <c r="N365" s="34"/>
      <c r="O365" s="34"/>
    </row>
    <row r="366" spans="1:15" x14ac:dyDescent="0.25">
      <c r="A366" s="34"/>
      <c r="B366" s="34"/>
      <c r="C366" s="34"/>
      <c r="D366" s="34"/>
      <c r="E366" s="34"/>
      <c r="F366" s="34"/>
      <c r="G366" s="34"/>
      <c r="H366" s="34"/>
      <c r="I366" s="34"/>
      <c r="J366" s="34"/>
      <c r="K366" s="34"/>
      <c r="L366" s="34"/>
      <c r="M366" s="34"/>
      <c r="N366" s="34"/>
      <c r="O366" s="34"/>
    </row>
    <row r="367" spans="1:15" x14ac:dyDescent="0.25">
      <c r="A367" s="34"/>
      <c r="B367" s="34"/>
      <c r="C367" s="34"/>
      <c r="D367" s="34"/>
      <c r="E367" s="34"/>
      <c r="F367" s="34"/>
      <c r="G367" s="34"/>
      <c r="H367" s="34"/>
      <c r="I367" s="34"/>
      <c r="J367" s="34"/>
      <c r="K367" s="34"/>
      <c r="L367" s="34"/>
      <c r="M367" s="34"/>
      <c r="N367" s="34"/>
      <c r="O367" s="34"/>
    </row>
    <row r="368" spans="1:15" x14ac:dyDescent="0.25">
      <c r="A368" s="34"/>
      <c r="B368" s="34"/>
      <c r="C368" s="3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5">
      <c r="A369" s="34"/>
      <c r="B369" s="34"/>
      <c r="C369" s="34"/>
      <c r="D369" s="34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5">
      <c r="A370" s="34"/>
      <c r="B370" s="34"/>
      <c r="C370" s="34"/>
      <c r="D370" s="34"/>
      <c r="E370" s="34"/>
      <c r="F370" s="34"/>
      <c r="G370" s="34"/>
      <c r="H370" s="34"/>
      <c r="I370" s="34"/>
      <c r="J370" s="34"/>
      <c r="K370" s="34"/>
      <c r="L370" s="34"/>
      <c r="M370" s="34"/>
      <c r="N370" s="34"/>
      <c r="O370" s="34"/>
    </row>
    <row r="371" spans="1:15" x14ac:dyDescent="0.25">
      <c r="A371" s="34"/>
      <c r="B371" s="34"/>
      <c r="C371" s="34"/>
      <c r="D371" s="34"/>
      <c r="E371" s="34"/>
      <c r="F371" s="34"/>
      <c r="G371" s="34"/>
      <c r="H371" s="34"/>
      <c r="I371" s="34"/>
      <c r="J371" s="34"/>
      <c r="K371" s="34"/>
      <c r="L371" s="34"/>
      <c r="M371" s="34"/>
      <c r="N371" s="34"/>
      <c r="O371" s="34"/>
    </row>
    <row r="372" spans="1:15" x14ac:dyDescent="0.25">
      <c r="A372" s="34"/>
      <c r="B372" s="34"/>
      <c r="C372" s="34"/>
      <c r="D372" s="34"/>
      <c r="E372" s="34"/>
      <c r="F372" s="34"/>
      <c r="G372" s="34"/>
      <c r="H372" s="34"/>
      <c r="I372" s="34"/>
      <c r="J372" s="34"/>
      <c r="K372" s="34"/>
      <c r="L372" s="34"/>
      <c r="M372" s="34"/>
      <c r="N372" s="34"/>
      <c r="O372" s="34"/>
    </row>
    <row r="373" spans="1:15" x14ac:dyDescent="0.25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4"/>
      <c r="O373" s="34"/>
    </row>
    <row r="374" spans="1:15" x14ac:dyDescent="0.25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4"/>
      <c r="O374" s="34"/>
    </row>
    <row r="375" spans="1:15" x14ac:dyDescent="0.25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4"/>
      <c r="O375" s="34"/>
    </row>
    <row r="376" spans="1:15" x14ac:dyDescent="0.25">
      <c r="A376" s="34"/>
      <c r="B376" s="34"/>
      <c r="C376" s="34"/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x14ac:dyDescent="0.25">
      <c r="A377" s="34"/>
      <c r="B377" s="34"/>
      <c r="C377" s="34"/>
      <c r="D377" s="34"/>
      <c r="E377" s="34"/>
      <c r="F377" s="34"/>
      <c r="G377" s="34"/>
      <c r="H377" s="34"/>
      <c r="I377" s="34"/>
      <c r="J377" s="34"/>
      <c r="K377" s="34"/>
      <c r="L377" s="34"/>
      <c r="M377" s="34"/>
      <c r="N377" s="34"/>
      <c r="O377" s="34"/>
    </row>
    <row r="378" spans="1:15" x14ac:dyDescent="0.25">
      <c r="A378" s="34"/>
      <c r="B378" s="34"/>
      <c r="C378" s="34"/>
      <c r="D378" s="34"/>
      <c r="E378" s="34"/>
      <c r="F378" s="34"/>
      <c r="G378" s="34"/>
      <c r="H378" s="34"/>
      <c r="I378" s="34"/>
      <c r="J378" s="34"/>
      <c r="K378" s="34"/>
      <c r="L378" s="34"/>
      <c r="M378" s="34"/>
      <c r="N378" s="34"/>
      <c r="O378" s="34"/>
    </row>
    <row r="379" spans="1:15" x14ac:dyDescent="0.25">
      <c r="A379" s="34"/>
      <c r="B379" s="34"/>
      <c r="C379" s="34"/>
      <c r="D379" s="34"/>
      <c r="E379" s="34"/>
      <c r="F379" s="34"/>
      <c r="G379" s="34"/>
      <c r="H379" s="34"/>
      <c r="I379" s="34"/>
      <c r="J379" s="34"/>
      <c r="K379" s="34"/>
      <c r="L379" s="34"/>
      <c r="M379" s="34"/>
      <c r="N379" s="34"/>
      <c r="O379" s="34"/>
    </row>
    <row r="380" spans="1:15" x14ac:dyDescent="0.25">
      <c r="A380" s="34"/>
      <c r="B380" s="34"/>
      <c r="C380" s="34"/>
      <c r="D380" s="34"/>
      <c r="E380" s="34"/>
      <c r="F380" s="34"/>
      <c r="G380" s="34"/>
      <c r="H380" s="34"/>
      <c r="I380" s="34"/>
      <c r="J380" s="34"/>
      <c r="K380" s="34"/>
      <c r="L380" s="34"/>
      <c r="M380" s="34"/>
      <c r="N380" s="34"/>
      <c r="O380" s="34"/>
    </row>
    <row r="381" spans="1:15" x14ac:dyDescent="0.25">
      <c r="A381" s="34"/>
      <c r="B381" s="34"/>
      <c r="C381" s="34"/>
      <c r="D381" s="34"/>
      <c r="E381" s="34"/>
      <c r="F381" s="34"/>
      <c r="G381" s="34"/>
      <c r="H381" s="34"/>
      <c r="I381" s="34"/>
      <c r="J381" s="34"/>
      <c r="K381" s="34"/>
      <c r="L381" s="34"/>
      <c r="M381" s="34"/>
      <c r="N381" s="34"/>
      <c r="O381" s="34"/>
    </row>
    <row r="382" spans="1:15" x14ac:dyDescent="0.25">
      <c r="A382" s="34"/>
      <c r="B382" s="34"/>
      <c r="C382" s="34"/>
      <c r="D382" s="34"/>
      <c r="E382" s="34"/>
      <c r="F382" s="34"/>
      <c r="G382" s="34"/>
      <c r="H382" s="34"/>
      <c r="I382" s="34"/>
      <c r="J382" s="34"/>
      <c r="K382" s="34"/>
      <c r="L382" s="34"/>
      <c r="M382" s="34"/>
      <c r="N382" s="34"/>
      <c r="O382" s="34"/>
    </row>
    <row r="383" spans="1:15" x14ac:dyDescent="0.25">
      <c r="A383" s="34"/>
      <c r="B383" s="34"/>
      <c r="C383" s="34"/>
      <c r="D383" s="34"/>
      <c r="E383" s="34"/>
      <c r="F383" s="34"/>
      <c r="G383" s="34"/>
      <c r="H383" s="34"/>
      <c r="I383" s="34"/>
      <c r="J383" s="34"/>
      <c r="K383" s="34"/>
      <c r="L383" s="34"/>
      <c r="M383" s="34"/>
      <c r="N383" s="34"/>
      <c r="O383" s="34"/>
    </row>
    <row r="384" spans="1:15" x14ac:dyDescent="0.25">
      <c r="A384" s="34"/>
      <c r="B384" s="34"/>
      <c r="C384" s="34"/>
      <c r="D384" s="34"/>
      <c r="E384" s="34"/>
      <c r="F384" s="34"/>
      <c r="G384" s="34"/>
      <c r="H384" s="34"/>
      <c r="I384" s="34"/>
      <c r="J384" s="34"/>
      <c r="K384" s="34"/>
      <c r="L384" s="34"/>
      <c r="M384" s="34"/>
      <c r="N384" s="34"/>
      <c r="O384" s="34"/>
    </row>
    <row r="385" spans="1:15" x14ac:dyDescent="0.25">
      <c r="A385" s="34"/>
      <c r="B385" s="34"/>
      <c r="C385" s="34"/>
      <c r="D385" s="34"/>
      <c r="E385" s="34"/>
      <c r="F385" s="34"/>
      <c r="G385" s="34"/>
      <c r="H385" s="34"/>
      <c r="I385" s="34"/>
      <c r="J385" s="34"/>
      <c r="K385" s="34"/>
      <c r="L385" s="34"/>
      <c r="M385" s="34"/>
      <c r="N385" s="34"/>
      <c r="O385" s="34"/>
    </row>
    <row r="386" spans="1:15" x14ac:dyDescent="0.25">
      <c r="A386" s="34"/>
      <c r="B386" s="34"/>
      <c r="C386" s="34"/>
      <c r="D386" s="34"/>
      <c r="E386" s="34"/>
      <c r="F386" s="34"/>
      <c r="G386" s="34"/>
      <c r="H386" s="34"/>
      <c r="I386" s="34"/>
      <c r="J386" s="34"/>
      <c r="K386" s="34"/>
      <c r="L386" s="34"/>
      <c r="M386" s="34"/>
      <c r="N386" s="34"/>
      <c r="O386" s="34"/>
    </row>
    <row r="387" spans="1:15" x14ac:dyDescent="0.25">
      <c r="A387" s="34"/>
      <c r="B387" s="34"/>
      <c r="C387" s="34"/>
      <c r="D387" s="34"/>
      <c r="E387" s="34"/>
      <c r="F387" s="34"/>
      <c r="G387" s="34"/>
      <c r="H387" s="34"/>
      <c r="I387" s="34"/>
      <c r="J387" s="34"/>
      <c r="K387" s="34"/>
      <c r="L387" s="34"/>
      <c r="M387" s="34"/>
      <c r="N387" s="34"/>
      <c r="O387" s="34"/>
    </row>
    <row r="388" spans="1:15" x14ac:dyDescent="0.25">
      <c r="A388" s="34"/>
      <c r="B388" s="34"/>
      <c r="C388" s="34"/>
      <c r="D388" s="34"/>
      <c r="E388" s="34"/>
      <c r="F388" s="34"/>
      <c r="G388" s="34"/>
      <c r="H388" s="34"/>
      <c r="I388" s="34"/>
      <c r="J388" s="34"/>
      <c r="K388" s="34"/>
      <c r="L388" s="34"/>
      <c r="M388" s="34"/>
      <c r="N388" s="34"/>
      <c r="O388" s="34"/>
    </row>
    <row r="389" spans="1:15" x14ac:dyDescent="0.25">
      <c r="A389" s="34"/>
      <c r="B389" s="34"/>
      <c r="C389" s="34"/>
      <c r="D389" s="34"/>
      <c r="E389" s="34"/>
      <c r="F389" s="34"/>
      <c r="G389" s="34"/>
      <c r="H389" s="34"/>
      <c r="I389" s="34"/>
      <c r="J389" s="34"/>
      <c r="K389" s="34"/>
      <c r="L389" s="34"/>
      <c r="M389" s="34"/>
      <c r="N389" s="34"/>
      <c r="O389" s="34"/>
    </row>
    <row r="390" spans="1:15" x14ac:dyDescent="0.25">
      <c r="A390" s="34"/>
      <c r="B390" s="34"/>
      <c r="C390" s="34"/>
      <c r="D390" s="34"/>
      <c r="E390" s="34"/>
      <c r="F390" s="34"/>
      <c r="G390" s="34"/>
      <c r="H390" s="34"/>
      <c r="I390" s="34"/>
      <c r="J390" s="34"/>
      <c r="K390" s="34"/>
      <c r="L390" s="34"/>
      <c r="M390" s="34"/>
      <c r="N390" s="34"/>
      <c r="O390" s="34"/>
    </row>
    <row r="391" spans="1:15" x14ac:dyDescent="0.25">
      <c r="A391" s="34"/>
      <c r="B391" s="34"/>
      <c r="C391" s="34"/>
      <c r="D391" s="34"/>
      <c r="E391" s="34"/>
      <c r="F391" s="34"/>
      <c r="G391" s="34"/>
      <c r="H391" s="34"/>
      <c r="I391" s="34"/>
      <c r="J391" s="34"/>
      <c r="K391" s="34"/>
      <c r="L391" s="34"/>
      <c r="M391" s="34"/>
      <c r="N391" s="34"/>
      <c r="O391" s="34"/>
    </row>
    <row r="392" spans="1:15" x14ac:dyDescent="0.25">
      <c r="A392" s="34"/>
      <c r="B392" s="34"/>
      <c r="C392" s="34"/>
      <c r="D392" s="34"/>
      <c r="E392" s="34"/>
      <c r="F392" s="34"/>
      <c r="G392" s="34"/>
      <c r="H392" s="34"/>
      <c r="I392" s="34"/>
      <c r="J392" s="34"/>
      <c r="K392" s="34"/>
      <c r="L392" s="34"/>
      <c r="M392" s="34"/>
      <c r="N392" s="34"/>
      <c r="O392" s="34"/>
    </row>
    <row r="393" spans="1:15" x14ac:dyDescent="0.25">
      <c r="A393" s="34"/>
      <c r="B393" s="34"/>
      <c r="C393" s="3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5">
      <c r="A394" s="34"/>
      <c r="B394" s="34"/>
      <c r="C394" s="34"/>
      <c r="D394" s="34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5">
      <c r="A395" s="34"/>
      <c r="B395" s="34"/>
      <c r="C395" s="34"/>
      <c r="D395" s="34"/>
      <c r="E395" s="34"/>
      <c r="F395" s="34"/>
      <c r="G395" s="34"/>
      <c r="H395" s="34"/>
      <c r="I395" s="34"/>
      <c r="J395" s="34"/>
      <c r="K395" s="34"/>
      <c r="L395" s="34"/>
      <c r="M395" s="34"/>
      <c r="N395" s="34"/>
      <c r="O395" s="34"/>
    </row>
    <row r="396" spans="1:15" x14ac:dyDescent="0.25">
      <c r="A396" s="34"/>
      <c r="B396" s="34"/>
      <c r="C396" s="34"/>
      <c r="D396" s="34"/>
      <c r="E396" s="34"/>
      <c r="F396" s="34"/>
      <c r="G396" s="34"/>
      <c r="H396" s="34"/>
      <c r="I396" s="34"/>
      <c r="J396" s="34"/>
      <c r="K396" s="34"/>
      <c r="L396" s="34"/>
      <c r="M396" s="34"/>
      <c r="N396" s="34"/>
      <c r="O396" s="34"/>
    </row>
    <row r="397" spans="1:15" x14ac:dyDescent="0.25">
      <c r="A397" s="34"/>
      <c r="B397" s="34"/>
      <c r="C397" s="34"/>
      <c r="D397" s="34"/>
      <c r="E397" s="34"/>
      <c r="F397" s="34"/>
      <c r="G397" s="34"/>
      <c r="H397" s="34"/>
      <c r="I397" s="34"/>
      <c r="J397" s="34"/>
      <c r="K397" s="34"/>
      <c r="L397" s="34"/>
      <c r="M397" s="34"/>
      <c r="N397" s="34"/>
      <c r="O397" s="34"/>
    </row>
    <row r="398" spans="1:15" x14ac:dyDescent="0.25">
      <c r="A398" s="34"/>
      <c r="B398" s="34"/>
      <c r="C398" s="34"/>
      <c r="D398" s="34"/>
      <c r="E398" s="34"/>
      <c r="F398" s="34"/>
      <c r="G398" s="34"/>
      <c r="H398" s="34"/>
      <c r="I398" s="34"/>
      <c r="J398" s="34"/>
      <c r="K398" s="34"/>
      <c r="L398" s="34"/>
      <c r="M398" s="34"/>
      <c r="N398" s="34"/>
      <c r="O398" s="34"/>
    </row>
    <row r="399" spans="1:15" x14ac:dyDescent="0.25">
      <c r="A399" s="34"/>
      <c r="B399" s="34"/>
      <c r="C399" s="34"/>
      <c r="D399" s="34"/>
      <c r="E399" s="34"/>
      <c r="F399" s="34"/>
      <c r="G399" s="34"/>
      <c r="H399" s="34"/>
      <c r="I399" s="34"/>
      <c r="J399" s="34"/>
      <c r="K399" s="34"/>
      <c r="L399" s="34"/>
      <c r="M399" s="34"/>
      <c r="N399" s="34"/>
      <c r="O399" s="34"/>
    </row>
    <row r="400" spans="1:15" x14ac:dyDescent="0.25">
      <c r="A400" s="34"/>
      <c r="B400" s="34"/>
      <c r="C400" s="34"/>
      <c r="D400" s="34"/>
      <c r="E400" s="34"/>
      <c r="F400" s="34"/>
      <c r="G400" s="34"/>
      <c r="H400" s="34"/>
      <c r="I400" s="34"/>
      <c r="J400" s="34"/>
      <c r="K400" s="34"/>
      <c r="L400" s="34"/>
      <c r="M400" s="34"/>
      <c r="N400" s="34"/>
      <c r="O400" s="34"/>
    </row>
    <row r="401" spans="1:15" x14ac:dyDescent="0.25">
      <c r="A401" s="34"/>
      <c r="B401" s="34"/>
      <c r="C401" s="34"/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15" x14ac:dyDescent="0.25">
      <c r="A402" s="34"/>
      <c r="B402" s="34"/>
      <c r="C402" s="34"/>
      <c r="D402" s="34"/>
      <c r="E402" s="34"/>
      <c r="F402" s="34"/>
      <c r="G402" s="34"/>
      <c r="H402" s="34"/>
      <c r="I402" s="34"/>
      <c r="J402" s="34"/>
      <c r="K402" s="34"/>
      <c r="L402" s="34"/>
      <c r="M402" s="34"/>
      <c r="N402" s="34"/>
      <c r="O402" s="34"/>
    </row>
    <row r="403" spans="1:15" x14ac:dyDescent="0.25">
      <c r="A403" s="34"/>
      <c r="B403" s="34"/>
      <c r="C403" s="34"/>
      <c r="D403" s="34"/>
      <c r="E403" s="34"/>
      <c r="F403" s="34"/>
      <c r="G403" s="34"/>
      <c r="H403" s="34"/>
      <c r="I403" s="34"/>
      <c r="J403" s="34"/>
      <c r="K403" s="34"/>
      <c r="L403" s="34"/>
      <c r="M403" s="34"/>
      <c r="N403" s="34"/>
      <c r="O403" s="34"/>
    </row>
    <row r="404" spans="1:15" x14ac:dyDescent="0.25">
      <c r="A404" s="34"/>
      <c r="B404" s="34"/>
      <c r="C404" s="34"/>
      <c r="D404" s="34"/>
      <c r="E404" s="34"/>
      <c r="F404" s="34"/>
      <c r="G404" s="34"/>
      <c r="H404" s="34"/>
      <c r="I404" s="34"/>
      <c r="J404" s="34"/>
      <c r="K404" s="34"/>
      <c r="L404" s="34"/>
      <c r="M404" s="34"/>
      <c r="N404" s="34"/>
      <c r="O404" s="34"/>
    </row>
    <row r="405" spans="1:15" x14ac:dyDescent="0.25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4"/>
      <c r="O405" s="34"/>
    </row>
    <row r="406" spans="1:15" x14ac:dyDescent="0.25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4"/>
      <c r="O406" s="34"/>
    </row>
    <row r="407" spans="1:15" x14ac:dyDescent="0.25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4"/>
      <c r="O407" s="34"/>
    </row>
    <row r="408" spans="1:15" x14ac:dyDescent="0.25">
      <c r="A408" s="34"/>
      <c r="B408" s="34"/>
      <c r="C408" s="34"/>
      <c r="D408" s="34"/>
      <c r="E408" s="34"/>
      <c r="F408" s="34"/>
      <c r="G408" s="34"/>
      <c r="H408" s="34"/>
      <c r="I408" s="34"/>
      <c r="J408" s="34"/>
      <c r="K408" s="34"/>
      <c r="L408" s="34"/>
      <c r="M408" s="34"/>
      <c r="N408" s="34"/>
      <c r="O408" s="34"/>
    </row>
    <row r="409" spans="1:15" x14ac:dyDescent="0.25">
      <c r="A409" s="34"/>
      <c r="B409" s="34"/>
      <c r="C409" s="34"/>
      <c r="D409" s="34"/>
      <c r="E409" s="34"/>
      <c r="F409" s="34"/>
      <c r="G409" s="34"/>
      <c r="H409" s="34"/>
      <c r="I409" s="34"/>
      <c r="J409" s="34"/>
      <c r="K409" s="34"/>
      <c r="L409" s="34"/>
      <c r="M409" s="34"/>
      <c r="N409" s="34"/>
      <c r="O409" s="34"/>
    </row>
    <row r="410" spans="1:15" x14ac:dyDescent="0.25">
      <c r="A410" s="34"/>
      <c r="B410" s="34"/>
      <c r="C410" s="34"/>
      <c r="D410" s="34"/>
      <c r="E410" s="34"/>
      <c r="F410" s="34"/>
      <c r="G410" s="34"/>
      <c r="H410" s="34"/>
      <c r="I410" s="34"/>
      <c r="J410" s="34"/>
      <c r="K410" s="34"/>
      <c r="L410" s="34"/>
      <c r="M410" s="34"/>
      <c r="N410" s="34"/>
      <c r="O410" s="34"/>
    </row>
    <row r="411" spans="1:15" x14ac:dyDescent="0.25">
      <c r="A411" s="34"/>
      <c r="B411" s="34"/>
      <c r="C411" s="34"/>
      <c r="D411" s="34"/>
      <c r="E411" s="34"/>
      <c r="F411" s="34"/>
      <c r="G411" s="34"/>
      <c r="H411" s="34"/>
      <c r="I411" s="34"/>
      <c r="J411" s="34"/>
      <c r="K411" s="34"/>
      <c r="L411" s="34"/>
      <c r="M411" s="34"/>
      <c r="N411" s="34"/>
      <c r="O411" s="34"/>
    </row>
    <row r="412" spans="1:15" x14ac:dyDescent="0.25">
      <c r="A412" s="34"/>
      <c r="B412" s="34"/>
      <c r="C412" s="34"/>
      <c r="D412" s="34"/>
      <c r="E412" s="34"/>
      <c r="F412" s="34"/>
      <c r="G412" s="34"/>
      <c r="H412" s="34"/>
      <c r="I412" s="34"/>
      <c r="J412" s="34"/>
      <c r="K412" s="34"/>
      <c r="L412" s="34"/>
      <c r="M412" s="34"/>
      <c r="N412" s="34"/>
      <c r="O412" s="34"/>
    </row>
    <row r="413" spans="1:15" x14ac:dyDescent="0.25">
      <c r="A413" s="34"/>
      <c r="B413" s="34"/>
      <c r="C413" s="34"/>
      <c r="D413" s="34"/>
      <c r="E413" s="34"/>
      <c r="F413" s="34"/>
      <c r="G413" s="34"/>
      <c r="H413" s="34"/>
      <c r="I413" s="34"/>
      <c r="J413" s="34"/>
      <c r="K413" s="34"/>
      <c r="L413" s="34"/>
      <c r="M413" s="34"/>
      <c r="N413" s="34"/>
      <c r="O413" s="34"/>
    </row>
    <row r="414" spans="1:15" x14ac:dyDescent="0.25">
      <c r="A414" s="34"/>
      <c r="B414" s="34"/>
      <c r="C414" s="34"/>
      <c r="D414" s="34"/>
      <c r="E414" s="34"/>
      <c r="F414" s="34"/>
      <c r="G414" s="34"/>
      <c r="H414" s="34"/>
      <c r="I414" s="34"/>
      <c r="J414" s="34"/>
      <c r="K414" s="34"/>
      <c r="L414" s="34"/>
      <c r="M414" s="34"/>
      <c r="N414" s="34"/>
      <c r="O414" s="34"/>
    </row>
    <row r="415" spans="1:15" x14ac:dyDescent="0.25">
      <c r="A415" s="34"/>
      <c r="B415" s="34"/>
      <c r="C415" s="34"/>
      <c r="D415" s="34"/>
      <c r="E415" s="34"/>
      <c r="F415" s="34"/>
      <c r="G415" s="34"/>
      <c r="H415" s="34"/>
      <c r="I415" s="34"/>
      <c r="J415" s="34"/>
      <c r="K415" s="34"/>
      <c r="L415" s="34"/>
      <c r="M415" s="34"/>
      <c r="N415" s="34"/>
      <c r="O415" s="34"/>
    </row>
    <row r="416" spans="1:15" x14ac:dyDescent="0.25">
      <c r="A416" s="34"/>
      <c r="B416" s="34"/>
      <c r="C416" s="34"/>
      <c r="D416" s="34"/>
      <c r="E416" s="34"/>
      <c r="F416" s="34"/>
      <c r="G416" s="34"/>
      <c r="H416" s="34"/>
      <c r="I416" s="34"/>
      <c r="J416" s="34"/>
      <c r="K416" s="34"/>
      <c r="L416" s="34"/>
      <c r="M416" s="34"/>
      <c r="N416" s="34"/>
      <c r="O416" s="34"/>
    </row>
    <row r="417" spans="1:15" x14ac:dyDescent="0.25">
      <c r="A417" s="34"/>
      <c r="B417" s="34"/>
      <c r="C417" s="34"/>
      <c r="D417" s="34"/>
      <c r="E417" s="34"/>
      <c r="F417" s="34"/>
      <c r="G417" s="34"/>
      <c r="H417" s="34"/>
      <c r="I417" s="34"/>
      <c r="J417" s="34"/>
      <c r="K417" s="34"/>
      <c r="L417" s="34"/>
      <c r="M417" s="34"/>
      <c r="N417" s="34"/>
      <c r="O417" s="34"/>
    </row>
    <row r="418" spans="1:15" x14ac:dyDescent="0.25">
      <c r="A418" s="34"/>
      <c r="B418" s="34"/>
      <c r="C418" s="34"/>
      <c r="D418" s="34"/>
      <c r="E418" s="34"/>
      <c r="F418" s="34"/>
      <c r="G418" s="34"/>
      <c r="H418" s="34"/>
      <c r="I418" s="34"/>
      <c r="J418" s="34"/>
      <c r="K418" s="34"/>
      <c r="L418" s="34"/>
      <c r="M418" s="34"/>
      <c r="N418" s="34"/>
      <c r="O418" s="34"/>
    </row>
    <row r="419" spans="1:15" x14ac:dyDescent="0.25">
      <c r="A419" s="34"/>
      <c r="B419" s="34"/>
      <c r="C419" s="34"/>
      <c r="D419" s="34"/>
      <c r="E419" s="34"/>
      <c r="F419" s="34"/>
      <c r="G419" s="34"/>
      <c r="H419" s="34"/>
      <c r="I419" s="34"/>
      <c r="J419" s="34"/>
      <c r="K419" s="34"/>
      <c r="L419" s="34"/>
      <c r="M419" s="34"/>
      <c r="N419" s="34"/>
      <c r="O419" s="34"/>
    </row>
    <row r="420" spans="1:15" x14ac:dyDescent="0.25">
      <c r="A420" s="34"/>
      <c r="B420" s="34"/>
      <c r="C420" s="34"/>
      <c r="D420" s="34"/>
      <c r="E420" s="34"/>
      <c r="F420" s="34"/>
      <c r="G420" s="34"/>
      <c r="H420" s="34"/>
      <c r="I420" s="34"/>
      <c r="J420" s="34"/>
      <c r="K420" s="34"/>
      <c r="L420" s="34"/>
      <c r="M420" s="34"/>
      <c r="N420" s="34"/>
      <c r="O420" s="34"/>
    </row>
    <row r="421" spans="1:15" x14ac:dyDescent="0.25">
      <c r="A421" s="34"/>
      <c r="B421" s="34"/>
      <c r="C421" s="34"/>
      <c r="D421" s="34"/>
      <c r="E421" s="34"/>
      <c r="F421" s="34"/>
      <c r="G421" s="34"/>
      <c r="H421" s="34"/>
      <c r="I421" s="34"/>
      <c r="J421" s="34"/>
      <c r="K421" s="34"/>
      <c r="L421" s="34"/>
      <c r="M421" s="34"/>
      <c r="N421" s="34"/>
      <c r="O421" s="34"/>
    </row>
    <row r="422" spans="1:15" x14ac:dyDescent="0.25">
      <c r="A422" s="34"/>
      <c r="B422" s="34"/>
      <c r="C422" s="34"/>
      <c r="D422" s="34"/>
      <c r="E422" s="34"/>
      <c r="F422" s="34"/>
      <c r="G422" s="34"/>
      <c r="H422" s="34"/>
      <c r="I422" s="34"/>
      <c r="J422" s="34"/>
      <c r="K422" s="34"/>
      <c r="L422" s="34"/>
      <c r="M422" s="34"/>
      <c r="N422" s="34"/>
      <c r="O422" s="34"/>
    </row>
    <row r="423" spans="1:15" x14ac:dyDescent="0.25">
      <c r="A423" s="34"/>
      <c r="B423" s="34"/>
      <c r="C423" s="34"/>
      <c r="D423" s="34"/>
      <c r="E423" s="34"/>
      <c r="F423" s="34"/>
      <c r="G423" s="34"/>
      <c r="H423" s="34"/>
      <c r="I423" s="34"/>
      <c r="J423" s="34"/>
      <c r="K423" s="34"/>
      <c r="L423" s="34"/>
      <c r="M423" s="34"/>
      <c r="N423" s="34"/>
      <c r="O423" s="34"/>
    </row>
    <row r="424" spans="1:15" x14ac:dyDescent="0.25">
      <c r="A424" s="34"/>
      <c r="B424" s="34"/>
      <c r="C424" s="34"/>
      <c r="D424" s="34"/>
      <c r="E424" s="34"/>
      <c r="F424" s="34"/>
      <c r="G424" s="34"/>
      <c r="H424" s="34"/>
      <c r="I424" s="34"/>
      <c r="J424" s="34"/>
      <c r="K424" s="34"/>
      <c r="L424" s="34"/>
      <c r="M424" s="34"/>
      <c r="N424" s="34"/>
      <c r="O424" s="34"/>
    </row>
    <row r="425" spans="1:15" x14ac:dyDescent="0.25">
      <c r="A425" s="34"/>
      <c r="B425" s="34"/>
      <c r="C425" s="34"/>
      <c r="D425" s="34"/>
      <c r="E425" s="34"/>
      <c r="F425" s="34"/>
      <c r="G425" s="34"/>
      <c r="H425" s="34"/>
      <c r="I425" s="34"/>
      <c r="J425" s="34"/>
      <c r="K425" s="34"/>
      <c r="L425" s="34"/>
      <c r="M425" s="34"/>
      <c r="N425" s="34"/>
      <c r="O425" s="34"/>
    </row>
    <row r="426" spans="1:15" x14ac:dyDescent="0.25">
      <c r="A426" s="34"/>
      <c r="B426" s="34"/>
      <c r="C426" s="34"/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</row>
    <row r="427" spans="1:15" x14ac:dyDescent="0.25">
      <c r="A427" s="34"/>
      <c r="B427" s="34"/>
      <c r="C427" s="34"/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</row>
    <row r="428" spans="1:15" x14ac:dyDescent="0.25">
      <c r="A428" s="34"/>
      <c r="B428" s="34"/>
      <c r="C428" s="34"/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</row>
    <row r="429" spans="1:15" x14ac:dyDescent="0.25">
      <c r="A429" s="34"/>
      <c r="B429" s="34"/>
      <c r="C429" s="34"/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</row>
    <row r="430" spans="1:15" x14ac:dyDescent="0.25">
      <c r="A430" s="34"/>
      <c r="B430" s="34"/>
      <c r="C430" s="34"/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</row>
    <row r="431" spans="1:15" x14ac:dyDescent="0.25">
      <c r="A431" s="34"/>
      <c r="B431" s="34"/>
      <c r="C431" s="34"/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</row>
    <row r="432" spans="1:15" x14ac:dyDescent="0.25">
      <c r="A432" s="34"/>
      <c r="B432" s="34"/>
      <c r="C432" s="34"/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</row>
    <row r="433" spans="1:15" x14ac:dyDescent="0.25">
      <c r="A433" s="34"/>
      <c r="B433" s="34"/>
      <c r="C433" s="34"/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</row>
    <row r="434" spans="1:15" x14ac:dyDescent="0.25">
      <c r="A434" s="34"/>
      <c r="B434" s="34"/>
      <c r="C434" s="34"/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</row>
    <row r="435" spans="1:15" x14ac:dyDescent="0.25">
      <c r="A435" s="34"/>
      <c r="B435" s="34"/>
      <c r="C435" s="34"/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</row>
    <row r="436" spans="1:15" x14ac:dyDescent="0.25">
      <c r="A436" s="34"/>
      <c r="B436" s="34"/>
      <c r="C436" s="34"/>
      <c r="D436" s="34"/>
      <c r="E436" s="34"/>
      <c r="F436" s="34"/>
      <c r="G436" s="34"/>
      <c r="H436" s="34"/>
      <c r="I436" s="34"/>
      <c r="J436" s="34"/>
      <c r="K436" s="34"/>
      <c r="L436" s="34"/>
      <c r="M436" s="34"/>
      <c r="N436" s="34"/>
      <c r="O436" s="34"/>
    </row>
    <row r="437" spans="1:15" x14ac:dyDescent="0.25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</row>
    <row r="438" spans="1:15" x14ac:dyDescent="0.25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</row>
    <row r="439" spans="1:15" x14ac:dyDescent="0.25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</row>
    <row r="440" spans="1:15" x14ac:dyDescent="0.25">
      <c r="A440" s="34"/>
      <c r="B440" s="34"/>
      <c r="C440" s="34"/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</row>
    <row r="441" spans="1:15" x14ac:dyDescent="0.25">
      <c r="A441" s="34"/>
      <c r="B441" s="34"/>
      <c r="C441" s="34"/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</row>
    <row r="442" spans="1:15" x14ac:dyDescent="0.25">
      <c r="A442" s="34"/>
      <c r="B442" s="34"/>
      <c r="C442" s="34"/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</row>
    <row r="443" spans="1:15" x14ac:dyDescent="0.25">
      <c r="A443" s="34"/>
      <c r="B443" s="34"/>
      <c r="C443" s="34"/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</row>
    <row r="444" spans="1:15" x14ac:dyDescent="0.25">
      <c r="A444" s="34"/>
      <c r="B444" s="34"/>
      <c r="C444" s="34"/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</row>
    <row r="445" spans="1:15" x14ac:dyDescent="0.25">
      <c r="A445" s="34"/>
      <c r="B445" s="34"/>
      <c r="C445" s="34"/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</row>
    <row r="446" spans="1:15" x14ac:dyDescent="0.25">
      <c r="A446" s="34"/>
      <c r="B446" s="34"/>
      <c r="C446" s="34"/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</row>
    <row r="447" spans="1:15" x14ac:dyDescent="0.25">
      <c r="A447" s="34"/>
      <c r="B447" s="34"/>
      <c r="C447" s="34"/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</row>
    <row r="448" spans="1:15" x14ac:dyDescent="0.25">
      <c r="A448" s="34"/>
      <c r="B448" s="34"/>
      <c r="C448" s="34"/>
      <c r="D448" s="34"/>
      <c r="E448" s="34"/>
      <c r="F448" s="34"/>
      <c r="G448" s="34"/>
      <c r="H448" s="34"/>
      <c r="I448" s="34"/>
      <c r="J448" s="34"/>
      <c r="K448" s="34"/>
      <c r="L448" s="34"/>
      <c r="M448" s="34"/>
      <c r="N448" s="34"/>
      <c r="O448" s="34"/>
    </row>
    <row r="449" spans="1:15" x14ac:dyDescent="0.25">
      <c r="A449" s="34"/>
      <c r="B449" s="34"/>
      <c r="C449" s="34"/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</row>
    <row r="450" spans="1:15" x14ac:dyDescent="0.25">
      <c r="A450" s="34"/>
      <c r="B450" s="34"/>
      <c r="C450" s="34"/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</row>
    <row r="451" spans="1:15" x14ac:dyDescent="0.25">
      <c r="A451" s="34"/>
      <c r="B451" s="34"/>
      <c r="C451" s="34"/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</row>
    <row r="452" spans="1:15" x14ac:dyDescent="0.25">
      <c r="A452" s="34"/>
      <c r="B452" s="34"/>
      <c r="C452" s="34"/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</row>
    <row r="453" spans="1:15" x14ac:dyDescent="0.25">
      <c r="A453" s="34"/>
      <c r="B453" s="34"/>
      <c r="C453" s="34"/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</row>
    <row r="454" spans="1:15" x14ac:dyDescent="0.25">
      <c r="A454" s="34"/>
      <c r="B454" s="34"/>
      <c r="C454" s="34"/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</row>
    <row r="455" spans="1:15" x14ac:dyDescent="0.25">
      <c r="A455" s="34"/>
      <c r="B455" s="34"/>
      <c r="C455" s="34"/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</row>
    <row r="456" spans="1:15" x14ac:dyDescent="0.25">
      <c r="A456" s="34"/>
      <c r="B456" s="34"/>
      <c r="C456" s="34"/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</row>
    <row r="457" spans="1:15" x14ac:dyDescent="0.25">
      <c r="A457" s="34"/>
      <c r="B457" s="34"/>
      <c r="C457" s="34"/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</row>
    <row r="458" spans="1:15" x14ac:dyDescent="0.25">
      <c r="A458" s="34"/>
      <c r="B458" s="34"/>
      <c r="C458" s="34"/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</row>
    <row r="459" spans="1:15" x14ac:dyDescent="0.25">
      <c r="A459" s="34"/>
      <c r="B459" s="34"/>
      <c r="C459" s="34"/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</row>
    <row r="460" spans="1:15" x14ac:dyDescent="0.25">
      <c r="A460" s="34"/>
      <c r="B460" s="34"/>
      <c r="C460" s="34"/>
      <c r="D460" s="34"/>
      <c r="E460" s="34"/>
      <c r="F460" s="34"/>
      <c r="G460" s="34"/>
      <c r="H460" s="34"/>
      <c r="I460" s="34"/>
      <c r="J460" s="34"/>
      <c r="K460" s="34"/>
      <c r="L460" s="34"/>
      <c r="M460" s="34"/>
      <c r="N460" s="34"/>
      <c r="O460" s="34"/>
    </row>
    <row r="461" spans="1:15" x14ac:dyDescent="0.25">
      <c r="A461" s="34"/>
      <c r="B461" s="34"/>
      <c r="C461" s="34"/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</row>
    <row r="462" spans="1:15" x14ac:dyDescent="0.25">
      <c r="A462" s="34"/>
      <c r="B462" s="34"/>
      <c r="C462" s="34"/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</row>
    <row r="463" spans="1:15" x14ac:dyDescent="0.25">
      <c r="A463" s="34"/>
      <c r="B463" s="34"/>
      <c r="C463" s="34"/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</row>
    <row r="464" spans="1:15" x14ac:dyDescent="0.25">
      <c r="A464" s="34"/>
      <c r="B464" s="34"/>
      <c r="C464" s="34"/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</row>
    <row r="465" spans="1:15" x14ac:dyDescent="0.25">
      <c r="A465" s="34"/>
      <c r="B465" s="34"/>
      <c r="C465" s="34"/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</row>
    <row r="466" spans="1:15" x14ac:dyDescent="0.25">
      <c r="A466" s="34"/>
      <c r="B466" s="34"/>
      <c r="C466" s="34"/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</row>
    <row r="467" spans="1:15" x14ac:dyDescent="0.25">
      <c r="A467" s="34"/>
      <c r="B467" s="34"/>
      <c r="C467" s="34"/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</row>
    <row r="468" spans="1:15" x14ac:dyDescent="0.25">
      <c r="A468" s="34"/>
      <c r="B468" s="34"/>
      <c r="C468" s="34"/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</row>
    <row r="469" spans="1:15" x14ac:dyDescent="0.25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</row>
    <row r="470" spans="1:15" x14ac:dyDescent="0.25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</row>
    <row r="471" spans="1:15" x14ac:dyDescent="0.25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</row>
    <row r="472" spans="1:15" x14ac:dyDescent="0.25">
      <c r="A472" s="34"/>
      <c r="B472" s="34"/>
      <c r="C472" s="34"/>
      <c r="D472" s="34"/>
      <c r="E472" s="34"/>
      <c r="F472" s="34"/>
      <c r="G472" s="34"/>
      <c r="H472" s="34"/>
      <c r="I472" s="34"/>
      <c r="J472" s="34"/>
      <c r="K472" s="34"/>
      <c r="L472" s="34"/>
      <c r="M472" s="34"/>
      <c r="N472" s="34"/>
      <c r="O472" s="34"/>
    </row>
    <row r="473" spans="1:15" x14ac:dyDescent="0.25">
      <c r="A473" s="34"/>
      <c r="B473" s="34"/>
      <c r="C473" s="34"/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</row>
    <row r="474" spans="1:15" x14ac:dyDescent="0.25">
      <c r="A474" s="34"/>
      <c r="B474" s="34"/>
      <c r="C474" s="34"/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</row>
    <row r="475" spans="1:15" x14ac:dyDescent="0.25">
      <c r="A475" s="34"/>
      <c r="B475" s="34"/>
      <c r="C475" s="34"/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</row>
    <row r="476" spans="1:15" x14ac:dyDescent="0.25">
      <c r="A476" s="34"/>
      <c r="B476" s="34"/>
      <c r="C476" s="34"/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</row>
    <row r="477" spans="1:15" x14ac:dyDescent="0.25">
      <c r="A477" s="34"/>
      <c r="B477" s="34"/>
      <c r="C477" s="34"/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</row>
    <row r="478" spans="1:15" x14ac:dyDescent="0.25">
      <c r="A478" s="34"/>
      <c r="B478" s="34"/>
      <c r="C478" s="34"/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</row>
    <row r="479" spans="1:15" x14ac:dyDescent="0.25">
      <c r="A479" s="34"/>
      <c r="B479" s="34"/>
      <c r="C479" s="34"/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</row>
    <row r="480" spans="1:15" x14ac:dyDescent="0.25">
      <c r="A480" s="34"/>
      <c r="B480" s="34"/>
      <c r="C480" s="34"/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</row>
    <row r="481" spans="1:15" x14ac:dyDescent="0.25">
      <c r="A481" s="34"/>
      <c r="B481" s="34"/>
      <c r="C481" s="34"/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</row>
    <row r="482" spans="1:15" x14ac:dyDescent="0.25">
      <c r="A482" s="34"/>
      <c r="B482" s="34"/>
      <c r="C482" s="34"/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</row>
    <row r="483" spans="1:15" x14ac:dyDescent="0.25">
      <c r="A483" s="34"/>
      <c r="B483" s="34"/>
      <c r="C483" s="34"/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</row>
    <row r="484" spans="1:15" x14ac:dyDescent="0.25">
      <c r="A484" s="34"/>
      <c r="B484" s="34"/>
      <c r="C484" s="34"/>
      <c r="D484" s="34"/>
      <c r="E484" s="34"/>
      <c r="F484" s="34"/>
      <c r="G484" s="34"/>
      <c r="H484" s="34"/>
      <c r="I484" s="34"/>
      <c r="J484" s="34"/>
      <c r="K484" s="34"/>
      <c r="L484" s="34"/>
      <c r="M484" s="34"/>
      <c r="N484" s="34"/>
      <c r="O484" s="34"/>
    </row>
    <row r="485" spans="1:15" x14ac:dyDescent="0.25">
      <c r="A485" s="34"/>
      <c r="B485" s="34"/>
      <c r="C485" s="34"/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</row>
    <row r="486" spans="1:15" x14ac:dyDescent="0.25">
      <c r="A486" s="34"/>
      <c r="B486" s="34"/>
      <c r="C486" s="34"/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</row>
    <row r="487" spans="1:15" x14ac:dyDescent="0.25">
      <c r="A487" s="34"/>
      <c r="B487" s="34"/>
      <c r="C487" s="34"/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</row>
    <row r="488" spans="1:15" x14ac:dyDescent="0.25">
      <c r="A488" s="34"/>
      <c r="B488" s="34"/>
      <c r="C488" s="34"/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</row>
    <row r="489" spans="1:15" x14ac:dyDescent="0.25">
      <c r="A489" s="34"/>
      <c r="B489" s="34"/>
      <c r="C489" s="34"/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</row>
    <row r="490" spans="1:15" x14ac:dyDescent="0.25">
      <c r="A490" s="34"/>
      <c r="B490" s="34"/>
      <c r="C490" s="34"/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</row>
    <row r="491" spans="1:15" x14ac:dyDescent="0.25">
      <c r="A491" s="34"/>
      <c r="B491" s="34"/>
      <c r="C491" s="34"/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</row>
    <row r="492" spans="1:15" x14ac:dyDescent="0.25">
      <c r="A492" s="34"/>
      <c r="B492" s="34"/>
      <c r="C492" s="34"/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</row>
    <row r="493" spans="1:15" x14ac:dyDescent="0.25">
      <c r="A493" s="34"/>
      <c r="B493" s="34"/>
      <c r="C493" s="34"/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</row>
    <row r="494" spans="1:15" x14ac:dyDescent="0.25">
      <c r="A494" s="34"/>
      <c r="B494" s="34"/>
      <c r="C494" s="34"/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</row>
    <row r="495" spans="1:15" x14ac:dyDescent="0.25">
      <c r="A495" s="34"/>
      <c r="B495" s="34"/>
      <c r="C495" s="34"/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</row>
    <row r="496" spans="1:15" x14ac:dyDescent="0.25">
      <c r="A496" s="34"/>
      <c r="B496" s="34"/>
      <c r="C496" s="34"/>
      <c r="D496" s="34"/>
      <c r="E496" s="34"/>
      <c r="F496" s="34"/>
      <c r="G496" s="34"/>
      <c r="H496" s="34"/>
      <c r="I496" s="34"/>
      <c r="J496" s="34"/>
      <c r="K496" s="34"/>
      <c r="L496" s="34"/>
      <c r="M496" s="34"/>
      <c r="N496" s="34"/>
      <c r="O496" s="34"/>
    </row>
    <row r="497" spans="1:15" x14ac:dyDescent="0.25">
      <c r="A497" s="34"/>
      <c r="B497" s="34"/>
      <c r="C497" s="34"/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</row>
    <row r="498" spans="1:15" x14ac:dyDescent="0.25">
      <c r="A498" s="34"/>
      <c r="B498" s="34"/>
      <c r="C498" s="34"/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</row>
    <row r="499" spans="1:15" x14ac:dyDescent="0.25">
      <c r="A499" s="34"/>
      <c r="B499" s="34"/>
      <c r="C499" s="34"/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</row>
    <row r="500" spans="1:15" x14ac:dyDescent="0.25">
      <c r="A500" s="34"/>
      <c r="B500" s="34"/>
      <c r="C500" s="34"/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</row>
    <row r="501" spans="1:15" x14ac:dyDescent="0.25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</row>
    <row r="502" spans="1:15" x14ac:dyDescent="0.25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</row>
    <row r="503" spans="1:15" x14ac:dyDescent="0.25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</row>
    <row r="504" spans="1:15" x14ac:dyDescent="0.25">
      <c r="A504" s="34"/>
      <c r="B504" s="34"/>
      <c r="C504" s="34"/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</row>
    <row r="505" spans="1:15" x14ac:dyDescent="0.25">
      <c r="A505" s="34"/>
      <c r="B505" s="34"/>
      <c r="C505" s="34"/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</row>
    <row r="506" spans="1:15" x14ac:dyDescent="0.25">
      <c r="A506" s="34"/>
      <c r="B506" s="34"/>
      <c r="C506" s="34"/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</row>
    <row r="507" spans="1:15" x14ac:dyDescent="0.25">
      <c r="A507" s="34"/>
      <c r="B507" s="34"/>
      <c r="C507" s="34"/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</row>
    <row r="508" spans="1:15" x14ac:dyDescent="0.25">
      <c r="A508" s="34"/>
      <c r="B508" s="34"/>
      <c r="C508" s="34"/>
      <c r="D508" s="34"/>
      <c r="E508" s="34"/>
      <c r="F508" s="34"/>
      <c r="G508" s="34"/>
      <c r="H508" s="34"/>
      <c r="I508" s="34"/>
      <c r="J508" s="34"/>
      <c r="K508" s="34"/>
      <c r="L508" s="34"/>
      <c r="M508" s="34"/>
      <c r="N508" s="34"/>
      <c r="O508" s="34"/>
    </row>
    <row r="509" spans="1:15" x14ac:dyDescent="0.25">
      <c r="A509" s="34"/>
      <c r="B509" s="34"/>
      <c r="C509" s="34"/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</row>
    <row r="510" spans="1:15" x14ac:dyDescent="0.25">
      <c r="A510" s="34"/>
      <c r="B510" s="34"/>
      <c r="C510" s="34"/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</row>
    <row r="511" spans="1:15" x14ac:dyDescent="0.25">
      <c r="A511" s="34"/>
      <c r="B511" s="34"/>
      <c r="C511" s="34"/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</row>
    <row r="512" spans="1:15" x14ac:dyDescent="0.25">
      <c r="A512" s="34"/>
      <c r="B512" s="34"/>
      <c r="C512" s="34"/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</row>
    <row r="513" spans="1:15" x14ac:dyDescent="0.25">
      <c r="A513" s="34"/>
      <c r="B513" s="34"/>
      <c r="C513" s="34"/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</row>
    <row r="514" spans="1:15" x14ac:dyDescent="0.25">
      <c r="A514" s="34"/>
      <c r="B514" s="34"/>
      <c r="C514" s="34"/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</row>
    <row r="515" spans="1:15" x14ac:dyDescent="0.25">
      <c r="A515" s="34"/>
      <c r="B515" s="34"/>
      <c r="C515" s="34"/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</row>
    <row r="516" spans="1:15" x14ac:dyDescent="0.25">
      <c r="A516" s="34"/>
      <c r="B516" s="34"/>
      <c r="C516" s="34"/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</row>
    <row r="517" spans="1:15" x14ac:dyDescent="0.25">
      <c r="A517" s="34"/>
      <c r="B517" s="34"/>
      <c r="C517" s="34"/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</row>
    <row r="518" spans="1:15" x14ac:dyDescent="0.25">
      <c r="A518" s="34"/>
      <c r="B518" s="34"/>
      <c r="C518" s="34"/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</row>
    <row r="519" spans="1:15" x14ac:dyDescent="0.25">
      <c r="A519" s="34"/>
      <c r="B519" s="34"/>
      <c r="C519" s="34"/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</row>
    <row r="520" spans="1:15" x14ac:dyDescent="0.25">
      <c r="A520" s="34"/>
      <c r="B520" s="34"/>
      <c r="C520" s="34"/>
      <c r="D520" s="34"/>
      <c r="E520" s="34"/>
      <c r="F520" s="34"/>
      <c r="G520" s="34"/>
      <c r="H520" s="34"/>
      <c r="I520" s="34"/>
      <c r="J520" s="34"/>
      <c r="K520" s="34"/>
      <c r="L520" s="34"/>
      <c r="M520" s="34"/>
      <c r="N520" s="34"/>
      <c r="O520" s="34"/>
    </row>
    <row r="521" spans="1:15" x14ac:dyDescent="0.25">
      <c r="A521" s="34"/>
      <c r="B521" s="34"/>
      <c r="C521" s="34"/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</row>
    <row r="522" spans="1:15" x14ac:dyDescent="0.25">
      <c r="A522" s="34"/>
      <c r="B522" s="34"/>
      <c r="C522" s="34"/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</row>
    <row r="523" spans="1:15" x14ac:dyDescent="0.25">
      <c r="A523" s="34"/>
      <c r="B523" s="34"/>
      <c r="C523" s="34"/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</row>
    <row r="524" spans="1:15" x14ac:dyDescent="0.25">
      <c r="A524" s="34"/>
      <c r="B524" s="34"/>
      <c r="C524" s="34"/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</row>
    <row r="525" spans="1:15" x14ac:dyDescent="0.25">
      <c r="A525" s="34"/>
      <c r="B525" s="34"/>
      <c r="C525" s="34"/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</row>
    <row r="526" spans="1:15" x14ac:dyDescent="0.25">
      <c r="A526" s="34"/>
      <c r="B526" s="34"/>
      <c r="C526" s="34"/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</row>
    <row r="527" spans="1:15" x14ac:dyDescent="0.25">
      <c r="A527" s="34"/>
      <c r="B527" s="34"/>
      <c r="C527" s="34"/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</row>
    <row r="528" spans="1:15" x14ac:dyDescent="0.25">
      <c r="A528" s="34"/>
      <c r="B528" s="34"/>
      <c r="C528" s="34"/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</row>
    <row r="529" spans="1:15" x14ac:dyDescent="0.25">
      <c r="A529" s="34"/>
      <c r="B529" s="34"/>
      <c r="C529" s="34"/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</row>
    <row r="530" spans="1:15" x14ac:dyDescent="0.25">
      <c r="A530" s="34"/>
      <c r="B530" s="34"/>
      <c r="C530" s="34"/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</row>
    <row r="531" spans="1:15" x14ac:dyDescent="0.25">
      <c r="A531" s="34"/>
      <c r="B531" s="34"/>
      <c r="C531" s="34"/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</row>
    <row r="532" spans="1:15" x14ac:dyDescent="0.25">
      <c r="A532" s="34"/>
      <c r="B532" s="34"/>
      <c r="C532" s="34"/>
      <c r="D532" s="34"/>
      <c r="E532" s="34"/>
      <c r="F532" s="34"/>
      <c r="G532" s="34"/>
      <c r="H532" s="34"/>
      <c r="I532" s="34"/>
      <c r="J532" s="34"/>
      <c r="K532" s="34"/>
      <c r="L532" s="34"/>
      <c r="M532" s="34"/>
      <c r="N532" s="34"/>
      <c r="O532" s="34"/>
    </row>
    <row r="533" spans="1:15" x14ac:dyDescent="0.25">
      <c r="A533" s="34"/>
      <c r="B533" s="34"/>
      <c r="C533" s="34"/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</row>
    <row r="534" spans="1:15" x14ac:dyDescent="0.25">
      <c r="A534" s="34"/>
      <c r="B534" s="34"/>
      <c r="C534" s="34"/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</row>
    <row r="535" spans="1:15" x14ac:dyDescent="0.25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</row>
    <row r="536" spans="1:15" x14ac:dyDescent="0.25">
      <c r="A536" s="34"/>
      <c r="B536" s="34"/>
      <c r="C536" s="34"/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</row>
    <row r="537" spans="1:15" x14ac:dyDescent="0.25">
      <c r="A537" s="34"/>
      <c r="B537" s="34"/>
      <c r="C537" s="34"/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</row>
    <row r="538" spans="1:15" x14ac:dyDescent="0.25">
      <c r="A538" s="34"/>
      <c r="B538" s="34"/>
      <c r="C538" s="34"/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</row>
    <row r="539" spans="1:15" x14ac:dyDescent="0.25">
      <c r="A539" s="34"/>
      <c r="B539" s="34"/>
      <c r="C539" s="34"/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</row>
    <row r="540" spans="1:15" x14ac:dyDescent="0.25">
      <c r="A540" s="34"/>
      <c r="B540" s="34"/>
      <c r="C540" s="34"/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</row>
    <row r="541" spans="1:15" x14ac:dyDescent="0.25">
      <c r="A541" s="34"/>
      <c r="B541" s="34"/>
      <c r="C541" s="34"/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</row>
    <row r="542" spans="1:15" x14ac:dyDescent="0.25">
      <c r="A542" s="34"/>
      <c r="B542" s="34"/>
      <c r="C542" s="34"/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</row>
    <row r="543" spans="1:15" x14ac:dyDescent="0.25">
      <c r="A543" s="34"/>
      <c r="B543" s="34"/>
      <c r="C543" s="34"/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</row>
    <row r="544" spans="1:15" x14ac:dyDescent="0.25">
      <c r="A544" s="34"/>
      <c r="B544" s="34"/>
      <c r="C544" s="34"/>
      <c r="D544" s="34"/>
      <c r="E544" s="34"/>
      <c r="F544" s="34"/>
      <c r="G544" s="34"/>
      <c r="H544" s="34"/>
      <c r="I544" s="34"/>
      <c r="J544" s="34"/>
      <c r="K544" s="34"/>
      <c r="L544" s="34"/>
      <c r="M544" s="34"/>
      <c r="N544" s="34"/>
      <c r="O544" s="34"/>
    </row>
    <row r="545" spans="1:15" x14ac:dyDescent="0.25">
      <c r="A545" s="34"/>
      <c r="B545" s="34"/>
      <c r="C545" s="34"/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</row>
    <row r="546" spans="1:15" x14ac:dyDescent="0.25">
      <c r="A546" s="34"/>
      <c r="B546" s="34"/>
      <c r="C546" s="34"/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</row>
    <row r="547" spans="1:15" x14ac:dyDescent="0.25">
      <c r="A547" s="34"/>
      <c r="B547" s="34"/>
      <c r="C547" s="34"/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</row>
    <row r="548" spans="1:15" x14ac:dyDescent="0.25">
      <c r="A548" s="34"/>
      <c r="B548" s="34"/>
      <c r="C548" s="34"/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</row>
    <row r="549" spans="1:15" x14ac:dyDescent="0.25">
      <c r="A549" s="34"/>
      <c r="B549" s="34"/>
      <c r="C549" s="34"/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</row>
    <row r="550" spans="1:15" x14ac:dyDescent="0.25">
      <c r="A550" s="34"/>
      <c r="B550" s="34"/>
      <c r="C550" s="34"/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</row>
    <row r="551" spans="1:15" x14ac:dyDescent="0.25">
      <c r="A551" s="34"/>
      <c r="B551" s="34"/>
      <c r="C551" s="34"/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</row>
    <row r="552" spans="1:15" x14ac:dyDescent="0.25">
      <c r="A552" s="34"/>
      <c r="B552" s="34"/>
      <c r="C552" s="34"/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</row>
    <row r="553" spans="1:15" x14ac:dyDescent="0.25">
      <c r="A553" s="34"/>
      <c r="B553" s="34"/>
      <c r="C553" s="34"/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</row>
    <row r="554" spans="1:15" x14ac:dyDescent="0.25">
      <c r="A554" s="34"/>
      <c r="B554" s="34"/>
      <c r="C554" s="34"/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</row>
    <row r="555" spans="1:15" x14ac:dyDescent="0.25">
      <c r="A555" s="34"/>
      <c r="B555" s="34"/>
      <c r="C555" s="34"/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</row>
    <row r="556" spans="1:15" x14ac:dyDescent="0.25">
      <c r="A556" s="34"/>
      <c r="B556" s="34"/>
      <c r="C556" s="34"/>
      <c r="D556" s="34"/>
      <c r="E556" s="34"/>
      <c r="F556" s="34"/>
      <c r="G556" s="34"/>
      <c r="H556" s="34"/>
      <c r="I556" s="34"/>
      <c r="J556" s="34"/>
      <c r="K556" s="34"/>
      <c r="L556" s="34"/>
      <c r="M556" s="34"/>
      <c r="N556" s="34"/>
      <c r="O556" s="34"/>
    </row>
    <row r="557" spans="1:15" x14ac:dyDescent="0.25">
      <c r="A557" s="34"/>
      <c r="B557" s="34"/>
      <c r="C557" s="34"/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</row>
    <row r="558" spans="1:15" x14ac:dyDescent="0.25">
      <c r="A558" s="34"/>
      <c r="B558" s="34"/>
      <c r="C558" s="34"/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</row>
    <row r="559" spans="1:15" x14ac:dyDescent="0.25">
      <c r="A559" s="34"/>
      <c r="B559" s="34"/>
      <c r="C559" s="34"/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</row>
    <row r="560" spans="1:15" x14ac:dyDescent="0.25">
      <c r="A560" s="34"/>
      <c r="B560" s="34"/>
      <c r="C560" s="34"/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</row>
    <row r="561" spans="1:15" x14ac:dyDescent="0.25">
      <c r="A561" s="34"/>
      <c r="B561" s="34"/>
      <c r="C561" s="34"/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</row>
    <row r="562" spans="1:15" x14ac:dyDescent="0.25">
      <c r="A562" s="34"/>
      <c r="B562" s="34"/>
      <c r="C562" s="34"/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</row>
    <row r="563" spans="1:15" x14ac:dyDescent="0.25">
      <c r="A563" s="34"/>
      <c r="B563" s="34"/>
      <c r="C563" s="34"/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</row>
    <row r="564" spans="1:15" x14ac:dyDescent="0.25">
      <c r="A564" s="34"/>
      <c r="B564" s="34"/>
      <c r="C564" s="34"/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</row>
    <row r="565" spans="1:15" x14ac:dyDescent="0.25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</row>
    <row r="566" spans="1:15" x14ac:dyDescent="0.25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</row>
    <row r="567" spans="1:15" x14ac:dyDescent="0.25">
      <c r="A567" s="34"/>
      <c r="B567" s="34"/>
      <c r="C567" s="34"/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</row>
    <row r="568" spans="1:15" x14ac:dyDescent="0.25">
      <c r="A568" s="34"/>
      <c r="B568" s="34"/>
      <c r="C568" s="34"/>
      <c r="D568" s="34"/>
      <c r="E568" s="34"/>
      <c r="F568" s="34"/>
      <c r="G568" s="34"/>
      <c r="H568" s="34"/>
      <c r="I568" s="34"/>
      <c r="J568" s="34"/>
      <c r="K568" s="34"/>
      <c r="L568" s="34"/>
      <c r="M568" s="34"/>
      <c r="N568" s="34"/>
      <c r="O568" s="34"/>
    </row>
    <row r="569" spans="1:15" x14ac:dyDescent="0.25">
      <c r="A569" s="34"/>
      <c r="B569" s="34"/>
      <c r="C569" s="34"/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</row>
    <row r="570" spans="1:15" x14ac:dyDescent="0.25">
      <c r="A570" s="34"/>
      <c r="B570" s="34"/>
      <c r="C570" s="34"/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</row>
    <row r="571" spans="1:15" x14ac:dyDescent="0.25">
      <c r="A571" s="34"/>
      <c r="B571" s="34"/>
      <c r="C571" s="34"/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</row>
    <row r="572" spans="1:15" x14ac:dyDescent="0.25">
      <c r="A572" s="34"/>
      <c r="B572" s="34"/>
      <c r="C572" s="34"/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</row>
    <row r="573" spans="1:15" x14ac:dyDescent="0.25">
      <c r="A573" s="34"/>
      <c r="B573" s="34"/>
      <c r="C573" s="34"/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</row>
    <row r="574" spans="1:15" x14ac:dyDescent="0.25">
      <c r="A574" s="34"/>
      <c r="B574" s="34"/>
      <c r="C574" s="34"/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</row>
    <row r="575" spans="1:15" x14ac:dyDescent="0.25">
      <c r="A575" s="34"/>
      <c r="B575" s="34"/>
      <c r="C575" s="34"/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</row>
    <row r="576" spans="1:15" x14ac:dyDescent="0.25">
      <c r="A576" s="34"/>
      <c r="B576" s="34"/>
      <c r="C576" s="34"/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</row>
    <row r="577" spans="1:15" x14ac:dyDescent="0.25">
      <c r="A577" s="34"/>
      <c r="B577" s="34"/>
      <c r="C577" s="34"/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</row>
    <row r="578" spans="1:15" x14ac:dyDescent="0.25">
      <c r="A578" s="34"/>
      <c r="B578" s="34"/>
      <c r="C578" s="34"/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</row>
    <row r="579" spans="1:15" x14ac:dyDescent="0.25">
      <c r="A579" s="34"/>
      <c r="B579" s="34"/>
      <c r="C579" s="34"/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</row>
    <row r="580" spans="1:15" x14ac:dyDescent="0.25">
      <c r="A580" s="34"/>
      <c r="B580" s="34"/>
      <c r="C580" s="34"/>
      <c r="D580" s="34"/>
      <c r="E580" s="34"/>
      <c r="F580" s="34"/>
      <c r="G580" s="34"/>
      <c r="H580" s="34"/>
      <c r="I580" s="34"/>
      <c r="J580" s="34"/>
      <c r="K580" s="34"/>
      <c r="L580" s="34"/>
      <c r="M580" s="34"/>
      <c r="N580" s="34"/>
      <c r="O580" s="34"/>
    </row>
    <row r="581" spans="1:15" x14ac:dyDescent="0.25">
      <c r="A581" s="34"/>
      <c r="B581" s="34"/>
      <c r="C581" s="34"/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</row>
    <row r="582" spans="1:15" x14ac:dyDescent="0.25">
      <c r="A582" s="34"/>
      <c r="B582" s="34"/>
      <c r="C582" s="34"/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</row>
    <row r="583" spans="1:15" x14ac:dyDescent="0.25">
      <c r="A583" s="34"/>
      <c r="B583" s="34"/>
      <c r="C583" s="34"/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</row>
    <row r="584" spans="1:15" x14ac:dyDescent="0.25">
      <c r="A584" s="34"/>
      <c r="B584" s="34"/>
      <c r="C584" s="34"/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</row>
    <row r="585" spans="1:15" x14ac:dyDescent="0.25">
      <c r="A585" s="34"/>
      <c r="B585" s="34"/>
      <c r="C585" s="34"/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</row>
    <row r="586" spans="1:15" x14ac:dyDescent="0.25">
      <c r="A586" s="34"/>
      <c r="B586" s="34"/>
      <c r="C586" s="34"/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</row>
    <row r="587" spans="1:15" x14ac:dyDescent="0.25">
      <c r="A587" s="34"/>
      <c r="B587" s="34"/>
      <c r="C587" s="34"/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</row>
    <row r="588" spans="1:15" x14ac:dyDescent="0.25">
      <c r="A588" s="34"/>
      <c r="B588" s="34"/>
      <c r="C588" s="34"/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</row>
    <row r="589" spans="1:15" x14ac:dyDescent="0.25">
      <c r="A589" s="34"/>
      <c r="B589" s="34"/>
      <c r="C589" s="34"/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</row>
    <row r="590" spans="1:15" x14ac:dyDescent="0.25">
      <c r="A590" s="34"/>
      <c r="B590" s="34"/>
      <c r="C590" s="34"/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</row>
    <row r="591" spans="1:15" x14ac:dyDescent="0.25">
      <c r="A591" s="34"/>
      <c r="B591" s="34"/>
      <c r="C591" s="34"/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</row>
    <row r="592" spans="1:15" x14ac:dyDescent="0.25">
      <c r="A592" s="34"/>
      <c r="B592" s="34"/>
      <c r="C592" s="34"/>
      <c r="D592" s="34"/>
      <c r="E592" s="34"/>
      <c r="F592" s="34"/>
      <c r="G592" s="34"/>
      <c r="H592" s="34"/>
      <c r="I592" s="34"/>
      <c r="J592" s="34"/>
      <c r="K592" s="34"/>
      <c r="L592" s="34"/>
      <c r="M592" s="34"/>
      <c r="N592" s="34"/>
      <c r="O592" s="34"/>
    </row>
    <row r="593" spans="1:15" x14ac:dyDescent="0.25">
      <c r="A593" s="34"/>
      <c r="B593" s="34"/>
      <c r="C593" s="34"/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</row>
    <row r="594" spans="1:15" x14ac:dyDescent="0.25">
      <c r="A594" s="34"/>
      <c r="B594" s="34"/>
      <c r="C594" s="34"/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</row>
    <row r="595" spans="1:15" x14ac:dyDescent="0.25">
      <c r="A595" s="34"/>
      <c r="B595" s="34"/>
      <c r="C595" s="34"/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</row>
    <row r="596" spans="1:15" x14ac:dyDescent="0.25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</row>
    <row r="597" spans="1:15" x14ac:dyDescent="0.25">
      <c r="A597" s="34"/>
      <c r="B597" s="34"/>
      <c r="C597" s="34"/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</row>
    <row r="598" spans="1:15" x14ac:dyDescent="0.25">
      <c r="A598" s="34"/>
      <c r="B598" s="34"/>
      <c r="C598" s="34"/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</row>
    <row r="599" spans="1:15" x14ac:dyDescent="0.25">
      <c r="A599" s="34"/>
      <c r="B599" s="34"/>
      <c r="C599" s="34"/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</row>
    <row r="600" spans="1:15" x14ac:dyDescent="0.25">
      <c r="A600" s="34"/>
      <c r="B600" s="34"/>
      <c r="C600" s="34"/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</row>
    <row r="601" spans="1:15" x14ac:dyDescent="0.25">
      <c r="A601" s="34"/>
      <c r="B601" s="34"/>
      <c r="C601" s="34"/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</row>
    <row r="602" spans="1:15" x14ac:dyDescent="0.25">
      <c r="A602" s="34"/>
      <c r="B602" s="34"/>
      <c r="C602" s="34"/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</row>
    <row r="603" spans="1:15" x14ac:dyDescent="0.25">
      <c r="A603" s="34"/>
      <c r="B603" s="34"/>
      <c r="C603" s="34"/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</row>
    <row r="604" spans="1:15" x14ac:dyDescent="0.25">
      <c r="A604" s="34"/>
      <c r="B604" s="34"/>
      <c r="C604" s="34"/>
      <c r="D604" s="34"/>
      <c r="E604" s="34"/>
      <c r="F604" s="34"/>
      <c r="G604" s="34"/>
      <c r="H604" s="34"/>
      <c r="I604" s="34"/>
      <c r="J604" s="34"/>
      <c r="K604" s="34"/>
      <c r="L604" s="34"/>
      <c r="M604" s="34"/>
      <c r="N604" s="34"/>
      <c r="O604" s="34"/>
    </row>
    <row r="605" spans="1:15" x14ac:dyDescent="0.25">
      <c r="A605" s="34"/>
      <c r="B605" s="34"/>
      <c r="C605" s="34"/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</row>
    <row r="606" spans="1:15" x14ac:dyDescent="0.25">
      <c r="A606" s="34"/>
      <c r="B606" s="34"/>
      <c r="C606" s="34"/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</row>
    <row r="607" spans="1:15" x14ac:dyDescent="0.25">
      <c r="A607" s="34"/>
      <c r="B607" s="34"/>
      <c r="C607" s="34"/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</row>
    <row r="608" spans="1:15" x14ac:dyDescent="0.25">
      <c r="A608" s="34"/>
      <c r="B608" s="34"/>
      <c r="C608" s="34"/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</row>
    <row r="609" spans="1:15" x14ac:dyDescent="0.25">
      <c r="A609" s="34"/>
      <c r="B609" s="34"/>
      <c r="C609" s="34"/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</row>
    <row r="610" spans="1:15" x14ac:dyDescent="0.25">
      <c r="A610" s="34"/>
      <c r="B610" s="34"/>
      <c r="C610" s="34"/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</row>
    <row r="611" spans="1:15" x14ac:dyDescent="0.25">
      <c r="A611" s="34"/>
      <c r="B611" s="34"/>
      <c r="C611" s="34"/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</row>
    <row r="612" spans="1:15" x14ac:dyDescent="0.25">
      <c r="A612" s="34"/>
      <c r="B612" s="34"/>
      <c r="C612" s="34"/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</row>
    <row r="613" spans="1:15" x14ac:dyDescent="0.25">
      <c r="A613" s="34"/>
      <c r="B613" s="34"/>
      <c r="C613" s="34"/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</row>
    <row r="614" spans="1:15" x14ac:dyDescent="0.25">
      <c r="A614" s="34"/>
      <c r="B614" s="34"/>
      <c r="C614" s="34"/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</row>
    <row r="615" spans="1:15" x14ac:dyDescent="0.25">
      <c r="A615" s="34"/>
      <c r="B615" s="34"/>
      <c r="C615" s="34"/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</row>
    <row r="616" spans="1:15" x14ac:dyDescent="0.25">
      <c r="A616" s="34"/>
      <c r="B616" s="34"/>
      <c r="C616" s="34"/>
      <c r="D616" s="34"/>
      <c r="E616" s="34"/>
      <c r="F616" s="34"/>
      <c r="G616" s="34"/>
      <c r="H616" s="34"/>
      <c r="I616" s="34"/>
      <c r="J616" s="34"/>
      <c r="K616" s="34"/>
      <c r="L616" s="34"/>
      <c r="M616" s="34"/>
      <c r="N616" s="34"/>
      <c r="O616" s="34"/>
    </row>
    <row r="617" spans="1:15" x14ac:dyDescent="0.25">
      <c r="A617" s="34"/>
      <c r="B617" s="34"/>
      <c r="C617" s="34"/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</row>
    <row r="618" spans="1:15" x14ac:dyDescent="0.25">
      <c r="A618" s="34"/>
      <c r="B618" s="34"/>
      <c r="C618" s="34"/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</row>
    <row r="619" spans="1:15" x14ac:dyDescent="0.25">
      <c r="A619" s="34"/>
      <c r="B619" s="34"/>
      <c r="C619" s="34"/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</row>
    <row r="620" spans="1:15" x14ac:dyDescent="0.25">
      <c r="A620" s="34"/>
      <c r="B620" s="34"/>
      <c r="C620" s="34"/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</row>
    <row r="621" spans="1:15" x14ac:dyDescent="0.25">
      <c r="A621" s="34"/>
      <c r="B621" s="34"/>
      <c r="C621" s="34"/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</row>
    <row r="622" spans="1:15" x14ac:dyDescent="0.25">
      <c r="A622" s="34"/>
      <c r="B622" s="34"/>
      <c r="C622" s="34"/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</row>
    <row r="623" spans="1:15" x14ac:dyDescent="0.25">
      <c r="A623" s="34"/>
      <c r="B623" s="34"/>
      <c r="C623" s="34"/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</row>
    <row r="624" spans="1:15" x14ac:dyDescent="0.25">
      <c r="A624" s="34"/>
      <c r="B624" s="34"/>
      <c r="C624" s="34"/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</row>
    <row r="625" spans="1:15" x14ac:dyDescent="0.25">
      <c r="A625" s="34"/>
      <c r="B625" s="34"/>
      <c r="C625" s="34"/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</row>
    <row r="626" spans="1:15" x14ac:dyDescent="0.25">
      <c r="A626" s="34"/>
      <c r="B626" s="34"/>
      <c r="C626" s="34"/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</row>
    <row r="627" spans="1:15" x14ac:dyDescent="0.25">
      <c r="A627" s="34"/>
      <c r="B627" s="34"/>
      <c r="C627" s="34"/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</row>
    <row r="628" spans="1:15" x14ac:dyDescent="0.25">
      <c r="A628" s="34"/>
      <c r="B628" s="34"/>
      <c r="C628" s="34"/>
      <c r="D628" s="34"/>
      <c r="E628" s="34"/>
      <c r="F628" s="34"/>
      <c r="G628" s="34"/>
      <c r="H628" s="34"/>
      <c r="I628" s="34"/>
      <c r="J628" s="34"/>
      <c r="K628" s="34"/>
      <c r="L628" s="34"/>
      <c r="M628" s="34"/>
      <c r="N628" s="34"/>
      <c r="O628" s="34"/>
    </row>
    <row r="629" spans="1:15" x14ac:dyDescent="0.25">
      <c r="A629" s="34"/>
      <c r="B629" s="34"/>
      <c r="C629" s="34"/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</row>
    <row r="630" spans="1:15" x14ac:dyDescent="0.25">
      <c r="A630" s="34"/>
      <c r="B630" s="34"/>
      <c r="C630" s="34"/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</row>
    <row r="631" spans="1:15" x14ac:dyDescent="0.25">
      <c r="A631" s="34"/>
      <c r="B631" s="34"/>
      <c r="C631" s="34"/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</row>
    <row r="632" spans="1:15" x14ac:dyDescent="0.25">
      <c r="A632" s="34"/>
      <c r="B632" s="34"/>
      <c r="C632" s="34"/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</row>
    <row r="633" spans="1:15" x14ac:dyDescent="0.25">
      <c r="A633" s="34"/>
      <c r="B633" s="34"/>
      <c r="C633" s="34"/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</row>
    <row r="634" spans="1:15" x14ac:dyDescent="0.25">
      <c r="A634" s="34"/>
      <c r="B634" s="34"/>
      <c r="C634" s="34"/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</row>
    <row r="635" spans="1:15" x14ac:dyDescent="0.25">
      <c r="A635" s="34"/>
      <c r="B635" s="34"/>
      <c r="C635" s="34"/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</row>
    <row r="636" spans="1:15" x14ac:dyDescent="0.25">
      <c r="A636" s="34"/>
      <c r="B636" s="34"/>
      <c r="C636" s="34"/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</row>
    <row r="637" spans="1:15" x14ac:dyDescent="0.25">
      <c r="A637" s="34"/>
      <c r="B637" s="34"/>
      <c r="C637" s="34"/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</row>
    <row r="638" spans="1:15" x14ac:dyDescent="0.25">
      <c r="A638" s="34"/>
      <c r="B638" s="34"/>
      <c r="C638" s="34"/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</row>
    <row r="639" spans="1:15" x14ac:dyDescent="0.25">
      <c r="A639" s="34"/>
      <c r="B639" s="34"/>
      <c r="C639" s="34"/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</row>
    <row r="640" spans="1:15" x14ac:dyDescent="0.25">
      <c r="A640" s="34"/>
      <c r="B640" s="34"/>
      <c r="C640" s="34"/>
      <c r="D640" s="34"/>
      <c r="E640" s="34"/>
      <c r="F640" s="34"/>
      <c r="G640" s="34"/>
      <c r="H640" s="34"/>
      <c r="I640" s="34"/>
      <c r="J640" s="34"/>
      <c r="K640" s="34"/>
      <c r="L640" s="34"/>
      <c r="M640" s="34"/>
      <c r="N640" s="34"/>
      <c r="O640" s="34"/>
    </row>
    <row r="641" spans="1:15" x14ac:dyDescent="0.25">
      <c r="A641" s="34"/>
      <c r="B641" s="34"/>
      <c r="C641" s="34"/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</row>
    <row r="642" spans="1:15" x14ac:dyDescent="0.25">
      <c r="A642" s="34"/>
      <c r="B642" s="34"/>
      <c r="C642" s="34"/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</row>
    <row r="643" spans="1:15" x14ac:dyDescent="0.25">
      <c r="A643" s="34"/>
      <c r="B643" s="34"/>
      <c r="C643" s="34"/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</row>
    <row r="644" spans="1:15" x14ac:dyDescent="0.25">
      <c r="A644" s="34"/>
      <c r="B644" s="34"/>
      <c r="C644" s="34"/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</row>
    <row r="645" spans="1:15" x14ac:dyDescent="0.25">
      <c r="A645" s="34"/>
      <c r="B645" s="34"/>
      <c r="C645" s="34"/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</row>
    <row r="646" spans="1:15" x14ac:dyDescent="0.25">
      <c r="A646" s="34"/>
      <c r="B646" s="34"/>
      <c r="C646" s="34"/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</row>
    <row r="647" spans="1:15" x14ac:dyDescent="0.25">
      <c r="A647" s="34"/>
      <c r="B647" s="34"/>
      <c r="C647" s="34"/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</row>
    <row r="648" spans="1:15" x14ac:dyDescent="0.25">
      <c r="A648" s="34"/>
      <c r="B648" s="34"/>
      <c r="C648" s="34"/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</row>
    <row r="649" spans="1:15" x14ac:dyDescent="0.25">
      <c r="A649" s="34"/>
      <c r="B649" s="34"/>
      <c r="C649" s="34"/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</row>
    <row r="650" spans="1:15" x14ac:dyDescent="0.25">
      <c r="A650" s="34"/>
      <c r="B650" s="34"/>
      <c r="C650" s="34"/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</row>
    <row r="651" spans="1:15" x14ac:dyDescent="0.25">
      <c r="A651" s="34"/>
      <c r="B651" s="34"/>
      <c r="C651" s="34"/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</row>
    <row r="652" spans="1:15" x14ac:dyDescent="0.25">
      <c r="A652" s="34"/>
      <c r="B652" s="34"/>
      <c r="C652" s="34"/>
      <c r="D652" s="34"/>
      <c r="E652" s="34"/>
      <c r="F652" s="34"/>
      <c r="G652" s="34"/>
      <c r="H652" s="34"/>
      <c r="I652" s="34"/>
      <c r="J652" s="34"/>
      <c r="K652" s="34"/>
      <c r="L652" s="34"/>
      <c r="M652" s="34"/>
      <c r="N652" s="34"/>
      <c r="O652" s="34"/>
    </row>
    <row r="653" spans="1:15" x14ac:dyDescent="0.25">
      <c r="A653" s="34"/>
      <c r="B653" s="34"/>
      <c r="C653" s="34"/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</row>
    <row r="654" spans="1:15" x14ac:dyDescent="0.25">
      <c r="A654" s="34"/>
      <c r="B654" s="34"/>
      <c r="C654" s="34"/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</row>
    <row r="655" spans="1:15" x14ac:dyDescent="0.25">
      <c r="A655" s="34"/>
      <c r="B655" s="34"/>
      <c r="C655" s="34"/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</row>
    <row r="656" spans="1:15" x14ac:dyDescent="0.25">
      <c r="A656" s="34"/>
      <c r="B656" s="34"/>
      <c r="C656" s="34"/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</row>
    <row r="657" spans="1:15" x14ac:dyDescent="0.25">
      <c r="A657" s="34"/>
      <c r="B657" s="34"/>
      <c r="C657" s="34"/>
      <c r="D657" s="34"/>
      <c r="E657" s="34"/>
      <c r="F657" s="34"/>
      <c r="G657" s="34"/>
      <c r="H657" s="34"/>
      <c r="I657" s="34"/>
      <c r="J657" s="34"/>
      <c r="K657" s="34"/>
      <c r="L657" s="34"/>
      <c r="M657" s="34"/>
      <c r="N657" s="34"/>
      <c r="O657" s="34"/>
    </row>
    <row r="658" spans="1:15" x14ac:dyDescent="0.25">
      <c r="A658" s="34"/>
      <c r="B658" s="34"/>
      <c r="C658" s="34"/>
      <c r="D658" s="34"/>
      <c r="E658" s="34"/>
      <c r="F658" s="34"/>
      <c r="G658" s="34"/>
      <c r="H658" s="34"/>
      <c r="I658" s="34"/>
      <c r="J658" s="34"/>
      <c r="K658" s="34"/>
      <c r="L658" s="34"/>
      <c r="M658" s="34"/>
      <c r="N658" s="34"/>
      <c r="O658" s="34"/>
    </row>
    <row r="659" spans="1:15" x14ac:dyDescent="0.25">
      <c r="A659" s="34"/>
      <c r="B659" s="34"/>
      <c r="C659" s="34"/>
      <c r="D659" s="34"/>
      <c r="E659" s="34"/>
      <c r="F659" s="34"/>
      <c r="G659" s="34"/>
      <c r="H659" s="34"/>
      <c r="I659" s="34"/>
      <c r="J659" s="34"/>
      <c r="K659" s="34"/>
      <c r="L659" s="34"/>
      <c r="M659" s="34"/>
      <c r="N659" s="34"/>
      <c r="O659" s="34"/>
    </row>
    <row r="660" spans="1:15" x14ac:dyDescent="0.25">
      <c r="A660" s="34"/>
      <c r="B660" s="34"/>
      <c r="C660" s="34"/>
      <c r="D660" s="34"/>
      <c r="E660" s="34"/>
      <c r="F660" s="34"/>
      <c r="G660" s="34"/>
      <c r="H660" s="34"/>
      <c r="I660" s="34"/>
      <c r="J660" s="34"/>
      <c r="K660" s="34"/>
      <c r="L660" s="34"/>
      <c r="M660" s="34"/>
      <c r="N660" s="34"/>
      <c r="O660" s="34"/>
    </row>
    <row r="661" spans="1:15" x14ac:dyDescent="0.25">
      <c r="A661" s="34"/>
      <c r="B661" s="34"/>
      <c r="C661" s="34"/>
      <c r="D661" s="34"/>
      <c r="E661" s="34"/>
      <c r="F661" s="34"/>
      <c r="G661" s="34"/>
      <c r="H661" s="34"/>
      <c r="I661" s="34"/>
      <c r="J661" s="34"/>
      <c r="K661" s="34"/>
      <c r="L661" s="34"/>
      <c r="M661" s="34"/>
      <c r="N661" s="34"/>
      <c r="O661" s="34"/>
    </row>
    <row r="662" spans="1:15" x14ac:dyDescent="0.25">
      <c r="A662" s="34"/>
      <c r="B662" s="34"/>
      <c r="C662" s="34"/>
      <c r="D662" s="34"/>
      <c r="E662" s="34"/>
      <c r="F662" s="34"/>
      <c r="G662" s="34"/>
      <c r="H662" s="34"/>
      <c r="I662" s="34"/>
      <c r="J662" s="34"/>
      <c r="K662" s="34"/>
      <c r="L662" s="34"/>
      <c r="M662" s="34"/>
      <c r="N662" s="34"/>
      <c r="O662" s="34"/>
    </row>
    <row r="663" spans="1:15" x14ac:dyDescent="0.25">
      <c r="A663" s="34"/>
      <c r="B663" s="34"/>
      <c r="C663" s="34"/>
      <c r="D663" s="34"/>
      <c r="E663" s="34"/>
      <c r="F663" s="34"/>
      <c r="G663" s="34"/>
      <c r="H663" s="34"/>
      <c r="I663" s="34"/>
      <c r="J663" s="34"/>
      <c r="K663" s="34"/>
      <c r="L663" s="34"/>
      <c r="M663" s="34"/>
      <c r="N663" s="34"/>
      <c r="O663" s="34"/>
    </row>
    <row r="664" spans="1:15" x14ac:dyDescent="0.25">
      <c r="A664" s="34"/>
      <c r="B664" s="34"/>
      <c r="C664" s="34"/>
      <c r="D664" s="34"/>
      <c r="E664" s="34"/>
      <c r="F664" s="34"/>
      <c r="G664" s="34"/>
      <c r="H664" s="34"/>
      <c r="I664" s="34"/>
      <c r="J664" s="34"/>
      <c r="K664" s="34"/>
      <c r="L664" s="34"/>
      <c r="M664" s="34"/>
      <c r="N664" s="34"/>
      <c r="O664" s="34"/>
    </row>
    <row r="665" spans="1:15" x14ac:dyDescent="0.25">
      <c r="A665" s="34"/>
      <c r="B665" s="34"/>
      <c r="C665" s="34"/>
      <c r="D665" s="34"/>
      <c r="E665" s="34"/>
      <c r="F665" s="34"/>
      <c r="G665" s="34"/>
      <c r="H665" s="34"/>
      <c r="I665" s="34"/>
      <c r="J665" s="34"/>
      <c r="K665" s="34"/>
      <c r="L665" s="34"/>
      <c r="M665" s="34"/>
      <c r="N665" s="34"/>
      <c r="O665" s="34"/>
    </row>
    <row r="666" spans="1:15" x14ac:dyDescent="0.25">
      <c r="A666" s="34"/>
      <c r="B666" s="34"/>
      <c r="C666" s="34"/>
      <c r="D666" s="34"/>
      <c r="E666" s="34"/>
      <c r="F666" s="34"/>
      <c r="G666" s="34"/>
      <c r="H666" s="34"/>
      <c r="I666" s="34"/>
      <c r="J666" s="34"/>
      <c r="K666" s="34"/>
      <c r="L666" s="34"/>
      <c r="M666" s="34"/>
      <c r="N666" s="34"/>
      <c r="O666" s="34"/>
    </row>
    <row r="667" spans="1:15" x14ac:dyDescent="0.25">
      <c r="A667" s="34"/>
      <c r="B667" s="34"/>
      <c r="C667" s="34"/>
      <c r="D667" s="34"/>
      <c r="E667" s="34"/>
      <c r="F667" s="34"/>
      <c r="G667" s="34"/>
      <c r="H667" s="34"/>
      <c r="I667" s="34"/>
      <c r="J667" s="34"/>
      <c r="K667" s="34"/>
      <c r="L667" s="34"/>
      <c r="M667" s="34"/>
      <c r="N667" s="34"/>
      <c r="O667" s="34"/>
    </row>
    <row r="668" spans="1:15" x14ac:dyDescent="0.25">
      <c r="A668" s="34"/>
      <c r="B668" s="34"/>
      <c r="C668" s="34"/>
      <c r="D668" s="34"/>
      <c r="E668" s="34"/>
      <c r="F668" s="34"/>
      <c r="G668" s="34"/>
      <c r="H668" s="34"/>
      <c r="I668" s="34"/>
      <c r="J668" s="34"/>
      <c r="K668" s="34"/>
      <c r="L668" s="34"/>
      <c r="M668" s="34"/>
      <c r="N668" s="34"/>
      <c r="O668" s="34"/>
    </row>
    <row r="669" spans="1:15" x14ac:dyDescent="0.25">
      <c r="A669" s="34"/>
      <c r="B669" s="34"/>
      <c r="C669" s="34"/>
      <c r="D669" s="34"/>
      <c r="E669" s="34"/>
      <c r="F669" s="34"/>
      <c r="G669" s="34"/>
      <c r="H669" s="34"/>
      <c r="I669" s="34"/>
      <c r="J669" s="34"/>
      <c r="K669" s="34"/>
      <c r="L669" s="34"/>
      <c r="M669" s="34"/>
      <c r="N669" s="34"/>
      <c r="O669" s="34"/>
    </row>
    <row r="670" spans="1:15" x14ac:dyDescent="0.25">
      <c r="A670" s="34"/>
      <c r="B670" s="34"/>
      <c r="C670" s="34"/>
      <c r="D670" s="34"/>
      <c r="E670" s="34"/>
      <c r="F670" s="34"/>
      <c r="G670" s="34"/>
      <c r="H670" s="34"/>
      <c r="I670" s="34"/>
      <c r="J670" s="34"/>
      <c r="K670" s="34"/>
      <c r="L670" s="34"/>
      <c r="M670" s="34"/>
      <c r="N670" s="34"/>
      <c r="O670" s="34"/>
    </row>
    <row r="671" spans="1:15" x14ac:dyDescent="0.25">
      <c r="A671" s="34"/>
      <c r="B671" s="34"/>
      <c r="C671" s="34"/>
      <c r="D671" s="34"/>
      <c r="E671" s="34"/>
      <c r="F671" s="34"/>
      <c r="G671" s="34"/>
      <c r="H671" s="34"/>
      <c r="I671" s="34"/>
      <c r="J671" s="34"/>
      <c r="K671" s="34"/>
      <c r="L671" s="34"/>
      <c r="M671" s="34"/>
      <c r="N671" s="34"/>
      <c r="O671" s="34"/>
    </row>
    <row r="672" spans="1:15" x14ac:dyDescent="0.25">
      <c r="A672" s="34"/>
      <c r="B672" s="34"/>
      <c r="C672" s="34"/>
      <c r="D672" s="34"/>
      <c r="E672" s="34"/>
      <c r="F672" s="34"/>
      <c r="G672" s="34"/>
      <c r="H672" s="34"/>
      <c r="I672" s="34"/>
      <c r="J672" s="34"/>
      <c r="K672" s="34"/>
      <c r="L672" s="34"/>
      <c r="M672" s="34"/>
      <c r="N672" s="34"/>
      <c r="O672" s="34"/>
    </row>
    <row r="673" spans="1:15" x14ac:dyDescent="0.25">
      <c r="A673" s="34"/>
      <c r="B673" s="34"/>
      <c r="C673" s="34"/>
      <c r="D673" s="34"/>
      <c r="E673" s="34"/>
      <c r="F673" s="34"/>
      <c r="G673" s="34"/>
      <c r="H673" s="34"/>
      <c r="I673" s="34"/>
      <c r="J673" s="34"/>
      <c r="K673" s="34"/>
      <c r="L673" s="34"/>
      <c r="M673" s="34"/>
      <c r="N673" s="34"/>
      <c r="O673" s="34"/>
    </row>
    <row r="674" spans="1:15" x14ac:dyDescent="0.25">
      <c r="A674" s="34"/>
      <c r="B674" s="34"/>
      <c r="C674" s="34"/>
      <c r="D674" s="34"/>
      <c r="E674" s="34"/>
      <c r="F674" s="34"/>
      <c r="G674" s="34"/>
      <c r="H674" s="34"/>
      <c r="I674" s="34"/>
      <c r="J674" s="34"/>
      <c r="K674" s="34"/>
      <c r="L674" s="34"/>
      <c r="M674" s="34"/>
      <c r="N674" s="34"/>
      <c r="O674" s="34"/>
    </row>
  </sheetData>
  <sheetProtection algorithmName="SHA-512" hashValue="Xp9O/U4XN+h0ITlJAJIADMntaHW9qQO7ZdtimAaiD2EX0UWoBpO5mUDJ9L4n4ztEt6PHFY8VMZTxQvCj8BSlKw==" saltValue="E8lyCFZFxR5hudgb5SBB3A==" spinCount="100000" sheet="1" objects="1" scenarios="1" formatCells="0" formatColumns="0" formatRows="0"/>
  <mergeCells count="2">
    <mergeCell ref="C5:O5"/>
    <mergeCell ref="A1:O1"/>
  </mergeCells>
  <conditionalFormatting sqref="B43:N45 B40:N40">
    <cfRule type="cellIs" dxfId="3" priority="5" operator="lessThan">
      <formula>0</formula>
    </cfRule>
  </conditionalFormatting>
  <conditionalFormatting sqref="B57:C57">
    <cfRule type="cellIs" dxfId="2" priority="3" operator="lessThan">
      <formula>0</formula>
    </cfRule>
  </conditionalFormatting>
  <conditionalFormatting sqref="O42">
    <cfRule type="cellIs" dxfId="1" priority="2" operator="lessThan">
      <formula>0</formula>
    </cfRule>
  </conditionalFormatting>
  <conditionalFormatting sqref="B42:N42">
    <cfRule type="cellIs" dxfId="0" priority="1" operator="lessThan">
      <formula>0</formula>
    </cfRule>
  </conditionalFormatting>
  <pageMargins left="0.7" right="0.7" top="0.75" bottom="0.75" header="0.3" footer="0.3"/>
  <pageSetup paperSize="9" fitToHeight="0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>
    <pageSetUpPr fitToPage="1"/>
  </sheetPr>
  <dimension ref="A1:ABC499"/>
  <sheetViews>
    <sheetView zoomScale="115" zoomScaleNormal="115" workbookViewId="0">
      <selection activeCell="B8" sqref="B8"/>
    </sheetView>
  </sheetViews>
  <sheetFormatPr defaultColWidth="8.85546875" defaultRowHeight="15" x14ac:dyDescent="0.25"/>
  <cols>
    <col min="1" max="1" width="72.85546875" style="103" customWidth="1"/>
    <col min="2" max="2" width="71.140625" style="103" customWidth="1"/>
    <col min="3" max="3" width="9.28515625" style="61" customWidth="1"/>
    <col min="4" max="731" width="9.140625" style="61"/>
  </cols>
  <sheetData>
    <row r="1" spans="1:731" ht="24" thickBot="1" x14ac:dyDescent="0.4">
      <c r="A1" s="97" t="s">
        <v>65</v>
      </c>
      <c r="B1" s="104" t="s">
        <v>64</v>
      </c>
    </row>
    <row r="2" spans="1:731" s="7" customFormat="1" ht="24" thickBot="1" x14ac:dyDescent="0.4">
      <c r="A2" s="97" t="s">
        <v>21</v>
      </c>
      <c r="B2" s="166">
        <v>2019</v>
      </c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  <c r="U2" s="62"/>
      <c r="V2" s="62"/>
      <c r="W2" s="62"/>
      <c r="X2" s="62"/>
      <c r="Y2" s="62"/>
      <c r="Z2" s="62"/>
      <c r="AA2" s="62"/>
      <c r="AB2" s="62"/>
      <c r="AC2" s="62"/>
      <c r="AD2" s="62"/>
      <c r="AE2" s="62"/>
      <c r="AF2" s="62"/>
      <c r="AG2" s="62"/>
      <c r="AH2" s="62"/>
      <c r="AI2" s="62"/>
      <c r="AJ2" s="62"/>
      <c r="AK2" s="62"/>
      <c r="AL2" s="62"/>
      <c r="AM2" s="62"/>
      <c r="AN2" s="62"/>
      <c r="AO2" s="62"/>
      <c r="AP2" s="62"/>
      <c r="AQ2" s="62"/>
      <c r="AR2" s="62"/>
      <c r="AS2" s="62"/>
      <c r="AT2" s="62"/>
      <c r="AU2" s="62"/>
      <c r="AV2" s="62"/>
      <c r="AW2" s="62"/>
      <c r="AX2" s="62"/>
      <c r="AY2" s="62"/>
      <c r="AZ2" s="62"/>
      <c r="BA2" s="62"/>
      <c r="BB2" s="62"/>
      <c r="BC2" s="62"/>
      <c r="BD2" s="62"/>
      <c r="BE2" s="62"/>
      <c r="BF2" s="62"/>
      <c r="BG2" s="62"/>
      <c r="BH2" s="62"/>
      <c r="BI2" s="62"/>
      <c r="BJ2" s="62"/>
      <c r="BK2" s="62"/>
      <c r="BL2" s="62"/>
      <c r="BM2" s="62"/>
      <c r="BN2" s="62"/>
      <c r="BO2" s="62"/>
      <c r="BP2" s="62"/>
      <c r="BQ2" s="62"/>
      <c r="BR2" s="62"/>
      <c r="BS2" s="62"/>
      <c r="BT2" s="62"/>
      <c r="BU2" s="62"/>
      <c r="BV2" s="62"/>
      <c r="BW2" s="62"/>
      <c r="BX2" s="62"/>
      <c r="BY2" s="62"/>
      <c r="BZ2" s="62"/>
      <c r="CA2" s="62"/>
      <c r="CB2" s="62"/>
      <c r="CC2" s="62"/>
      <c r="CD2" s="62"/>
      <c r="CE2" s="62"/>
      <c r="CF2" s="62"/>
      <c r="CG2" s="62"/>
      <c r="CH2" s="62"/>
      <c r="CI2" s="62"/>
      <c r="CJ2" s="62"/>
      <c r="CK2" s="62"/>
      <c r="CL2" s="62"/>
      <c r="CM2" s="62"/>
      <c r="CN2" s="62"/>
      <c r="CO2" s="62"/>
      <c r="CP2" s="62"/>
      <c r="CQ2" s="62"/>
      <c r="CR2" s="62"/>
      <c r="CS2" s="62"/>
      <c r="CT2" s="62"/>
      <c r="CU2" s="62"/>
      <c r="CV2" s="62"/>
      <c r="CW2" s="62"/>
      <c r="CX2" s="62"/>
      <c r="CY2" s="62"/>
      <c r="CZ2" s="62"/>
      <c r="DA2" s="62"/>
      <c r="DB2" s="62"/>
      <c r="DC2" s="62"/>
      <c r="DD2" s="62"/>
      <c r="DE2" s="62"/>
      <c r="DF2" s="62"/>
      <c r="DG2" s="62"/>
      <c r="DH2" s="62"/>
      <c r="DI2" s="62"/>
      <c r="DJ2" s="62"/>
      <c r="DK2" s="62"/>
      <c r="DL2" s="62"/>
      <c r="DM2" s="62"/>
      <c r="DN2" s="62"/>
      <c r="DO2" s="62"/>
      <c r="DP2" s="62"/>
      <c r="DQ2" s="62"/>
      <c r="DR2" s="62"/>
      <c r="DS2" s="62"/>
      <c r="DT2" s="62"/>
      <c r="DU2" s="62"/>
      <c r="DV2" s="62"/>
      <c r="DW2" s="62"/>
      <c r="DX2" s="62"/>
      <c r="DY2" s="62"/>
      <c r="DZ2" s="62"/>
      <c r="EA2" s="62"/>
      <c r="EB2" s="62"/>
      <c r="EC2" s="62"/>
      <c r="ED2" s="62"/>
      <c r="EE2" s="62"/>
      <c r="EF2" s="62"/>
      <c r="EG2" s="62"/>
      <c r="EH2" s="62"/>
      <c r="EI2" s="62"/>
      <c r="EJ2" s="62"/>
      <c r="EK2" s="62"/>
      <c r="EL2" s="62"/>
      <c r="EM2" s="62"/>
      <c r="EN2" s="62"/>
      <c r="EO2" s="62"/>
      <c r="EP2" s="62"/>
      <c r="EQ2" s="62"/>
      <c r="ER2" s="62"/>
      <c r="ES2" s="62"/>
      <c r="ET2" s="62"/>
      <c r="EU2" s="62"/>
      <c r="EV2" s="62"/>
      <c r="EW2" s="62"/>
      <c r="EX2" s="62"/>
      <c r="EY2" s="62"/>
      <c r="EZ2" s="62"/>
      <c r="FA2" s="62"/>
      <c r="FB2" s="62"/>
      <c r="FC2" s="62"/>
      <c r="FD2" s="62"/>
      <c r="FE2" s="62"/>
      <c r="FF2" s="62"/>
      <c r="FG2" s="62"/>
      <c r="FH2" s="62"/>
      <c r="FI2" s="62"/>
      <c r="FJ2" s="62"/>
      <c r="FK2" s="62"/>
      <c r="FL2" s="62"/>
      <c r="FM2" s="62"/>
      <c r="FN2" s="62"/>
      <c r="FO2" s="62"/>
      <c r="FP2" s="62"/>
      <c r="FQ2" s="62"/>
      <c r="FR2" s="62"/>
      <c r="FS2" s="62"/>
      <c r="FT2" s="62"/>
      <c r="FU2" s="62"/>
      <c r="FV2" s="62"/>
      <c r="FW2" s="62"/>
      <c r="FX2" s="62"/>
      <c r="FY2" s="62"/>
      <c r="FZ2" s="62"/>
      <c r="GA2" s="62"/>
      <c r="GB2" s="62"/>
      <c r="GC2" s="62"/>
      <c r="GD2" s="62"/>
      <c r="GE2" s="62"/>
      <c r="GF2" s="62"/>
      <c r="GG2" s="62"/>
      <c r="GH2" s="62"/>
      <c r="GI2" s="62"/>
      <c r="GJ2" s="62"/>
      <c r="GK2" s="62"/>
      <c r="GL2" s="62"/>
      <c r="GM2" s="62"/>
      <c r="GN2" s="62"/>
      <c r="GO2" s="62"/>
      <c r="GP2" s="62"/>
      <c r="GQ2" s="62"/>
      <c r="GR2" s="62"/>
      <c r="GS2" s="62"/>
      <c r="GT2" s="62"/>
      <c r="GU2" s="62"/>
      <c r="GV2" s="62"/>
      <c r="GW2" s="62"/>
      <c r="GX2" s="62"/>
      <c r="GY2" s="62"/>
      <c r="GZ2" s="62"/>
      <c r="HA2" s="62"/>
      <c r="HB2" s="62"/>
      <c r="HC2" s="62"/>
      <c r="HD2" s="62"/>
      <c r="HE2" s="62"/>
      <c r="HF2" s="62"/>
      <c r="HG2" s="62"/>
      <c r="HH2" s="62"/>
      <c r="HI2" s="62"/>
      <c r="HJ2" s="62"/>
      <c r="HK2" s="62"/>
      <c r="HL2" s="62"/>
      <c r="HM2" s="62"/>
      <c r="HN2" s="62"/>
      <c r="HO2" s="62"/>
      <c r="HP2" s="62"/>
      <c r="HQ2" s="62"/>
      <c r="HR2" s="62"/>
      <c r="HS2" s="62"/>
      <c r="HT2" s="62"/>
      <c r="HU2" s="62"/>
      <c r="HV2" s="62"/>
      <c r="HW2" s="62"/>
      <c r="HX2" s="62"/>
      <c r="HY2" s="62"/>
      <c r="HZ2" s="62"/>
      <c r="IA2" s="62"/>
      <c r="IB2" s="62"/>
      <c r="IC2" s="62"/>
      <c r="ID2" s="62"/>
      <c r="IE2" s="62"/>
      <c r="IF2" s="62"/>
      <c r="IG2" s="62"/>
      <c r="IH2" s="62"/>
      <c r="II2" s="62"/>
      <c r="IJ2" s="62"/>
      <c r="IK2" s="62"/>
      <c r="IL2" s="62"/>
      <c r="IM2" s="62"/>
      <c r="IN2" s="62"/>
      <c r="IO2" s="62"/>
      <c r="IP2" s="62"/>
      <c r="IQ2" s="62"/>
      <c r="IR2" s="62"/>
      <c r="IS2" s="62"/>
      <c r="IT2" s="62"/>
      <c r="IU2" s="62"/>
      <c r="IV2" s="62"/>
      <c r="IW2" s="62"/>
      <c r="IX2" s="62"/>
      <c r="IY2" s="62"/>
      <c r="IZ2" s="62"/>
      <c r="JA2" s="62"/>
      <c r="JB2" s="62"/>
      <c r="JC2" s="62"/>
      <c r="JD2" s="62"/>
      <c r="JE2" s="62"/>
      <c r="JF2" s="62"/>
      <c r="JG2" s="62"/>
      <c r="JH2" s="62"/>
      <c r="JI2" s="62"/>
      <c r="JJ2" s="62"/>
      <c r="JK2" s="62"/>
      <c r="JL2" s="62"/>
      <c r="JM2" s="62"/>
      <c r="JN2" s="62"/>
      <c r="JO2" s="62"/>
      <c r="JP2" s="62"/>
      <c r="JQ2" s="62"/>
      <c r="JR2" s="62"/>
      <c r="JS2" s="62"/>
      <c r="JT2" s="62"/>
      <c r="JU2" s="62"/>
      <c r="JV2" s="62"/>
      <c r="JW2" s="62"/>
      <c r="JX2" s="62"/>
      <c r="JY2" s="62"/>
      <c r="JZ2" s="62"/>
      <c r="KA2" s="62"/>
      <c r="KB2" s="62"/>
      <c r="KC2" s="62"/>
      <c r="KD2" s="62"/>
      <c r="KE2" s="62"/>
      <c r="KF2" s="62"/>
      <c r="KG2" s="62"/>
      <c r="KH2" s="62"/>
      <c r="KI2" s="62"/>
      <c r="KJ2" s="62"/>
      <c r="KK2" s="62"/>
      <c r="KL2" s="62"/>
      <c r="KM2" s="62"/>
      <c r="KN2" s="62"/>
      <c r="KO2" s="62"/>
      <c r="KP2" s="62"/>
      <c r="KQ2" s="62"/>
      <c r="KR2" s="62"/>
      <c r="KS2" s="62"/>
      <c r="KT2" s="62"/>
      <c r="KU2" s="62"/>
      <c r="KV2" s="62"/>
      <c r="KW2" s="62"/>
      <c r="KX2" s="62"/>
      <c r="KY2" s="62"/>
      <c r="KZ2" s="62"/>
      <c r="LA2" s="62"/>
      <c r="LB2" s="62"/>
      <c r="LC2" s="62"/>
      <c r="LD2" s="62"/>
      <c r="LE2" s="62"/>
      <c r="LF2" s="62"/>
      <c r="LG2" s="62"/>
      <c r="LH2" s="62"/>
      <c r="LI2" s="62"/>
      <c r="LJ2" s="62"/>
      <c r="LK2" s="62"/>
      <c r="LL2" s="62"/>
      <c r="LM2" s="62"/>
      <c r="LN2" s="62"/>
      <c r="LO2" s="62"/>
      <c r="LP2" s="62"/>
      <c r="LQ2" s="62"/>
      <c r="LR2" s="62"/>
      <c r="LS2" s="62"/>
      <c r="LT2" s="62"/>
      <c r="LU2" s="62"/>
      <c r="LV2" s="62"/>
      <c r="LW2" s="62"/>
      <c r="LX2" s="62"/>
      <c r="LY2" s="62"/>
      <c r="LZ2" s="62"/>
      <c r="MA2" s="62"/>
      <c r="MB2" s="62"/>
      <c r="MC2" s="62"/>
      <c r="MD2" s="62"/>
      <c r="ME2" s="62"/>
      <c r="MF2" s="62"/>
      <c r="MG2" s="62"/>
      <c r="MH2" s="62"/>
      <c r="MI2" s="62"/>
      <c r="MJ2" s="62"/>
      <c r="MK2" s="62"/>
      <c r="ML2" s="62"/>
      <c r="MM2" s="62"/>
      <c r="MN2" s="62"/>
      <c r="MO2" s="62"/>
      <c r="MP2" s="62"/>
      <c r="MQ2" s="62"/>
      <c r="MR2" s="62"/>
      <c r="MS2" s="62"/>
      <c r="MT2" s="62"/>
      <c r="MU2" s="62"/>
      <c r="MV2" s="62"/>
      <c r="MW2" s="62"/>
      <c r="MX2" s="62"/>
      <c r="MY2" s="62"/>
      <c r="MZ2" s="62"/>
      <c r="NA2" s="62"/>
      <c r="NB2" s="62"/>
      <c r="NC2" s="62"/>
      <c r="ND2" s="62"/>
      <c r="NE2" s="62"/>
      <c r="NF2" s="62"/>
      <c r="NG2" s="62"/>
      <c r="NH2" s="62"/>
      <c r="NI2" s="62"/>
      <c r="NJ2" s="62"/>
      <c r="NK2" s="62"/>
      <c r="NL2" s="62"/>
      <c r="NM2" s="62"/>
      <c r="NN2" s="62"/>
      <c r="NO2" s="62"/>
      <c r="NP2" s="62"/>
      <c r="NQ2" s="62"/>
      <c r="NR2" s="62"/>
      <c r="NS2" s="62"/>
      <c r="NT2" s="62"/>
      <c r="NU2" s="62"/>
      <c r="NV2" s="62"/>
      <c r="NW2" s="62"/>
      <c r="NX2" s="62"/>
      <c r="NY2" s="62"/>
      <c r="NZ2" s="62"/>
      <c r="OA2" s="62"/>
      <c r="OB2" s="62"/>
      <c r="OC2" s="62"/>
      <c r="OD2" s="62"/>
      <c r="OE2" s="62"/>
      <c r="OF2" s="62"/>
      <c r="OG2" s="62"/>
      <c r="OH2" s="62"/>
      <c r="OI2" s="62"/>
      <c r="OJ2" s="62"/>
      <c r="OK2" s="62"/>
      <c r="OL2" s="62"/>
      <c r="OM2" s="62"/>
      <c r="ON2" s="62"/>
      <c r="OO2" s="62"/>
      <c r="OP2" s="62"/>
      <c r="OQ2" s="62"/>
      <c r="OR2" s="62"/>
      <c r="OS2" s="62"/>
      <c r="OT2" s="62"/>
      <c r="OU2" s="62"/>
      <c r="OV2" s="62"/>
      <c r="OW2" s="62"/>
      <c r="OX2" s="62"/>
      <c r="OY2" s="62"/>
      <c r="OZ2" s="62"/>
      <c r="PA2" s="62"/>
      <c r="PB2" s="62"/>
      <c r="PC2" s="62"/>
      <c r="PD2" s="62"/>
      <c r="PE2" s="62"/>
      <c r="PF2" s="62"/>
      <c r="PG2" s="62"/>
      <c r="PH2" s="62"/>
      <c r="PI2" s="62"/>
      <c r="PJ2" s="62"/>
      <c r="PK2" s="62"/>
      <c r="PL2" s="62"/>
      <c r="PM2" s="62"/>
      <c r="PN2" s="62"/>
      <c r="PO2" s="62"/>
      <c r="PP2" s="62"/>
      <c r="PQ2" s="62"/>
      <c r="PR2" s="62"/>
      <c r="PS2" s="62"/>
      <c r="PT2" s="62"/>
      <c r="PU2" s="62"/>
      <c r="PV2" s="62"/>
      <c r="PW2" s="62"/>
      <c r="PX2" s="62"/>
      <c r="PY2" s="62"/>
      <c r="PZ2" s="62"/>
      <c r="QA2" s="62"/>
      <c r="QB2" s="62"/>
      <c r="QC2" s="62"/>
      <c r="QD2" s="62"/>
      <c r="QE2" s="62"/>
      <c r="QF2" s="62"/>
      <c r="QG2" s="62"/>
      <c r="QH2" s="62"/>
      <c r="QI2" s="62"/>
      <c r="QJ2" s="62"/>
      <c r="QK2" s="62"/>
      <c r="QL2" s="62"/>
      <c r="QM2" s="62"/>
      <c r="QN2" s="62"/>
      <c r="QO2" s="62"/>
      <c r="QP2" s="62"/>
      <c r="QQ2" s="62"/>
      <c r="QR2" s="62"/>
      <c r="QS2" s="62"/>
      <c r="QT2" s="62"/>
      <c r="QU2" s="62"/>
      <c r="QV2" s="62"/>
      <c r="QW2" s="62"/>
      <c r="QX2" s="62"/>
      <c r="QY2" s="62"/>
      <c r="QZ2" s="62"/>
      <c r="RA2" s="62"/>
      <c r="RB2" s="62"/>
      <c r="RC2" s="62"/>
      <c r="RD2" s="62"/>
      <c r="RE2" s="62"/>
      <c r="RF2" s="62"/>
      <c r="RG2" s="62"/>
      <c r="RH2" s="62"/>
      <c r="RI2" s="62"/>
      <c r="RJ2" s="62"/>
      <c r="RK2" s="62"/>
      <c r="RL2" s="62"/>
      <c r="RM2" s="62"/>
      <c r="RN2" s="62"/>
      <c r="RO2" s="62"/>
      <c r="RP2" s="62"/>
      <c r="RQ2" s="62"/>
      <c r="RR2" s="62"/>
      <c r="RS2" s="62"/>
      <c r="RT2" s="62"/>
      <c r="RU2" s="62"/>
      <c r="RV2" s="62"/>
      <c r="RW2" s="62"/>
      <c r="RX2" s="62"/>
      <c r="RY2" s="62"/>
      <c r="RZ2" s="62"/>
      <c r="SA2" s="62"/>
      <c r="SB2" s="62"/>
      <c r="SC2" s="62"/>
      <c r="SD2" s="62"/>
      <c r="SE2" s="62"/>
      <c r="SF2" s="62"/>
      <c r="SG2" s="62"/>
      <c r="SH2" s="62"/>
      <c r="SI2" s="62"/>
      <c r="SJ2" s="62"/>
      <c r="SK2" s="62"/>
      <c r="SL2" s="62"/>
      <c r="SM2" s="62"/>
      <c r="SN2" s="62"/>
      <c r="SO2" s="62"/>
      <c r="SP2" s="62"/>
      <c r="SQ2" s="62"/>
      <c r="SR2" s="62"/>
      <c r="SS2" s="62"/>
      <c r="ST2" s="62"/>
      <c r="SU2" s="62"/>
      <c r="SV2" s="62"/>
      <c r="SW2" s="62"/>
      <c r="SX2" s="62"/>
      <c r="SY2" s="62"/>
      <c r="SZ2" s="62"/>
      <c r="TA2" s="62"/>
      <c r="TB2" s="62"/>
      <c r="TC2" s="62"/>
      <c r="TD2" s="62"/>
      <c r="TE2" s="62"/>
      <c r="TF2" s="62"/>
      <c r="TG2" s="62"/>
      <c r="TH2" s="62"/>
      <c r="TI2" s="62"/>
      <c r="TJ2" s="62"/>
      <c r="TK2" s="62"/>
      <c r="TL2" s="62"/>
      <c r="TM2" s="62"/>
      <c r="TN2" s="62"/>
      <c r="TO2" s="62"/>
      <c r="TP2" s="62"/>
      <c r="TQ2" s="62"/>
      <c r="TR2" s="62"/>
      <c r="TS2" s="62"/>
      <c r="TT2" s="62"/>
      <c r="TU2" s="62"/>
      <c r="TV2" s="62"/>
      <c r="TW2" s="62"/>
      <c r="TX2" s="62"/>
      <c r="TY2" s="62"/>
      <c r="TZ2" s="62"/>
      <c r="UA2" s="62"/>
      <c r="UB2" s="62"/>
      <c r="UC2" s="62"/>
      <c r="UD2" s="62"/>
      <c r="UE2" s="62"/>
      <c r="UF2" s="62"/>
      <c r="UG2" s="62"/>
      <c r="UH2" s="62"/>
      <c r="UI2" s="62"/>
      <c r="UJ2" s="62"/>
      <c r="UK2" s="62"/>
      <c r="UL2" s="62"/>
      <c r="UM2" s="62"/>
      <c r="UN2" s="62"/>
      <c r="UO2" s="62"/>
      <c r="UP2" s="62"/>
      <c r="UQ2" s="62"/>
      <c r="UR2" s="62"/>
      <c r="US2" s="62"/>
      <c r="UT2" s="62"/>
      <c r="UU2" s="62"/>
      <c r="UV2" s="62"/>
      <c r="UW2" s="62"/>
      <c r="UX2" s="62"/>
      <c r="UY2" s="62"/>
      <c r="UZ2" s="62"/>
      <c r="VA2" s="62"/>
      <c r="VB2" s="62"/>
      <c r="VC2" s="62"/>
      <c r="VD2" s="62"/>
      <c r="VE2" s="62"/>
      <c r="VF2" s="62"/>
      <c r="VG2" s="62"/>
      <c r="VH2" s="62"/>
      <c r="VI2" s="62"/>
      <c r="VJ2" s="62"/>
      <c r="VK2" s="62"/>
      <c r="VL2" s="62"/>
      <c r="VM2" s="62"/>
      <c r="VN2" s="62"/>
      <c r="VO2" s="62"/>
      <c r="VP2" s="62"/>
      <c r="VQ2" s="62"/>
      <c r="VR2" s="62"/>
      <c r="VS2" s="62"/>
      <c r="VT2" s="62"/>
      <c r="VU2" s="62"/>
      <c r="VV2" s="62"/>
      <c r="VW2" s="62"/>
      <c r="VX2" s="62"/>
      <c r="VY2" s="62"/>
      <c r="VZ2" s="62"/>
      <c r="WA2" s="62"/>
      <c r="WB2" s="62"/>
      <c r="WC2" s="62"/>
      <c r="WD2" s="62"/>
      <c r="WE2" s="62"/>
      <c r="WF2" s="62"/>
      <c r="WG2" s="62"/>
      <c r="WH2" s="62"/>
      <c r="WI2" s="62"/>
      <c r="WJ2" s="62"/>
      <c r="WK2" s="62"/>
      <c r="WL2" s="62"/>
      <c r="WM2" s="62"/>
      <c r="WN2" s="62"/>
      <c r="WO2" s="62"/>
      <c r="WP2" s="62"/>
      <c r="WQ2" s="62"/>
      <c r="WR2" s="62"/>
      <c r="WS2" s="62"/>
      <c r="WT2" s="62"/>
      <c r="WU2" s="62"/>
      <c r="WV2" s="62"/>
      <c r="WW2" s="62"/>
      <c r="WX2" s="62"/>
      <c r="WY2" s="62"/>
      <c r="WZ2" s="62"/>
      <c r="XA2" s="62"/>
      <c r="XB2" s="62"/>
      <c r="XC2" s="62"/>
      <c r="XD2" s="62"/>
      <c r="XE2" s="62"/>
      <c r="XF2" s="62"/>
      <c r="XG2" s="62"/>
      <c r="XH2" s="62"/>
      <c r="XI2" s="62"/>
      <c r="XJ2" s="62"/>
      <c r="XK2" s="62"/>
      <c r="XL2" s="62"/>
      <c r="XM2" s="62"/>
      <c r="XN2" s="62"/>
      <c r="XO2" s="62"/>
      <c r="XP2" s="62"/>
      <c r="XQ2" s="62"/>
      <c r="XR2" s="62"/>
      <c r="XS2" s="62"/>
      <c r="XT2" s="62"/>
      <c r="XU2" s="62"/>
      <c r="XV2" s="62"/>
      <c r="XW2" s="62"/>
      <c r="XX2" s="62"/>
      <c r="XY2" s="62"/>
      <c r="XZ2" s="62"/>
      <c r="YA2" s="62"/>
      <c r="YB2" s="62"/>
      <c r="YC2" s="62"/>
      <c r="YD2" s="62"/>
      <c r="YE2" s="62"/>
      <c r="YF2" s="62"/>
      <c r="YG2" s="62"/>
      <c r="YH2" s="62"/>
      <c r="YI2" s="62"/>
      <c r="YJ2" s="62"/>
      <c r="YK2" s="62"/>
      <c r="YL2" s="62"/>
      <c r="YM2" s="62"/>
      <c r="YN2" s="62"/>
      <c r="YO2" s="62"/>
      <c r="YP2" s="62"/>
      <c r="YQ2" s="62"/>
      <c r="YR2" s="62"/>
      <c r="YS2" s="62"/>
      <c r="YT2" s="62"/>
      <c r="YU2" s="62"/>
      <c r="YV2" s="62"/>
      <c r="YW2" s="62"/>
      <c r="YX2" s="62"/>
      <c r="YY2" s="62"/>
      <c r="YZ2" s="62"/>
      <c r="ZA2" s="62"/>
      <c r="ZB2" s="62"/>
      <c r="ZC2" s="62"/>
      <c r="ZD2" s="62"/>
      <c r="ZE2" s="62"/>
      <c r="ZF2" s="62"/>
      <c r="ZG2" s="62"/>
      <c r="ZH2" s="62"/>
      <c r="ZI2" s="62"/>
      <c r="ZJ2" s="62"/>
      <c r="ZK2" s="62"/>
      <c r="ZL2" s="62"/>
      <c r="ZM2" s="62"/>
      <c r="ZN2" s="62"/>
      <c r="ZO2" s="62"/>
      <c r="ZP2" s="62"/>
      <c r="ZQ2" s="62"/>
      <c r="ZR2" s="62"/>
      <c r="ZS2" s="62"/>
      <c r="ZT2" s="62"/>
      <c r="ZU2" s="62"/>
      <c r="ZV2" s="62"/>
      <c r="ZW2" s="62"/>
      <c r="ZX2" s="62"/>
      <c r="ZY2" s="62"/>
      <c r="ZZ2" s="62"/>
      <c r="AAA2" s="62"/>
      <c r="AAB2" s="62"/>
      <c r="AAC2" s="62"/>
      <c r="AAD2" s="62"/>
      <c r="AAE2" s="62"/>
      <c r="AAF2" s="62"/>
      <c r="AAG2" s="62"/>
      <c r="AAH2" s="62"/>
      <c r="AAI2" s="62"/>
      <c r="AAJ2" s="62"/>
      <c r="AAK2" s="62"/>
      <c r="AAL2" s="62"/>
      <c r="AAM2" s="62"/>
      <c r="AAN2" s="62"/>
      <c r="AAO2" s="62"/>
      <c r="AAP2" s="62"/>
      <c r="AAQ2" s="62"/>
      <c r="AAR2" s="62"/>
      <c r="AAS2" s="62"/>
      <c r="AAT2" s="62"/>
      <c r="AAU2" s="62"/>
      <c r="AAV2" s="62"/>
      <c r="AAW2" s="62"/>
      <c r="AAX2" s="62"/>
      <c r="AAY2" s="62"/>
      <c r="AAZ2" s="62"/>
      <c r="ABA2" s="62"/>
      <c r="ABB2" s="62"/>
      <c r="ABC2" s="62"/>
    </row>
    <row r="3" spans="1:731" ht="24" thickBot="1" x14ac:dyDescent="0.4">
      <c r="A3" s="97" t="str">
        <f>"SALDO AL 31/12/"&amp;(B2-1)</f>
        <v>SALDO AL 31/12/2018</v>
      </c>
      <c r="B3" s="105">
        <v>10000</v>
      </c>
    </row>
    <row r="4" spans="1:731" ht="24" thickBot="1" x14ac:dyDescent="0.4">
      <c r="A4" s="98"/>
      <c r="B4" s="106"/>
    </row>
    <row r="5" spans="1:731" s="1" customFormat="1" ht="15.75" thickBot="1" x14ac:dyDescent="0.3">
      <c r="A5" s="174" t="s">
        <v>16</v>
      </c>
      <c r="B5" s="175" t="s">
        <v>12</v>
      </c>
      <c r="C5" s="63"/>
      <c r="D5" s="63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  <c r="DY5" s="63"/>
      <c r="DZ5" s="63"/>
      <c r="EA5" s="63"/>
      <c r="EB5" s="63"/>
      <c r="EC5" s="63"/>
      <c r="ED5" s="63"/>
      <c r="EE5" s="63"/>
      <c r="EF5" s="63"/>
      <c r="EG5" s="63"/>
      <c r="EH5" s="63"/>
      <c r="EI5" s="63"/>
      <c r="EJ5" s="63"/>
      <c r="EK5" s="63"/>
      <c r="EL5" s="63"/>
      <c r="EM5" s="63"/>
      <c r="EN5" s="63"/>
      <c r="EO5" s="63"/>
      <c r="EP5" s="63"/>
      <c r="EQ5" s="63"/>
      <c r="ER5" s="63"/>
      <c r="ES5" s="63"/>
      <c r="ET5" s="63"/>
      <c r="EU5" s="63"/>
      <c r="EV5" s="63"/>
      <c r="EW5" s="63"/>
      <c r="EX5" s="63"/>
      <c r="EY5" s="63"/>
      <c r="EZ5" s="63"/>
      <c r="FA5" s="63"/>
      <c r="FB5" s="63"/>
      <c r="FC5" s="63"/>
      <c r="FD5" s="63"/>
      <c r="FE5" s="63"/>
      <c r="FF5" s="63"/>
      <c r="FG5" s="63"/>
      <c r="FH5" s="63"/>
      <c r="FI5" s="63"/>
      <c r="FJ5" s="63"/>
      <c r="FK5" s="63"/>
      <c r="FL5" s="63"/>
      <c r="FM5" s="63"/>
      <c r="FN5" s="63"/>
      <c r="FO5" s="63"/>
      <c r="FP5" s="63"/>
      <c r="FQ5" s="63"/>
      <c r="FR5" s="63"/>
      <c r="FS5" s="63"/>
      <c r="FT5" s="63"/>
      <c r="FU5" s="63"/>
      <c r="FV5" s="63"/>
      <c r="FW5" s="63"/>
      <c r="FX5" s="63"/>
      <c r="FY5" s="63"/>
      <c r="FZ5" s="63"/>
      <c r="GA5" s="63"/>
      <c r="GB5" s="63"/>
      <c r="GC5" s="63"/>
      <c r="GD5" s="63"/>
      <c r="GE5" s="63"/>
      <c r="GF5" s="63"/>
      <c r="GG5" s="63"/>
      <c r="GH5" s="63"/>
      <c r="GI5" s="63"/>
      <c r="GJ5" s="63"/>
      <c r="GK5" s="63"/>
      <c r="GL5" s="63"/>
      <c r="GM5" s="63"/>
      <c r="GN5" s="63"/>
      <c r="GO5" s="63"/>
      <c r="GP5" s="63"/>
      <c r="GQ5" s="63"/>
      <c r="GR5" s="63"/>
      <c r="GS5" s="63"/>
      <c r="GT5" s="63"/>
      <c r="GU5" s="63"/>
      <c r="GV5" s="63"/>
      <c r="GW5" s="63"/>
      <c r="GX5" s="63"/>
      <c r="GY5" s="63"/>
      <c r="GZ5" s="63"/>
      <c r="HA5" s="63"/>
      <c r="HB5" s="63"/>
      <c r="HC5" s="63"/>
      <c r="HD5" s="63"/>
      <c r="HE5" s="63"/>
      <c r="HF5" s="63"/>
      <c r="HG5" s="63"/>
      <c r="HH5" s="63"/>
      <c r="HI5" s="63"/>
      <c r="HJ5" s="63"/>
      <c r="HK5" s="63"/>
      <c r="HL5" s="63"/>
      <c r="HM5" s="63"/>
      <c r="HN5" s="63"/>
      <c r="HO5" s="63"/>
      <c r="HP5" s="63"/>
      <c r="HQ5" s="63"/>
      <c r="HR5" s="63"/>
      <c r="HS5" s="63"/>
      <c r="HT5" s="63"/>
      <c r="HU5" s="63"/>
      <c r="HV5" s="63"/>
      <c r="HW5" s="63"/>
      <c r="HX5" s="63"/>
      <c r="HY5" s="63"/>
      <c r="HZ5" s="63"/>
      <c r="IA5" s="63"/>
      <c r="IB5" s="63"/>
      <c r="IC5" s="63"/>
      <c r="ID5" s="63"/>
      <c r="IE5" s="63"/>
      <c r="IF5" s="63"/>
      <c r="IG5" s="63"/>
      <c r="IH5" s="63"/>
      <c r="II5" s="63"/>
      <c r="IJ5" s="63"/>
      <c r="IK5" s="63"/>
      <c r="IL5" s="63"/>
      <c r="IM5" s="63"/>
      <c r="IN5" s="63"/>
      <c r="IO5" s="63"/>
      <c r="IP5" s="63"/>
      <c r="IQ5" s="63"/>
      <c r="IR5" s="63"/>
      <c r="IS5" s="63"/>
      <c r="IT5" s="63"/>
      <c r="IU5" s="63"/>
      <c r="IV5" s="63"/>
      <c r="IW5" s="63"/>
      <c r="IX5" s="63"/>
      <c r="IY5" s="63"/>
      <c r="IZ5" s="63"/>
      <c r="JA5" s="63"/>
      <c r="JB5" s="63"/>
      <c r="JC5" s="63"/>
      <c r="JD5" s="63"/>
      <c r="JE5" s="63"/>
      <c r="JF5" s="63"/>
      <c r="JG5" s="63"/>
      <c r="JH5" s="63"/>
      <c r="JI5" s="63"/>
      <c r="JJ5" s="63"/>
      <c r="JK5" s="63"/>
      <c r="JL5" s="63"/>
      <c r="JM5" s="63"/>
      <c r="JN5" s="63"/>
      <c r="JO5" s="63"/>
      <c r="JP5" s="63"/>
      <c r="JQ5" s="63"/>
      <c r="JR5" s="63"/>
      <c r="JS5" s="63"/>
      <c r="JT5" s="63"/>
      <c r="JU5" s="63"/>
      <c r="JV5" s="63"/>
      <c r="JW5" s="63"/>
      <c r="JX5" s="63"/>
      <c r="JY5" s="63"/>
      <c r="JZ5" s="63"/>
      <c r="KA5" s="63"/>
      <c r="KB5" s="63"/>
      <c r="KC5" s="63"/>
      <c r="KD5" s="63"/>
      <c r="KE5" s="63"/>
      <c r="KF5" s="63"/>
      <c r="KG5" s="63"/>
      <c r="KH5" s="63"/>
      <c r="KI5" s="63"/>
      <c r="KJ5" s="63"/>
      <c r="KK5" s="63"/>
      <c r="KL5" s="63"/>
      <c r="KM5" s="63"/>
      <c r="KN5" s="63"/>
      <c r="KO5" s="63"/>
      <c r="KP5" s="63"/>
      <c r="KQ5" s="63"/>
      <c r="KR5" s="63"/>
      <c r="KS5" s="63"/>
      <c r="KT5" s="63"/>
      <c r="KU5" s="63"/>
      <c r="KV5" s="63"/>
      <c r="KW5" s="63"/>
      <c r="KX5" s="63"/>
      <c r="KY5" s="63"/>
      <c r="KZ5" s="63"/>
      <c r="LA5" s="63"/>
      <c r="LB5" s="63"/>
      <c r="LC5" s="63"/>
      <c r="LD5" s="63"/>
      <c r="LE5" s="63"/>
      <c r="LF5" s="63"/>
      <c r="LG5" s="63"/>
      <c r="LH5" s="63"/>
      <c r="LI5" s="63"/>
      <c r="LJ5" s="63"/>
      <c r="LK5" s="63"/>
      <c r="LL5" s="63"/>
      <c r="LM5" s="63"/>
      <c r="LN5" s="63"/>
      <c r="LO5" s="63"/>
      <c r="LP5" s="63"/>
      <c r="LQ5" s="63"/>
      <c r="LR5" s="63"/>
      <c r="LS5" s="63"/>
      <c r="LT5" s="63"/>
      <c r="LU5" s="63"/>
      <c r="LV5" s="63"/>
      <c r="LW5" s="63"/>
      <c r="LX5" s="63"/>
      <c r="LY5" s="63"/>
      <c r="LZ5" s="63"/>
      <c r="MA5" s="63"/>
      <c r="MB5" s="63"/>
      <c r="MC5" s="63"/>
      <c r="MD5" s="63"/>
      <c r="ME5" s="63"/>
      <c r="MF5" s="63"/>
      <c r="MG5" s="63"/>
      <c r="MH5" s="63"/>
      <c r="MI5" s="63"/>
      <c r="MJ5" s="63"/>
      <c r="MK5" s="63"/>
      <c r="ML5" s="63"/>
      <c r="MM5" s="63"/>
      <c r="MN5" s="63"/>
      <c r="MO5" s="63"/>
      <c r="MP5" s="63"/>
      <c r="MQ5" s="63"/>
      <c r="MR5" s="63"/>
      <c r="MS5" s="63"/>
      <c r="MT5" s="63"/>
      <c r="MU5" s="63"/>
      <c r="MV5" s="63"/>
      <c r="MW5" s="63"/>
      <c r="MX5" s="63"/>
      <c r="MY5" s="63"/>
      <c r="MZ5" s="63"/>
      <c r="NA5" s="63"/>
      <c r="NB5" s="63"/>
      <c r="NC5" s="63"/>
      <c r="ND5" s="63"/>
      <c r="NE5" s="63"/>
      <c r="NF5" s="63"/>
      <c r="NG5" s="63"/>
      <c r="NH5" s="63"/>
      <c r="NI5" s="63"/>
      <c r="NJ5" s="63"/>
      <c r="NK5" s="63"/>
      <c r="NL5" s="63"/>
      <c r="NM5" s="63"/>
      <c r="NN5" s="63"/>
      <c r="NO5" s="63"/>
      <c r="NP5" s="63"/>
      <c r="NQ5" s="63"/>
      <c r="NR5" s="63"/>
      <c r="NS5" s="63"/>
      <c r="NT5" s="63"/>
      <c r="NU5" s="63"/>
      <c r="NV5" s="63"/>
      <c r="NW5" s="63"/>
      <c r="NX5" s="63"/>
      <c r="NY5" s="63"/>
      <c r="NZ5" s="63"/>
      <c r="OA5" s="63"/>
      <c r="OB5" s="63"/>
      <c r="OC5" s="63"/>
      <c r="OD5" s="63"/>
      <c r="OE5" s="63"/>
      <c r="OF5" s="63"/>
      <c r="OG5" s="63"/>
      <c r="OH5" s="63"/>
      <c r="OI5" s="63"/>
      <c r="OJ5" s="63"/>
      <c r="OK5" s="63"/>
      <c r="OL5" s="63"/>
      <c r="OM5" s="63"/>
      <c r="ON5" s="63"/>
      <c r="OO5" s="63"/>
      <c r="OP5" s="63"/>
      <c r="OQ5" s="63"/>
      <c r="OR5" s="63"/>
      <c r="OS5" s="63"/>
      <c r="OT5" s="63"/>
      <c r="OU5" s="63"/>
      <c r="OV5" s="63"/>
      <c r="OW5" s="63"/>
      <c r="OX5" s="63"/>
      <c r="OY5" s="63"/>
      <c r="OZ5" s="63"/>
      <c r="PA5" s="63"/>
      <c r="PB5" s="63"/>
      <c r="PC5" s="63"/>
      <c r="PD5" s="63"/>
      <c r="PE5" s="63"/>
      <c r="PF5" s="63"/>
      <c r="PG5" s="63"/>
      <c r="PH5" s="63"/>
      <c r="PI5" s="63"/>
      <c r="PJ5" s="63"/>
      <c r="PK5" s="63"/>
      <c r="PL5" s="63"/>
      <c r="PM5" s="63"/>
      <c r="PN5" s="63"/>
      <c r="PO5" s="63"/>
      <c r="PP5" s="63"/>
      <c r="PQ5" s="63"/>
      <c r="PR5" s="63"/>
      <c r="PS5" s="63"/>
      <c r="PT5" s="63"/>
      <c r="PU5" s="63"/>
      <c r="PV5" s="63"/>
      <c r="PW5" s="63"/>
      <c r="PX5" s="63"/>
      <c r="PY5" s="63"/>
      <c r="PZ5" s="63"/>
      <c r="QA5" s="63"/>
      <c r="QB5" s="63"/>
      <c r="QC5" s="63"/>
      <c r="QD5" s="63"/>
      <c r="QE5" s="63"/>
      <c r="QF5" s="63"/>
      <c r="QG5" s="63"/>
      <c r="QH5" s="63"/>
      <c r="QI5" s="63"/>
      <c r="QJ5" s="63"/>
      <c r="QK5" s="63"/>
      <c r="QL5" s="63"/>
      <c r="QM5" s="63"/>
      <c r="QN5" s="63"/>
      <c r="QO5" s="63"/>
      <c r="QP5" s="63"/>
      <c r="QQ5" s="63"/>
      <c r="QR5" s="63"/>
      <c r="QS5" s="63"/>
      <c r="QT5" s="63"/>
      <c r="QU5" s="63"/>
      <c r="QV5" s="63"/>
      <c r="QW5" s="63"/>
      <c r="QX5" s="63"/>
      <c r="QY5" s="63"/>
      <c r="QZ5" s="63"/>
      <c r="RA5" s="63"/>
      <c r="RB5" s="63"/>
      <c r="RC5" s="63"/>
      <c r="RD5" s="63"/>
      <c r="RE5" s="63"/>
      <c r="RF5" s="63"/>
      <c r="RG5" s="63"/>
      <c r="RH5" s="63"/>
      <c r="RI5" s="63"/>
      <c r="RJ5" s="63"/>
      <c r="RK5" s="63"/>
      <c r="RL5" s="63"/>
      <c r="RM5" s="63"/>
      <c r="RN5" s="63"/>
      <c r="RO5" s="63"/>
      <c r="RP5" s="63"/>
      <c r="RQ5" s="63"/>
      <c r="RR5" s="63"/>
      <c r="RS5" s="63"/>
      <c r="RT5" s="63"/>
      <c r="RU5" s="63"/>
      <c r="RV5" s="63"/>
      <c r="RW5" s="63"/>
      <c r="RX5" s="63"/>
      <c r="RY5" s="63"/>
      <c r="RZ5" s="63"/>
      <c r="SA5" s="63"/>
      <c r="SB5" s="63"/>
      <c r="SC5" s="63"/>
      <c r="SD5" s="63"/>
      <c r="SE5" s="63"/>
      <c r="SF5" s="63"/>
      <c r="SG5" s="63"/>
      <c r="SH5" s="63"/>
      <c r="SI5" s="63"/>
      <c r="SJ5" s="63"/>
      <c r="SK5" s="63"/>
      <c r="SL5" s="63"/>
      <c r="SM5" s="63"/>
      <c r="SN5" s="63"/>
      <c r="SO5" s="63"/>
      <c r="SP5" s="63"/>
      <c r="SQ5" s="63"/>
      <c r="SR5" s="63"/>
      <c r="SS5" s="63"/>
      <c r="ST5" s="63"/>
      <c r="SU5" s="63"/>
      <c r="SV5" s="63"/>
      <c r="SW5" s="63"/>
      <c r="SX5" s="63"/>
      <c r="SY5" s="63"/>
      <c r="SZ5" s="63"/>
      <c r="TA5" s="63"/>
      <c r="TB5" s="63"/>
      <c r="TC5" s="63"/>
      <c r="TD5" s="63"/>
      <c r="TE5" s="63"/>
      <c r="TF5" s="63"/>
      <c r="TG5" s="63"/>
      <c r="TH5" s="63"/>
      <c r="TI5" s="63"/>
      <c r="TJ5" s="63"/>
      <c r="TK5" s="63"/>
      <c r="TL5" s="63"/>
      <c r="TM5" s="63"/>
      <c r="TN5" s="63"/>
      <c r="TO5" s="63"/>
      <c r="TP5" s="63"/>
      <c r="TQ5" s="63"/>
      <c r="TR5" s="63"/>
      <c r="TS5" s="63"/>
      <c r="TT5" s="63"/>
      <c r="TU5" s="63"/>
      <c r="TV5" s="63"/>
      <c r="TW5" s="63"/>
      <c r="TX5" s="63"/>
      <c r="TY5" s="63"/>
      <c r="TZ5" s="63"/>
      <c r="UA5" s="63"/>
      <c r="UB5" s="63"/>
      <c r="UC5" s="63"/>
      <c r="UD5" s="63"/>
      <c r="UE5" s="63"/>
      <c r="UF5" s="63"/>
      <c r="UG5" s="63"/>
      <c r="UH5" s="63"/>
      <c r="UI5" s="63"/>
      <c r="UJ5" s="63"/>
      <c r="UK5" s="63"/>
      <c r="UL5" s="63"/>
      <c r="UM5" s="63"/>
      <c r="UN5" s="63"/>
      <c r="UO5" s="63"/>
      <c r="UP5" s="63"/>
      <c r="UQ5" s="63"/>
      <c r="UR5" s="63"/>
      <c r="US5" s="63"/>
      <c r="UT5" s="63"/>
      <c r="UU5" s="63"/>
      <c r="UV5" s="63"/>
      <c r="UW5" s="63"/>
      <c r="UX5" s="63"/>
      <c r="UY5" s="63"/>
      <c r="UZ5" s="63"/>
      <c r="VA5" s="63"/>
      <c r="VB5" s="63"/>
      <c r="VC5" s="63"/>
      <c r="VD5" s="63"/>
      <c r="VE5" s="63"/>
      <c r="VF5" s="63"/>
      <c r="VG5" s="63"/>
      <c r="VH5" s="63"/>
      <c r="VI5" s="63"/>
      <c r="VJ5" s="63"/>
      <c r="VK5" s="63"/>
      <c r="VL5" s="63"/>
      <c r="VM5" s="63"/>
      <c r="VN5" s="63"/>
      <c r="VO5" s="63"/>
      <c r="VP5" s="63"/>
      <c r="VQ5" s="63"/>
      <c r="VR5" s="63"/>
      <c r="VS5" s="63"/>
      <c r="VT5" s="63"/>
      <c r="VU5" s="63"/>
      <c r="VV5" s="63"/>
      <c r="VW5" s="63"/>
      <c r="VX5" s="63"/>
      <c r="VY5" s="63"/>
      <c r="VZ5" s="63"/>
      <c r="WA5" s="63"/>
      <c r="WB5" s="63"/>
      <c r="WC5" s="63"/>
      <c r="WD5" s="63"/>
      <c r="WE5" s="63"/>
      <c r="WF5" s="63"/>
      <c r="WG5" s="63"/>
      <c r="WH5" s="63"/>
      <c r="WI5" s="63"/>
      <c r="WJ5" s="63"/>
      <c r="WK5" s="63"/>
      <c r="WL5" s="63"/>
      <c r="WM5" s="63"/>
      <c r="WN5" s="63"/>
      <c r="WO5" s="63"/>
      <c r="WP5" s="63"/>
      <c r="WQ5" s="63"/>
      <c r="WR5" s="63"/>
      <c r="WS5" s="63"/>
      <c r="WT5" s="63"/>
      <c r="WU5" s="63"/>
      <c r="WV5" s="63"/>
      <c r="WW5" s="63"/>
      <c r="WX5" s="63"/>
      <c r="WY5" s="63"/>
      <c r="WZ5" s="63"/>
      <c r="XA5" s="63"/>
      <c r="XB5" s="63"/>
      <c r="XC5" s="63"/>
      <c r="XD5" s="63"/>
      <c r="XE5" s="63"/>
      <c r="XF5" s="63"/>
      <c r="XG5" s="63"/>
      <c r="XH5" s="63"/>
      <c r="XI5" s="63"/>
      <c r="XJ5" s="63"/>
      <c r="XK5" s="63"/>
      <c r="XL5" s="63"/>
      <c r="XM5" s="63"/>
      <c r="XN5" s="63"/>
      <c r="XO5" s="63"/>
      <c r="XP5" s="63"/>
      <c r="XQ5" s="63"/>
      <c r="XR5" s="63"/>
      <c r="XS5" s="63"/>
      <c r="XT5" s="63"/>
      <c r="XU5" s="63"/>
      <c r="XV5" s="63"/>
      <c r="XW5" s="63"/>
      <c r="XX5" s="63"/>
      <c r="XY5" s="63"/>
      <c r="XZ5" s="63"/>
      <c r="YA5" s="63"/>
      <c r="YB5" s="63"/>
      <c r="YC5" s="63"/>
      <c r="YD5" s="63"/>
      <c r="YE5" s="63"/>
      <c r="YF5" s="63"/>
      <c r="YG5" s="63"/>
      <c r="YH5" s="63"/>
      <c r="YI5" s="63"/>
      <c r="YJ5" s="63"/>
      <c r="YK5" s="63"/>
      <c r="YL5" s="63"/>
      <c r="YM5" s="63"/>
      <c r="YN5" s="63"/>
      <c r="YO5" s="63"/>
      <c r="YP5" s="63"/>
      <c r="YQ5" s="63"/>
      <c r="YR5" s="63"/>
      <c r="YS5" s="63"/>
      <c r="YT5" s="63"/>
      <c r="YU5" s="63"/>
      <c r="YV5" s="63"/>
      <c r="YW5" s="63"/>
      <c r="YX5" s="63"/>
      <c r="YY5" s="63"/>
      <c r="YZ5" s="63"/>
      <c r="ZA5" s="63"/>
      <c r="ZB5" s="63"/>
      <c r="ZC5" s="63"/>
      <c r="ZD5" s="63"/>
      <c r="ZE5" s="63"/>
      <c r="ZF5" s="63"/>
      <c r="ZG5" s="63"/>
      <c r="ZH5" s="63"/>
      <c r="ZI5" s="63"/>
      <c r="ZJ5" s="63"/>
      <c r="ZK5" s="63"/>
      <c r="ZL5" s="63"/>
      <c r="ZM5" s="63"/>
      <c r="ZN5" s="63"/>
      <c r="ZO5" s="63"/>
      <c r="ZP5" s="63"/>
      <c r="ZQ5" s="63"/>
      <c r="ZR5" s="63"/>
      <c r="ZS5" s="63"/>
      <c r="ZT5" s="63"/>
      <c r="ZU5" s="63"/>
      <c r="ZV5" s="63"/>
      <c r="ZW5" s="63"/>
      <c r="ZX5" s="63"/>
      <c r="ZY5" s="63"/>
      <c r="ZZ5" s="63"/>
      <c r="AAA5" s="63"/>
      <c r="AAB5" s="63"/>
      <c r="AAC5" s="63"/>
      <c r="AAD5" s="63"/>
      <c r="AAE5" s="63"/>
      <c r="AAF5" s="63"/>
      <c r="AAG5" s="63"/>
      <c r="AAH5" s="63"/>
      <c r="AAI5" s="63"/>
      <c r="AAJ5" s="63"/>
      <c r="AAK5" s="63"/>
      <c r="AAL5" s="63"/>
      <c r="AAM5" s="63"/>
      <c r="AAN5" s="63"/>
      <c r="AAO5" s="63"/>
      <c r="AAP5" s="63"/>
      <c r="AAQ5" s="63"/>
      <c r="AAR5" s="63"/>
      <c r="AAS5" s="63"/>
      <c r="AAT5" s="63"/>
      <c r="AAU5" s="63"/>
      <c r="AAV5" s="63"/>
      <c r="AAW5" s="63"/>
      <c r="AAX5" s="63"/>
      <c r="AAY5" s="63"/>
      <c r="AAZ5" s="63"/>
      <c r="ABA5" s="63"/>
      <c r="ABB5" s="63"/>
      <c r="ABC5" s="63"/>
    </row>
    <row r="6" spans="1:731" x14ac:dyDescent="0.25">
      <c r="A6" s="176" t="s">
        <v>60</v>
      </c>
      <c r="B6" s="177" t="s">
        <v>40</v>
      </c>
    </row>
    <row r="7" spans="1:731" x14ac:dyDescent="0.25">
      <c r="A7" s="178" t="s">
        <v>61</v>
      </c>
      <c r="B7" s="85" t="s">
        <v>35</v>
      </c>
    </row>
    <row r="8" spans="1:731" x14ac:dyDescent="0.25">
      <c r="A8" s="178" t="s">
        <v>62</v>
      </c>
      <c r="B8" s="85" t="s">
        <v>41</v>
      </c>
    </row>
    <row r="9" spans="1:731" x14ac:dyDescent="0.25">
      <c r="A9" s="96" t="s">
        <v>63</v>
      </c>
      <c r="B9" s="85" t="s">
        <v>42</v>
      </c>
    </row>
    <row r="10" spans="1:731" x14ac:dyDescent="0.25">
      <c r="A10" s="96"/>
      <c r="B10" s="85" t="s">
        <v>43</v>
      </c>
    </row>
    <row r="11" spans="1:731" x14ac:dyDescent="0.25">
      <c r="A11" s="99"/>
      <c r="B11" s="85" t="s">
        <v>44</v>
      </c>
    </row>
    <row r="12" spans="1:731" x14ac:dyDescent="0.25">
      <c r="A12" s="96"/>
      <c r="B12" s="85" t="s">
        <v>45</v>
      </c>
    </row>
    <row r="13" spans="1:731" x14ac:dyDescent="0.25">
      <c r="A13" s="96"/>
      <c r="B13" s="85" t="s">
        <v>46</v>
      </c>
    </row>
    <row r="14" spans="1:731" x14ac:dyDescent="0.25">
      <c r="A14" s="96"/>
      <c r="B14" s="85" t="s">
        <v>47</v>
      </c>
    </row>
    <row r="15" spans="1:731" x14ac:dyDescent="0.25">
      <c r="A15" s="96"/>
      <c r="B15" s="85" t="s">
        <v>18</v>
      </c>
    </row>
    <row r="16" spans="1:731" x14ac:dyDescent="0.25">
      <c r="A16" s="96"/>
      <c r="B16" s="85" t="s">
        <v>48</v>
      </c>
    </row>
    <row r="17" spans="1:731" x14ac:dyDescent="0.25">
      <c r="A17" s="96"/>
      <c r="B17" s="85" t="s">
        <v>49</v>
      </c>
    </row>
    <row r="18" spans="1:731" x14ac:dyDescent="0.25">
      <c r="A18" s="100"/>
      <c r="B18" s="85" t="s">
        <v>50</v>
      </c>
    </row>
    <row r="19" spans="1:731" s="3" customFormat="1" x14ac:dyDescent="0.25">
      <c r="A19" s="96"/>
      <c r="B19" s="85" t="s">
        <v>51</v>
      </c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  <c r="EH19" s="64"/>
      <c r="EI19" s="64"/>
      <c r="EJ19" s="64"/>
      <c r="EK19" s="64"/>
      <c r="EL19" s="64"/>
      <c r="EM19" s="64"/>
      <c r="EN19" s="64"/>
      <c r="EO19" s="64"/>
      <c r="EP19" s="64"/>
      <c r="EQ19" s="64"/>
      <c r="ER19" s="64"/>
      <c r="ES19" s="64"/>
      <c r="ET19" s="64"/>
      <c r="EU19" s="64"/>
      <c r="EV19" s="64"/>
      <c r="EW19" s="64"/>
      <c r="EX19" s="64"/>
      <c r="EY19" s="64"/>
      <c r="EZ19" s="64"/>
      <c r="FA19" s="64"/>
      <c r="FB19" s="64"/>
      <c r="FC19" s="64"/>
      <c r="FD19" s="64"/>
      <c r="FE19" s="64"/>
      <c r="FF19" s="64"/>
      <c r="FG19" s="64"/>
      <c r="FH19" s="64"/>
      <c r="FI19" s="64"/>
      <c r="FJ19" s="64"/>
      <c r="FK19" s="64"/>
      <c r="FL19" s="64"/>
      <c r="FM19" s="64"/>
      <c r="FN19" s="64"/>
      <c r="FO19" s="64"/>
      <c r="FP19" s="64"/>
      <c r="FQ19" s="64"/>
      <c r="FR19" s="64"/>
      <c r="FS19" s="64"/>
      <c r="FT19" s="64"/>
      <c r="FU19" s="64"/>
      <c r="FV19" s="64"/>
      <c r="FW19" s="64"/>
      <c r="FX19" s="64"/>
      <c r="FY19" s="64"/>
      <c r="FZ19" s="64"/>
      <c r="GA19" s="64"/>
      <c r="GB19" s="64"/>
      <c r="GC19" s="64"/>
      <c r="GD19" s="64"/>
      <c r="GE19" s="64"/>
      <c r="GF19" s="64"/>
      <c r="GG19" s="64"/>
      <c r="GH19" s="64"/>
      <c r="GI19" s="64"/>
      <c r="GJ19" s="64"/>
      <c r="GK19" s="64"/>
      <c r="GL19" s="64"/>
      <c r="GM19" s="64"/>
      <c r="GN19" s="64"/>
      <c r="GO19" s="64"/>
      <c r="GP19" s="64"/>
      <c r="GQ19" s="64"/>
      <c r="GR19" s="64"/>
      <c r="GS19" s="64"/>
      <c r="GT19" s="64"/>
      <c r="GU19" s="64"/>
      <c r="GV19" s="64"/>
      <c r="GW19" s="64"/>
      <c r="GX19" s="64"/>
      <c r="GY19" s="64"/>
      <c r="GZ19" s="64"/>
      <c r="HA19" s="64"/>
      <c r="HB19" s="64"/>
      <c r="HC19" s="64"/>
      <c r="HD19" s="64"/>
      <c r="HE19" s="64"/>
      <c r="HF19" s="64"/>
      <c r="HG19" s="64"/>
      <c r="HH19" s="64"/>
      <c r="HI19" s="64"/>
      <c r="HJ19" s="64"/>
      <c r="HK19" s="64"/>
      <c r="HL19" s="64"/>
      <c r="HM19" s="64"/>
      <c r="HN19" s="64"/>
      <c r="HO19" s="64"/>
      <c r="HP19" s="64"/>
      <c r="HQ19" s="64"/>
      <c r="HR19" s="64"/>
      <c r="HS19" s="64"/>
      <c r="HT19" s="64"/>
      <c r="HU19" s="64"/>
      <c r="HV19" s="64"/>
      <c r="HW19" s="64"/>
      <c r="HX19" s="64"/>
      <c r="HY19" s="64"/>
      <c r="HZ19" s="64"/>
      <c r="IA19" s="64"/>
      <c r="IB19" s="64"/>
      <c r="IC19" s="64"/>
      <c r="ID19" s="64"/>
      <c r="IE19" s="64"/>
      <c r="IF19" s="64"/>
      <c r="IG19" s="64"/>
      <c r="IH19" s="64"/>
      <c r="II19" s="64"/>
      <c r="IJ19" s="64"/>
      <c r="IK19" s="64"/>
      <c r="IL19" s="64"/>
      <c r="IM19" s="64"/>
      <c r="IN19" s="64"/>
      <c r="IO19" s="64"/>
      <c r="IP19" s="64"/>
      <c r="IQ19" s="64"/>
      <c r="IR19" s="64"/>
      <c r="IS19" s="64"/>
      <c r="IT19" s="64"/>
      <c r="IU19" s="64"/>
      <c r="IV19" s="64"/>
      <c r="IW19" s="64"/>
      <c r="IX19" s="64"/>
      <c r="IY19" s="64"/>
      <c r="IZ19" s="64"/>
      <c r="JA19" s="64"/>
      <c r="JB19" s="64"/>
      <c r="JC19" s="64"/>
      <c r="JD19" s="64"/>
      <c r="JE19" s="64"/>
      <c r="JF19" s="64"/>
      <c r="JG19" s="64"/>
      <c r="JH19" s="64"/>
      <c r="JI19" s="64"/>
      <c r="JJ19" s="64"/>
      <c r="JK19" s="64"/>
      <c r="JL19" s="64"/>
      <c r="JM19" s="64"/>
      <c r="JN19" s="64"/>
      <c r="JO19" s="64"/>
      <c r="JP19" s="64"/>
      <c r="JQ19" s="64"/>
      <c r="JR19" s="64"/>
      <c r="JS19" s="64"/>
      <c r="JT19" s="64"/>
      <c r="JU19" s="64"/>
      <c r="JV19" s="64"/>
      <c r="JW19" s="64"/>
      <c r="JX19" s="64"/>
      <c r="JY19" s="64"/>
      <c r="JZ19" s="64"/>
      <c r="KA19" s="64"/>
      <c r="KB19" s="64"/>
      <c r="KC19" s="64"/>
      <c r="KD19" s="64"/>
      <c r="KE19" s="64"/>
      <c r="KF19" s="64"/>
      <c r="KG19" s="64"/>
      <c r="KH19" s="64"/>
      <c r="KI19" s="64"/>
      <c r="KJ19" s="64"/>
      <c r="KK19" s="64"/>
      <c r="KL19" s="64"/>
      <c r="KM19" s="64"/>
      <c r="KN19" s="64"/>
      <c r="KO19" s="64"/>
      <c r="KP19" s="64"/>
      <c r="KQ19" s="64"/>
      <c r="KR19" s="64"/>
      <c r="KS19" s="64"/>
      <c r="KT19" s="64"/>
      <c r="KU19" s="64"/>
      <c r="KV19" s="64"/>
      <c r="KW19" s="64"/>
      <c r="KX19" s="64"/>
      <c r="KY19" s="64"/>
      <c r="KZ19" s="64"/>
      <c r="LA19" s="64"/>
      <c r="LB19" s="64"/>
      <c r="LC19" s="64"/>
      <c r="LD19" s="64"/>
      <c r="LE19" s="64"/>
      <c r="LF19" s="64"/>
      <c r="LG19" s="64"/>
      <c r="LH19" s="64"/>
      <c r="LI19" s="64"/>
      <c r="LJ19" s="64"/>
      <c r="LK19" s="64"/>
      <c r="LL19" s="64"/>
      <c r="LM19" s="64"/>
      <c r="LN19" s="64"/>
      <c r="LO19" s="64"/>
      <c r="LP19" s="64"/>
      <c r="LQ19" s="64"/>
      <c r="LR19" s="64"/>
      <c r="LS19" s="64"/>
      <c r="LT19" s="64"/>
      <c r="LU19" s="64"/>
      <c r="LV19" s="64"/>
      <c r="LW19" s="64"/>
      <c r="LX19" s="64"/>
      <c r="LY19" s="64"/>
      <c r="LZ19" s="64"/>
      <c r="MA19" s="64"/>
      <c r="MB19" s="64"/>
      <c r="MC19" s="64"/>
      <c r="MD19" s="64"/>
      <c r="ME19" s="64"/>
      <c r="MF19" s="64"/>
      <c r="MG19" s="64"/>
      <c r="MH19" s="64"/>
      <c r="MI19" s="64"/>
      <c r="MJ19" s="64"/>
      <c r="MK19" s="64"/>
      <c r="ML19" s="64"/>
      <c r="MM19" s="64"/>
      <c r="MN19" s="64"/>
      <c r="MO19" s="64"/>
      <c r="MP19" s="64"/>
      <c r="MQ19" s="64"/>
      <c r="MR19" s="64"/>
      <c r="MS19" s="64"/>
      <c r="MT19" s="64"/>
      <c r="MU19" s="64"/>
      <c r="MV19" s="64"/>
      <c r="MW19" s="64"/>
      <c r="MX19" s="64"/>
      <c r="MY19" s="64"/>
      <c r="MZ19" s="64"/>
      <c r="NA19" s="64"/>
      <c r="NB19" s="64"/>
      <c r="NC19" s="64"/>
      <c r="ND19" s="64"/>
      <c r="NE19" s="64"/>
      <c r="NF19" s="64"/>
      <c r="NG19" s="64"/>
      <c r="NH19" s="64"/>
      <c r="NI19" s="64"/>
      <c r="NJ19" s="64"/>
      <c r="NK19" s="64"/>
      <c r="NL19" s="64"/>
      <c r="NM19" s="64"/>
      <c r="NN19" s="64"/>
      <c r="NO19" s="64"/>
      <c r="NP19" s="64"/>
      <c r="NQ19" s="64"/>
      <c r="NR19" s="64"/>
      <c r="NS19" s="64"/>
      <c r="NT19" s="64"/>
      <c r="NU19" s="64"/>
      <c r="NV19" s="64"/>
      <c r="NW19" s="64"/>
      <c r="NX19" s="64"/>
      <c r="NY19" s="64"/>
      <c r="NZ19" s="64"/>
      <c r="OA19" s="64"/>
      <c r="OB19" s="64"/>
      <c r="OC19" s="64"/>
      <c r="OD19" s="64"/>
      <c r="OE19" s="64"/>
      <c r="OF19" s="64"/>
      <c r="OG19" s="64"/>
      <c r="OH19" s="64"/>
      <c r="OI19" s="64"/>
      <c r="OJ19" s="64"/>
      <c r="OK19" s="64"/>
      <c r="OL19" s="64"/>
      <c r="OM19" s="64"/>
      <c r="ON19" s="64"/>
      <c r="OO19" s="64"/>
      <c r="OP19" s="64"/>
      <c r="OQ19" s="64"/>
      <c r="OR19" s="64"/>
      <c r="OS19" s="64"/>
      <c r="OT19" s="64"/>
      <c r="OU19" s="64"/>
      <c r="OV19" s="64"/>
      <c r="OW19" s="64"/>
      <c r="OX19" s="64"/>
      <c r="OY19" s="64"/>
      <c r="OZ19" s="64"/>
      <c r="PA19" s="64"/>
      <c r="PB19" s="64"/>
      <c r="PC19" s="64"/>
      <c r="PD19" s="64"/>
      <c r="PE19" s="64"/>
      <c r="PF19" s="64"/>
      <c r="PG19" s="64"/>
      <c r="PH19" s="64"/>
      <c r="PI19" s="64"/>
      <c r="PJ19" s="64"/>
      <c r="PK19" s="64"/>
      <c r="PL19" s="64"/>
      <c r="PM19" s="64"/>
      <c r="PN19" s="64"/>
      <c r="PO19" s="64"/>
      <c r="PP19" s="64"/>
      <c r="PQ19" s="64"/>
      <c r="PR19" s="64"/>
      <c r="PS19" s="64"/>
      <c r="PT19" s="64"/>
      <c r="PU19" s="64"/>
      <c r="PV19" s="64"/>
      <c r="PW19" s="64"/>
      <c r="PX19" s="64"/>
      <c r="PY19" s="64"/>
      <c r="PZ19" s="64"/>
      <c r="QA19" s="64"/>
      <c r="QB19" s="64"/>
      <c r="QC19" s="64"/>
      <c r="QD19" s="64"/>
      <c r="QE19" s="64"/>
      <c r="QF19" s="64"/>
      <c r="QG19" s="64"/>
      <c r="QH19" s="64"/>
      <c r="QI19" s="64"/>
      <c r="QJ19" s="64"/>
      <c r="QK19" s="64"/>
      <c r="QL19" s="64"/>
      <c r="QM19" s="64"/>
      <c r="QN19" s="64"/>
      <c r="QO19" s="64"/>
      <c r="QP19" s="64"/>
      <c r="QQ19" s="64"/>
      <c r="QR19" s="64"/>
      <c r="QS19" s="64"/>
      <c r="QT19" s="64"/>
      <c r="QU19" s="64"/>
      <c r="QV19" s="64"/>
      <c r="QW19" s="64"/>
      <c r="QX19" s="64"/>
      <c r="QY19" s="64"/>
      <c r="QZ19" s="64"/>
      <c r="RA19" s="64"/>
      <c r="RB19" s="64"/>
      <c r="RC19" s="64"/>
      <c r="RD19" s="64"/>
      <c r="RE19" s="64"/>
      <c r="RF19" s="64"/>
      <c r="RG19" s="64"/>
      <c r="RH19" s="64"/>
      <c r="RI19" s="64"/>
      <c r="RJ19" s="64"/>
      <c r="RK19" s="64"/>
      <c r="RL19" s="64"/>
      <c r="RM19" s="64"/>
      <c r="RN19" s="64"/>
      <c r="RO19" s="64"/>
      <c r="RP19" s="64"/>
      <c r="RQ19" s="64"/>
      <c r="RR19" s="64"/>
      <c r="RS19" s="64"/>
      <c r="RT19" s="64"/>
      <c r="RU19" s="64"/>
      <c r="RV19" s="64"/>
      <c r="RW19" s="64"/>
      <c r="RX19" s="64"/>
      <c r="RY19" s="64"/>
      <c r="RZ19" s="64"/>
      <c r="SA19" s="64"/>
      <c r="SB19" s="64"/>
      <c r="SC19" s="64"/>
      <c r="SD19" s="64"/>
      <c r="SE19" s="64"/>
      <c r="SF19" s="64"/>
      <c r="SG19" s="64"/>
      <c r="SH19" s="64"/>
      <c r="SI19" s="64"/>
      <c r="SJ19" s="64"/>
      <c r="SK19" s="64"/>
      <c r="SL19" s="64"/>
      <c r="SM19" s="64"/>
      <c r="SN19" s="64"/>
      <c r="SO19" s="64"/>
      <c r="SP19" s="64"/>
      <c r="SQ19" s="64"/>
      <c r="SR19" s="64"/>
      <c r="SS19" s="64"/>
      <c r="ST19" s="64"/>
      <c r="SU19" s="64"/>
      <c r="SV19" s="64"/>
      <c r="SW19" s="64"/>
      <c r="SX19" s="64"/>
      <c r="SY19" s="64"/>
      <c r="SZ19" s="64"/>
      <c r="TA19" s="64"/>
      <c r="TB19" s="64"/>
      <c r="TC19" s="64"/>
      <c r="TD19" s="64"/>
      <c r="TE19" s="64"/>
      <c r="TF19" s="64"/>
      <c r="TG19" s="64"/>
      <c r="TH19" s="64"/>
      <c r="TI19" s="64"/>
      <c r="TJ19" s="64"/>
      <c r="TK19" s="64"/>
      <c r="TL19" s="64"/>
      <c r="TM19" s="64"/>
      <c r="TN19" s="64"/>
      <c r="TO19" s="64"/>
      <c r="TP19" s="64"/>
      <c r="TQ19" s="64"/>
      <c r="TR19" s="64"/>
      <c r="TS19" s="64"/>
      <c r="TT19" s="64"/>
      <c r="TU19" s="64"/>
      <c r="TV19" s="64"/>
      <c r="TW19" s="64"/>
      <c r="TX19" s="64"/>
      <c r="TY19" s="64"/>
      <c r="TZ19" s="64"/>
      <c r="UA19" s="64"/>
      <c r="UB19" s="64"/>
      <c r="UC19" s="64"/>
      <c r="UD19" s="64"/>
      <c r="UE19" s="64"/>
      <c r="UF19" s="64"/>
      <c r="UG19" s="64"/>
      <c r="UH19" s="64"/>
      <c r="UI19" s="64"/>
      <c r="UJ19" s="64"/>
      <c r="UK19" s="64"/>
      <c r="UL19" s="64"/>
      <c r="UM19" s="64"/>
      <c r="UN19" s="64"/>
      <c r="UO19" s="64"/>
      <c r="UP19" s="64"/>
      <c r="UQ19" s="64"/>
      <c r="UR19" s="64"/>
      <c r="US19" s="64"/>
      <c r="UT19" s="64"/>
      <c r="UU19" s="64"/>
      <c r="UV19" s="64"/>
      <c r="UW19" s="64"/>
      <c r="UX19" s="64"/>
      <c r="UY19" s="64"/>
      <c r="UZ19" s="64"/>
      <c r="VA19" s="64"/>
      <c r="VB19" s="64"/>
      <c r="VC19" s="64"/>
      <c r="VD19" s="64"/>
      <c r="VE19" s="64"/>
      <c r="VF19" s="64"/>
      <c r="VG19" s="64"/>
      <c r="VH19" s="64"/>
      <c r="VI19" s="64"/>
      <c r="VJ19" s="64"/>
      <c r="VK19" s="64"/>
      <c r="VL19" s="64"/>
      <c r="VM19" s="64"/>
      <c r="VN19" s="64"/>
      <c r="VO19" s="64"/>
      <c r="VP19" s="64"/>
      <c r="VQ19" s="64"/>
      <c r="VR19" s="64"/>
      <c r="VS19" s="64"/>
      <c r="VT19" s="64"/>
      <c r="VU19" s="64"/>
      <c r="VV19" s="64"/>
      <c r="VW19" s="64"/>
      <c r="VX19" s="64"/>
      <c r="VY19" s="64"/>
      <c r="VZ19" s="64"/>
      <c r="WA19" s="64"/>
      <c r="WB19" s="64"/>
      <c r="WC19" s="64"/>
      <c r="WD19" s="64"/>
      <c r="WE19" s="64"/>
      <c r="WF19" s="64"/>
      <c r="WG19" s="64"/>
      <c r="WH19" s="64"/>
      <c r="WI19" s="64"/>
      <c r="WJ19" s="64"/>
      <c r="WK19" s="64"/>
      <c r="WL19" s="64"/>
      <c r="WM19" s="64"/>
      <c r="WN19" s="64"/>
      <c r="WO19" s="64"/>
      <c r="WP19" s="64"/>
      <c r="WQ19" s="64"/>
      <c r="WR19" s="64"/>
      <c r="WS19" s="64"/>
      <c r="WT19" s="64"/>
      <c r="WU19" s="64"/>
      <c r="WV19" s="64"/>
      <c r="WW19" s="64"/>
      <c r="WX19" s="64"/>
      <c r="WY19" s="64"/>
      <c r="WZ19" s="64"/>
      <c r="XA19" s="64"/>
      <c r="XB19" s="64"/>
      <c r="XC19" s="64"/>
      <c r="XD19" s="64"/>
      <c r="XE19" s="64"/>
      <c r="XF19" s="64"/>
      <c r="XG19" s="64"/>
      <c r="XH19" s="64"/>
      <c r="XI19" s="64"/>
      <c r="XJ19" s="64"/>
      <c r="XK19" s="64"/>
      <c r="XL19" s="64"/>
      <c r="XM19" s="64"/>
      <c r="XN19" s="64"/>
      <c r="XO19" s="64"/>
      <c r="XP19" s="64"/>
      <c r="XQ19" s="64"/>
      <c r="XR19" s="64"/>
      <c r="XS19" s="64"/>
      <c r="XT19" s="64"/>
      <c r="XU19" s="64"/>
      <c r="XV19" s="64"/>
      <c r="XW19" s="64"/>
      <c r="XX19" s="64"/>
      <c r="XY19" s="64"/>
      <c r="XZ19" s="64"/>
      <c r="YA19" s="64"/>
      <c r="YB19" s="64"/>
      <c r="YC19" s="64"/>
      <c r="YD19" s="64"/>
      <c r="YE19" s="64"/>
      <c r="YF19" s="64"/>
      <c r="YG19" s="64"/>
      <c r="YH19" s="64"/>
      <c r="YI19" s="64"/>
      <c r="YJ19" s="64"/>
      <c r="YK19" s="64"/>
      <c r="YL19" s="64"/>
      <c r="YM19" s="64"/>
      <c r="YN19" s="64"/>
      <c r="YO19" s="64"/>
      <c r="YP19" s="64"/>
      <c r="YQ19" s="64"/>
      <c r="YR19" s="64"/>
      <c r="YS19" s="64"/>
      <c r="YT19" s="64"/>
      <c r="YU19" s="64"/>
      <c r="YV19" s="64"/>
      <c r="YW19" s="64"/>
      <c r="YX19" s="64"/>
      <c r="YY19" s="64"/>
      <c r="YZ19" s="64"/>
      <c r="ZA19" s="64"/>
      <c r="ZB19" s="64"/>
      <c r="ZC19" s="64"/>
      <c r="ZD19" s="64"/>
      <c r="ZE19" s="64"/>
      <c r="ZF19" s="64"/>
      <c r="ZG19" s="64"/>
      <c r="ZH19" s="64"/>
      <c r="ZI19" s="64"/>
      <c r="ZJ19" s="64"/>
      <c r="ZK19" s="64"/>
      <c r="ZL19" s="64"/>
      <c r="ZM19" s="64"/>
      <c r="ZN19" s="64"/>
      <c r="ZO19" s="64"/>
      <c r="ZP19" s="64"/>
      <c r="ZQ19" s="64"/>
      <c r="ZR19" s="64"/>
      <c r="ZS19" s="64"/>
      <c r="ZT19" s="64"/>
      <c r="ZU19" s="64"/>
      <c r="ZV19" s="64"/>
      <c r="ZW19" s="64"/>
      <c r="ZX19" s="64"/>
      <c r="ZY19" s="64"/>
      <c r="ZZ19" s="64"/>
      <c r="AAA19" s="64"/>
      <c r="AAB19" s="64"/>
      <c r="AAC19" s="64"/>
      <c r="AAD19" s="64"/>
      <c r="AAE19" s="64"/>
      <c r="AAF19" s="64"/>
      <c r="AAG19" s="64"/>
      <c r="AAH19" s="64"/>
      <c r="AAI19" s="64"/>
      <c r="AAJ19" s="64"/>
      <c r="AAK19" s="64"/>
      <c r="AAL19" s="64"/>
      <c r="AAM19" s="64"/>
      <c r="AAN19" s="64"/>
      <c r="AAO19" s="64"/>
      <c r="AAP19" s="64"/>
      <c r="AAQ19" s="64"/>
      <c r="AAR19" s="64"/>
      <c r="AAS19" s="64"/>
      <c r="AAT19" s="64"/>
      <c r="AAU19" s="64"/>
      <c r="AAV19" s="64"/>
      <c r="AAW19" s="64"/>
      <c r="AAX19" s="64"/>
      <c r="AAY19" s="64"/>
      <c r="AAZ19" s="64"/>
      <c r="ABA19" s="64"/>
      <c r="ABB19" s="64"/>
      <c r="ABC19" s="64"/>
    </row>
    <row r="20" spans="1:731" x14ac:dyDescent="0.25">
      <c r="A20" s="96"/>
      <c r="B20" s="85" t="s">
        <v>52</v>
      </c>
    </row>
    <row r="21" spans="1:731" x14ac:dyDescent="0.25">
      <c r="A21" s="96"/>
      <c r="B21" s="85" t="s">
        <v>53</v>
      </c>
    </row>
    <row r="22" spans="1:731" x14ac:dyDescent="0.25">
      <c r="A22" s="96"/>
      <c r="B22" s="85" t="s">
        <v>54</v>
      </c>
    </row>
    <row r="23" spans="1:731" x14ac:dyDescent="0.25">
      <c r="A23" s="96"/>
      <c r="B23" s="85" t="s">
        <v>55</v>
      </c>
    </row>
    <row r="24" spans="1:731" x14ac:dyDescent="0.25">
      <c r="A24" s="96"/>
      <c r="B24" s="85" t="s">
        <v>56</v>
      </c>
    </row>
    <row r="25" spans="1:731" x14ac:dyDescent="0.25">
      <c r="A25" s="96"/>
      <c r="B25" s="85" t="s">
        <v>57</v>
      </c>
    </row>
    <row r="26" spans="1:731" x14ac:dyDescent="0.25">
      <c r="A26" s="96"/>
      <c r="B26" s="85" t="s">
        <v>19</v>
      </c>
    </row>
    <row r="27" spans="1:731" x14ac:dyDescent="0.25">
      <c r="A27" s="96"/>
      <c r="B27" s="85" t="s">
        <v>58</v>
      </c>
    </row>
    <row r="28" spans="1:731" x14ac:dyDescent="0.25">
      <c r="A28" s="96"/>
      <c r="B28" s="85" t="s">
        <v>59</v>
      </c>
    </row>
    <row r="29" spans="1:731" x14ac:dyDescent="0.25">
      <c r="A29" s="96"/>
      <c r="B29" s="85"/>
    </row>
    <row r="30" spans="1:731" x14ac:dyDescent="0.25">
      <c r="A30" s="96"/>
      <c r="B30" s="85"/>
    </row>
    <row r="31" spans="1:731" x14ac:dyDescent="0.25">
      <c r="A31" s="96"/>
      <c r="B31" s="179"/>
    </row>
    <row r="32" spans="1:731" x14ac:dyDescent="0.25">
      <c r="A32" s="96"/>
      <c r="B32" s="85"/>
    </row>
    <row r="33" spans="1:2" x14ac:dyDescent="0.25">
      <c r="A33" s="96"/>
      <c r="B33" s="85"/>
    </row>
    <row r="34" spans="1:2" x14ac:dyDescent="0.25">
      <c r="A34" s="96"/>
      <c r="B34" s="85"/>
    </row>
    <row r="35" spans="1:2" x14ac:dyDescent="0.25">
      <c r="A35" s="96"/>
      <c r="B35" s="85"/>
    </row>
    <row r="36" spans="1:2" x14ac:dyDescent="0.25">
      <c r="A36" s="96"/>
      <c r="B36" s="85"/>
    </row>
    <row r="37" spans="1:2" x14ac:dyDescent="0.25">
      <c r="A37" s="96"/>
      <c r="B37" s="85"/>
    </row>
    <row r="38" spans="1:2" x14ac:dyDescent="0.25">
      <c r="A38" s="96"/>
      <c r="B38" s="85"/>
    </row>
    <row r="39" spans="1:2" x14ac:dyDescent="0.25">
      <c r="A39" s="96"/>
      <c r="B39" s="85"/>
    </row>
    <row r="40" spans="1:2" x14ac:dyDescent="0.25">
      <c r="A40" s="96"/>
      <c r="B40" s="85"/>
    </row>
    <row r="41" spans="1:2" x14ac:dyDescent="0.25">
      <c r="A41" s="96"/>
      <c r="B41" s="85"/>
    </row>
    <row r="42" spans="1:2" x14ac:dyDescent="0.25">
      <c r="A42" s="96"/>
      <c r="B42" s="85"/>
    </row>
    <row r="43" spans="1:2" x14ac:dyDescent="0.25">
      <c r="A43" s="96"/>
      <c r="B43" s="85"/>
    </row>
    <row r="44" spans="1:2" x14ac:dyDescent="0.25">
      <c r="A44" s="96"/>
      <c r="B44" s="85"/>
    </row>
    <row r="45" spans="1:2" x14ac:dyDescent="0.25">
      <c r="A45" s="96"/>
      <c r="B45" s="85"/>
    </row>
    <row r="46" spans="1:2" x14ac:dyDescent="0.25">
      <c r="A46" s="96"/>
      <c r="B46" s="85"/>
    </row>
    <row r="47" spans="1:2" x14ac:dyDescent="0.25">
      <c r="A47" s="96"/>
      <c r="B47" s="85"/>
    </row>
    <row r="48" spans="1:2" x14ac:dyDescent="0.25">
      <c r="A48" s="96"/>
      <c r="B48" s="85"/>
    </row>
    <row r="49" spans="1:2" x14ac:dyDescent="0.25">
      <c r="A49" s="96"/>
      <c r="B49" s="85"/>
    </row>
    <row r="50" spans="1:2" x14ac:dyDescent="0.25">
      <c r="A50" s="96"/>
      <c r="B50" s="85"/>
    </row>
    <row r="51" spans="1:2" x14ac:dyDescent="0.25">
      <c r="A51" s="96"/>
      <c r="B51" s="85"/>
    </row>
    <row r="52" spans="1:2" x14ac:dyDescent="0.25">
      <c r="A52" s="96"/>
      <c r="B52" s="85"/>
    </row>
    <row r="53" spans="1:2" x14ac:dyDescent="0.25">
      <c r="A53" s="96"/>
      <c r="B53" s="85"/>
    </row>
    <row r="54" spans="1:2" x14ac:dyDescent="0.25">
      <c r="A54" s="96"/>
      <c r="B54" s="85"/>
    </row>
    <row r="55" spans="1:2" x14ac:dyDescent="0.25">
      <c r="A55" s="96"/>
      <c r="B55" s="85"/>
    </row>
    <row r="56" spans="1:2" x14ac:dyDescent="0.25">
      <c r="A56" s="96"/>
      <c r="B56" s="85"/>
    </row>
    <row r="57" spans="1:2" x14ac:dyDescent="0.25">
      <c r="A57" s="96"/>
      <c r="B57" s="85"/>
    </row>
    <row r="58" spans="1:2" x14ac:dyDescent="0.25">
      <c r="A58" s="96"/>
      <c r="B58" s="85"/>
    </row>
    <row r="59" spans="1:2" x14ac:dyDescent="0.25">
      <c r="A59" s="96"/>
      <c r="B59" s="85"/>
    </row>
    <row r="60" spans="1:2" x14ac:dyDescent="0.25">
      <c r="A60" s="96"/>
      <c r="B60" s="85"/>
    </row>
    <row r="61" spans="1:2" x14ac:dyDescent="0.25">
      <c r="A61" s="96"/>
      <c r="B61" s="85"/>
    </row>
    <row r="62" spans="1:2" x14ac:dyDescent="0.25">
      <c r="A62" s="96"/>
      <c r="B62" s="85"/>
    </row>
    <row r="63" spans="1:2" x14ac:dyDescent="0.25">
      <c r="A63" s="96"/>
      <c r="B63" s="85"/>
    </row>
    <row r="64" spans="1:2" x14ac:dyDescent="0.25">
      <c r="A64" s="96"/>
      <c r="B64" s="85"/>
    </row>
    <row r="65" spans="1:2" x14ac:dyDescent="0.25">
      <c r="A65" s="96"/>
      <c r="B65" s="85"/>
    </row>
    <row r="66" spans="1:2" x14ac:dyDescent="0.25">
      <c r="A66" s="96"/>
      <c r="B66" s="85"/>
    </row>
    <row r="67" spans="1:2" x14ac:dyDescent="0.25">
      <c r="A67" s="96"/>
      <c r="B67" s="85"/>
    </row>
    <row r="68" spans="1:2" x14ac:dyDescent="0.25">
      <c r="A68" s="96"/>
      <c r="B68" s="85"/>
    </row>
    <row r="69" spans="1:2" x14ac:dyDescent="0.25">
      <c r="A69" s="96"/>
      <c r="B69" s="85"/>
    </row>
    <row r="70" spans="1:2" x14ac:dyDescent="0.25">
      <c r="A70" s="96"/>
      <c r="B70" s="85"/>
    </row>
    <row r="71" spans="1:2" x14ac:dyDescent="0.25">
      <c r="A71" s="96"/>
      <c r="B71" s="85"/>
    </row>
    <row r="72" spans="1:2" x14ac:dyDescent="0.25">
      <c r="A72" s="96"/>
      <c r="B72" s="85"/>
    </row>
    <row r="73" spans="1:2" x14ac:dyDescent="0.25">
      <c r="A73" s="96"/>
      <c r="B73" s="85"/>
    </row>
    <row r="74" spans="1:2" x14ac:dyDescent="0.25">
      <c r="A74" s="96"/>
      <c r="B74" s="85"/>
    </row>
    <row r="75" spans="1:2" x14ac:dyDescent="0.25">
      <c r="A75" s="96"/>
      <c r="B75" s="85"/>
    </row>
    <row r="76" spans="1:2" x14ac:dyDescent="0.25">
      <c r="A76" s="96"/>
      <c r="B76" s="85"/>
    </row>
    <row r="77" spans="1:2" x14ac:dyDescent="0.25">
      <c r="A77" s="96"/>
      <c r="B77" s="85"/>
    </row>
    <row r="78" spans="1:2" x14ac:dyDescent="0.25">
      <c r="A78" s="96"/>
      <c r="B78" s="85"/>
    </row>
    <row r="79" spans="1:2" x14ac:dyDescent="0.25">
      <c r="A79" s="96"/>
      <c r="B79" s="85"/>
    </row>
    <row r="80" spans="1:2" x14ac:dyDescent="0.25">
      <c r="A80" s="96"/>
      <c r="B80" s="85"/>
    </row>
    <row r="81" spans="1:2" x14ac:dyDescent="0.25">
      <c r="A81" s="96"/>
      <c r="B81" s="85"/>
    </row>
    <row r="82" spans="1:2" x14ac:dyDescent="0.25">
      <c r="A82" s="96"/>
      <c r="B82" s="85"/>
    </row>
    <row r="83" spans="1:2" x14ac:dyDescent="0.25">
      <c r="A83" s="96"/>
      <c r="B83" s="85"/>
    </row>
    <row r="84" spans="1:2" x14ac:dyDescent="0.25">
      <c r="A84" s="96"/>
      <c r="B84" s="85"/>
    </row>
    <row r="85" spans="1:2" x14ac:dyDescent="0.25">
      <c r="A85" s="96"/>
      <c r="B85" s="85"/>
    </row>
    <row r="86" spans="1:2" x14ac:dyDescent="0.25">
      <c r="A86" s="96"/>
      <c r="B86" s="85"/>
    </row>
    <row r="87" spans="1:2" x14ac:dyDescent="0.25">
      <c r="A87" s="96"/>
      <c r="B87" s="85"/>
    </row>
    <row r="88" spans="1:2" x14ac:dyDescent="0.25">
      <c r="A88" s="96"/>
      <c r="B88" s="85"/>
    </row>
    <row r="89" spans="1:2" x14ac:dyDescent="0.25">
      <c r="A89" s="96"/>
      <c r="B89" s="85"/>
    </row>
    <row r="90" spans="1:2" x14ac:dyDescent="0.25">
      <c r="A90" s="96"/>
      <c r="B90" s="85"/>
    </row>
    <row r="91" spans="1:2" x14ac:dyDescent="0.25">
      <c r="A91" s="96"/>
      <c r="B91" s="85"/>
    </row>
    <row r="92" spans="1:2" x14ac:dyDescent="0.25">
      <c r="A92" s="96"/>
      <c r="B92" s="85"/>
    </row>
    <row r="93" spans="1:2" x14ac:dyDescent="0.25">
      <c r="A93" s="96"/>
      <c r="B93" s="85"/>
    </row>
    <row r="94" spans="1:2" x14ac:dyDescent="0.25">
      <c r="A94" s="96"/>
      <c r="B94" s="85"/>
    </row>
    <row r="95" spans="1:2" x14ac:dyDescent="0.25">
      <c r="A95" s="96"/>
      <c r="B95" s="85"/>
    </row>
    <row r="96" spans="1:2" x14ac:dyDescent="0.25">
      <c r="A96" s="96"/>
      <c r="B96" s="85"/>
    </row>
    <row r="97" spans="1:2" x14ac:dyDescent="0.25">
      <c r="A97" s="96"/>
      <c r="B97" s="85"/>
    </row>
    <row r="98" spans="1:2" x14ac:dyDescent="0.25">
      <c r="A98" s="96"/>
      <c r="B98" s="85"/>
    </row>
    <row r="99" spans="1:2" x14ac:dyDescent="0.25">
      <c r="A99" s="96"/>
      <c r="B99" s="85"/>
    </row>
    <row r="100" spans="1:2" x14ac:dyDescent="0.25">
      <c r="A100" s="96"/>
      <c r="B100" s="85"/>
    </row>
    <row r="101" spans="1:2" x14ac:dyDescent="0.25">
      <c r="A101" s="96"/>
      <c r="B101" s="85"/>
    </row>
    <row r="102" spans="1:2" x14ac:dyDescent="0.25">
      <c r="A102" s="96"/>
      <c r="B102" s="85"/>
    </row>
    <row r="103" spans="1:2" x14ac:dyDescent="0.25">
      <c r="A103" s="96"/>
      <c r="B103" s="85"/>
    </row>
    <row r="104" spans="1:2" x14ac:dyDescent="0.25">
      <c r="A104" s="96"/>
      <c r="B104" s="85"/>
    </row>
    <row r="105" spans="1:2" x14ac:dyDescent="0.25">
      <c r="A105" s="96"/>
      <c r="B105" s="85"/>
    </row>
    <row r="106" spans="1:2" x14ac:dyDescent="0.25">
      <c r="A106" s="96"/>
      <c r="B106" s="85"/>
    </row>
    <row r="107" spans="1:2" x14ac:dyDescent="0.25">
      <c r="A107" s="96"/>
      <c r="B107" s="85"/>
    </row>
    <row r="108" spans="1:2" x14ac:dyDescent="0.25">
      <c r="A108" s="96"/>
      <c r="B108" s="85"/>
    </row>
    <row r="109" spans="1:2" x14ac:dyDescent="0.25">
      <c r="A109" s="96"/>
      <c r="B109" s="85"/>
    </row>
    <row r="110" spans="1:2" x14ac:dyDescent="0.25">
      <c r="A110" s="96"/>
      <c r="B110" s="85"/>
    </row>
    <row r="111" spans="1:2" x14ac:dyDescent="0.25">
      <c r="A111" s="96"/>
      <c r="B111" s="85"/>
    </row>
    <row r="112" spans="1:2" x14ac:dyDescent="0.25">
      <c r="A112" s="96"/>
      <c r="B112" s="85"/>
    </row>
    <row r="113" spans="1:2" x14ac:dyDescent="0.25">
      <c r="A113" s="96"/>
      <c r="B113" s="85"/>
    </row>
    <row r="114" spans="1:2" x14ac:dyDescent="0.25">
      <c r="A114" s="96"/>
      <c r="B114" s="85"/>
    </row>
    <row r="115" spans="1:2" x14ac:dyDescent="0.25">
      <c r="A115" s="96"/>
      <c r="B115" s="85"/>
    </row>
    <row r="116" spans="1:2" x14ac:dyDescent="0.25">
      <c r="A116" s="96"/>
      <c r="B116" s="85"/>
    </row>
    <row r="117" spans="1:2" x14ac:dyDescent="0.25">
      <c r="A117" s="96"/>
      <c r="B117" s="85"/>
    </row>
    <row r="118" spans="1:2" x14ac:dyDescent="0.25">
      <c r="A118" s="96"/>
      <c r="B118" s="85"/>
    </row>
    <row r="119" spans="1:2" x14ac:dyDescent="0.25">
      <c r="A119" s="96"/>
      <c r="B119" s="85"/>
    </row>
    <row r="120" spans="1:2" x14ac:dyDescent="0.25">
      <c r="A120" s="96"/>
      <c r="B120" s="85"/>
    </row>
    <row r="121" spans="1:2" x14ac:dyDescent="0.25">
      <c r="A121" s="96"/>
      <c r="B121" s="85"/>
    </row>
    <row r="122" spans="1:2" x14ac:dyDescent="0.25">
      <c r="A122" s="96"/>
      <c r="B122" s="85"/>
    </row>
    <row r="123" spans="1:2" x14ac:dyDescent="0.25">
      <c r="A123" s="96"/>
      <c r="B123" s="85"/>
    </row>
    <row r="124" spans="1:2" x14ac:dyDescent="0.25">
      <c r="A124" s="96"/>
      <c r="B124" s="85"/>
    </row>
    <row r="125" spans="1:2" x14ac:dyDescent="0.25">
      <c r="A125" s="96"/>
      <c r="B125" s="85"/>
    </row>
    <row r="126" spans="1:2" x14ac:dyDescent="0.25">
      <c r="A126" s="96"/>
      <c r="B126" s="85"/>
    </row>
    <row r="127" spans="1:2" x14ac:dyDescent="0.25">
      <c r="A127" s="96"/>
      <c r="B127" s="85"/>
    </row>
    <row r="128" spans="1:2" x14ac:dyDescent="0.25">
      <c r="A128" s="96"/>
      <c r="B128" s="85"/>
    </row>
    <row r="129" spans="1:2" x14ac:dyDescent="0.25">
      <c r="A129" s="96"/>
      <c r="B129" s="85"/>
    </row>
    <row r="130" spans="1:2" x14ac:dyDescent="0.25">
      <c r="A130" s="96"/>
      <c r="B130" s="85"/>
    </row>
    <row r="131" spans="1:2" x14ac:dyDescent="0.25">
      <c r="A131" s="96"/>
      <c r="B131" s="85"/>
    </row>
    <row r="132" spans="1:2" x14ac:dyDescent="0.25">
      <c r="A132" s="96"/>
      <c r="B132" s="85"/>
    </row>
    <row r="133" spans="1:2" x14ac:dyDescent="0.25">
      <c r="A133" s="96"/>
      <c r="B133" s="85"/>
    </row>
    <row r="134" spans="1:2" x14ac:dyDescent="0.25">
      <c r="A134" s="96"/>
      <c r="B134" s="85"/>
    </row>
    <row r="135" spans="1:2" x14ac:dyDescent="0.25">
      <c r="A135" s="96"/>
      <c r="B135" s="85"/>
    </row>
    <row r="136" spans="1:2" x14ac:dyDescent="0.25">
      <c r="A136" s="96"/>
      <c r="B136" s="85"/>
    </row>
    <row r="137" spans="1:2" x14ac:dyDescent="0.25">
      <c r="A137" s="96"/>
      <c r="B137" s="85"/>
    </row>
    <row r="138" spans="1:2" x14ac:dyDescent="0.25">
      <c r="A138" s="96"/>
      <c r="B138" s="85"/>
    </row>
    <row r="139" spans="1:2" x14ac:dyDescent="0.25">
      <c r="A139" s="96"/>
      <c r="B139" s="85"/>
    </row>
    <row r="140" spans="1:2" x14ac:dyDescent="0.25">
      <c r="A140" s="96"/>
      <c r="B140" s="85"/>
    </row>
    <row r="141" spans="1:2" x14ac:dyDescent="0.25">
      <c r="A141" s="96"/>
      <c r="B141" s="85"/>
    </row>
    <row r="142" spans="1:2" x14ac:dyDescent="0.25">
      <c r="A142" s="96"/>
      <c r="B142" s="85"/>
    </row>
    <row r="143" spans="1:2" x14ac:dyDescent="0.25">
      <c r="A143" s="96"/>
      <c r="B143" s="85"/>
    </row>
    <row r="144" spans="1:2" x14ac:dyDescent="0.25">
      <c r="A144" s="96"/>
      <c r="B144" s="85"/>
    </row>
    <row r="145" spans="1:2" x14ac:dyDescent="0.25">
      <c r="A145" s="96"/>
      <c r="B145" s="85"/>
    </row>
    <row r="146" spans="1:2" x14ac:dyDescent="0.25">
      <c r="A146" s="96"/>
      <c r="B146" s="85"/>
    </row>
    <row r="147" spans="1:2" x14ac:dyDescent="0.25">
      <c r="A147" s="96"/>
      <c r="B147" s="85"/>
    </row>
    <row r="148" spans="1:2" x14ac:dyDescent="0.25">
      <c r="A148" s="96"/>
      <c r="B148" s="85"/>
    </row>
    <row r="149" spans="1:2" x14ac:dyDescent="0.25">
      <c r="A149" s="96"/>
      <c r="B149" s="85"/>
    </row>
    <row r="150" spans="1:2" x14ac:dyDescent="0.25">
      <c r="A150" s="96"/>
      <c r="B150" s="85"/>
    </row>
    <row r="151" spans="1:2" x14ac:dyDescent="0.25">
      <c r="A151" s="96"/>
      <c r="B151" s="85"/>
    </row>
    <row r="152" spans="1:2" x14ac:dyDescent="0.25">
      <c r="A152" s="96"/>
      <c r="B152" s="85"/>
    </row>
    <row r="153" spans="1:2" x14ac:dyDescent="0.25">
      <c r="A153" s="96"/>
      <c r="B153" s="85"/>
    </row>
    <row r="154" spans="1:2" x14ac:dyDescent="0.25">
      <c r="A154" s="96"/>
      <c r="B154" s="85"/>
    </row>
    <row r="155" spans="1:2" x14ac:dyDescent="0.25">
      <c r="A155" s="96"/>
      <c r="B155" s="85"/>
    </row>
    <row r="156" spans="1:2" x14ac:dyDescent="0.25">
      <c r="A156" s="96"/>
      <c r="B156" s="85"/>
    </row>
    <row r="157" spans="1:2" x14ac:dyDescent="0.25">
      <c r="A157" s="96"/>
      <c r="B157" s="85"/>
    </row>
    <row r="158" spans="1:2" x14ac:dyDescent="0.25">
      <c r="A158" s="96"/>
      <c r="B158" s="85"/>
    </row>
    <row r="159" spans="1:2" x14ac:dyDescent="0.25">
      <c r="A159" s="96"/>
      <c r="B159" s="85"/>
    </row>
    <row r="160" spans="1:2" x14ac:dyDescent="0.25">
      <c r="A160" s="96"/>
      <c r="B160" s="85"/>
    </row>
    <row r="161" spans="1:2" x14ac:dyDescent="0.25">
      <c r="A161" s="96"/>
      <c r="B161" s="85"/>
    </row>
    <row r="162" spans="1:2" x14ac:dyDescent="0.25">
      <c r="A162" s="96"/>
      <c r="B162" s="85"/>
    </row>
    <row r="163" spans="1:2" x14ac:dyDescent="0.25">
      <c r="A163" s="96"/>
      <c r="B163" s="85"/>
    </row>
    <row r="164" spans="1:2" x14ac:dyDescent="0.25">
      <c r="A164" s="96"/>
      <c r="B164" s="85"/>
    </row>
    <row r="165" spans="1:2" x14ac:dyDescent="0.25">
      <c r="A165" s="96"/>
      <c r="B165" s="85"/>
    </row>
    <row r="166" spans="1:2" x14ac:dyDescent="0.25">
      <c r="A166" s="96"/>
      <c r="B166" s="85"/>
    </row>
    <row r="167" spans="1:2" x14ac:dyDescent="0.25">
      <c r="A167" s="96"/>
      <c r="B167" s="85"/>
    </row>
    <row r="168" spans="1:2" x14ac:dyDescent="0.25">
      <c r="A168" s="96"/>
      <c r="B168" s="85"/>
    </row>
    <row r="169" spans="1:2" x14ac:dyDescent="0.25">
      <c r="A169" s="96"/>
      <c r="B169" s="85"/>
    </row>
    <row r="170" spans="1:2" x14ac:dyDescent="0.25">
      <c r="A170" s="96"/>
      <c r="B170" s="85"/>
    </row>
    <row r="171" spans="1:2" x14ac:dyDescent="0.25">
      <c r="A171" s="96"/>
      <c r="B171" s="85"/>
    </row>
    <row r="172" spans="1:2" x14ac:dyDescent="0.25">
      <c r="A172" s="96"/>
      <c r="B172" s="85"/>
    </row>
    <row r="173" spans="1:2" x14ac:dyDescent="0.25">
      <c r="A173" s="96"/>
      <c r="B173" s="85"/>
    </row>
    <row r="174" spans="1:2" x14ac:dyDescent="0.25">
      <c r="A174" s="96"/>
      <c r="B174" s="85"/>
    </row>
    <row r="175" spans="1:2" x14ac:dyDescent="0.25">
      <c r="A175" s="96"/>
      <c r="B175" s="85"/>
    </row>
    <row r="176" spans="1:2" x14ac:dyDescent="0.25">
      <c r="A176" s="96"/>
      <c r="B176" s="85"/>
    </row>
    <row r="177" spans="1:2" x14ac:dyDescent="0.25">
      <c r="A177" s="96"/>
      <c r="B177" s="85"/>
    </row>
    <row r="178" spans="1:2" x14ac:dyDescent="0.25">
      <c r="A178" s="96"/>
      <c r="B178" s="85"/>
    </row>
    <row r="179" spans="1:2" x14ac:dyDescent="0.25">
      <c r="A179" s="96"/>
      <c r="B179" s="85"/>
    </row>
    <row r="180" spans="1:2" x14ac:dyDescent="0.25">
      <c r="A180" s="96"/>
      <c r="B180" s="85"/>
    </row>
    <row r="181" spans="1:2" x14ac:dyDescent="0.25">
      <c r="A181" s="96"/>
      <c r="B181" s="85"/>
    </row>
    <row r="182" spans="1:2" x14ac:dyDescent="0.25">
      <c r="A182" s="96"/>
      <c r="B182" s="85"/>
    </row>
    <row r="183" spans="1:2" x14ac:dyDescent="0.25">
      <c r="A183" s="96"/>
      <c r="B183" s="85"/>
    </row>
    <row r="184" spans="1:2" x14ac:dyDescent="0.25">
      <c r="A184" s="96"/>
      <c r="B184" s="85"/>
    </row>
    <row r="185" spans="1:2" x14ac:dyDescent="0.25">
      <c r="A185" s="96"/>
      <c r="B185" s="85"/>
    </row>
    <row r="186" spans="1:2" x14ac:dyDescent="0.25">
      <c r="A186" s="96"/>
      <c r="B186" s="85"/>
    </row>
    <row r="187" spans="1:2" x14ac:dyDescent="0.25">
      <c r="A187" s="96"/>
      <c r="B187" s="85"/>
    </row>
    <row r="188" spans="1:2" x14ac:dyDescent="0.25">
      <c r="A188" s="96"/>
      <c r="B188" s="85"/>
    </row>
    <row r="189" spans="1:2" x14ac:dyDescent="0.25">
      <c r="A189" s="96"/>
      <c r="B189" s="85"/>
    </row>
    <row r="190" spans="1:2" x14ac:dyDescent="0.25">
      <c r="A190" s="96"/>
      <c r="B190" s="85"/>
    </row>
    <row r="191" spans="1:2" x14ac:dyDescent="0.25">
      <c r="A191" s="96"/>
      <c r="B191" s="85"/>
    </row>
    <row r="192" spans="1:2" x14ac:dyDescent="0.25">
      <c r="A192" s="96"/>
      <c r="B192" s="85"/>
    </row>
    <row r="193" spans="1:2" x14ac:dyDescent="0.25">
      <c r="A193" s="96"/>
      <c r="B193" s="85"/>
    </row>
    <row r="194" spans="1:2" x14ac:dyDescent="0.25">
      <c r="A194" s="96"/>
      <c r="B194" s="85"/>
    </row>
    <row r="195" spans="1:2" x14ac:dyDescent="0.25">
      <c r="A195" s="96"/>
      <c r="B195" s="85"/>
    </row>
    <row r="196" spans="1:2" x14ac:dyDescent="0.25">
      <c r="A196" s="96"/>
      <c r="B196" s="85"/>
    </row>
    <row r="197" spans="1:2" x14ac:dyDescent="0.25">
      <c r="A197" s="96"/>
      <c r="B197" s="85"/>
    </row>
    <row r="198" spans="1:2" x14ac:dyDescent="0.25">
      <c r="A198" s="96"/>
      <c r="B198" s="85"/>
    </row>
    <row r="199" spans="1:2" x14ac:dyDescent="0.25">
      <c r="A199" s="96"/>
      <c r="B199" s="85"/>
    </row>
    <row r="200" spans="1:2" x14ac:dyDescent="0.25">
      <c r="A200" s="96"/>
      <c r="B200" s="85"/>
    </row>
    <row r="201" spans="1:2" x14ac:dyDescent="0.25">
      <c r="A201" s="96"/>
      <c r="B201" s="85"/>
    </row>
    <row r="202" spans="1:2" x14ac:dyDescent="0.25">
      <c r="A202" s="96"/>
      <c r="B202" s="85"/>
    </row>
    <row r="203" spans="1:2" x14ac:dyDescent="0.25">
      <c r="A203" s="96"/>
      <c r="B203" s="85"/>
    </row>
    <row r="204" spans="1:2" x14ac:dyDescent="0.25">
      <c r="A204" s="96"/>
      <c r="B204" s="85"/>
    </row>
    <row r="205" spans="1:2" x14ac:dyDescent="0.25">
      <c r="A205" s="96"/>
      <c r="B205" s="85"/>
    </row>
    <row r="206" spans="1:2" x14ac:dyDescent="0.25">
      <c r="A206" s="96"/>
      <c r="B206" s="85"/>
    </row>
    <row r="207" spans="1:2" x14ac:dyDescent="0.25">
      <c r="A207" s="96"/>
      <c r="B207" s="85"/>
    </row>
    <row r="208" spans="1:2" x14ac:dyDescent="0.25">
      <c r="A208" s="96"/>
      <c r="B208" s="85"/>
    </row>
    <row r="209" spans="1:2" x14ac:dyDescent="0.25">
      <c r="A209" s="96"/>
      <c r="B209" s="85"/>
    </row>
    <row r="210" spans="1:2" x14ac:dyDescent="0.25">
      <c r="A210" s="96"/>
      <c r="B210" s="85"/>
    </row>
    <row r="211" spans="1:2" x14ac:dyDescent="0.25">
      <c r="A211" s="96"/>
      <c r="B211" s="85"/>
    </row>
    <row r="212" spans="1:2" x14ac:dyDescent="0.25">
      <c r="A212" s="96"/>
      <c r="B212" s="85"/>
    </row>
    <row r="213" spans="1:2" x14ac:dyDescent="0.25">
      <c r="A213" s="96"/>
      <c r="B213" s="85"/>
    </row>
    <row r="214" spans="1:2" x14ac:dyDescent="0.25">
      <c r="A214" s="96"/>
      <c r="B214" s="85"/>
    </row>
    <row r="215" spans="1:2" x14ac:dyDescent="0.25">
      <c r="A215" s="96"/>
      <c r="B215" s="85"/>
    </row>
    <row r="216" spans="1:2" x14ac:dyDescent="0.25">
      <c r="A216" s="96"/>
      <c r="B216" s="85"/>
    </row>
    <row r="217" spans="1:2" x14ac:dyDescent="0.25">
      <c r="A217" s="96"/>
      <c r="B217" s="85"/>
    </row>
    <row r="218" spans="1:2" x14ac:dyDescent="0.25">
      <c r="A218" s="96"/>
      <c r="B218" s="85"/>
    </row>
    <row r="219" spans="1:2" x14ac:dyDescent="0.25">
      <c r="A219" s="96"/>
      <c r="B219" s="85"/>
    </row>
    <row r="220" spans="1:2" x14ac:dyDescent="0.25">
      <c r="A220" s="96"/>
      <c r="B220" s="85"/>
    </row>
    <row r="221" spans="1:2" x14ac:dyDescent="0.25">
      <c r="A221" s="96"/>
      <c r="B221" s="85"/>
    </row>
    <row r="222" spans="1:2" x14ac:dyDescent="0.25">
      <c r="A222" s="96"/>
      <c r="B222" s="85"/>
    </row>
    <row r="223" spans="1:2" x14ac:dyDescent="0.25">
      <c r="A223" s="96"/>
      <c r="B223" s="85"/>
    </row>
    <row r="224" spans="1:2" x14ac:dyDescent="0.25">
      <c r="A224" s="96"/>
      <c r="B224" s="85"/>
    </row>
    <row r="225" spans="1:2" x14ac:dyDescent="0.25">
      <c r="A225" s="96"/>
      <c r="B225" s="85"/>
    </row>
    <row r="226" spans="1:2" x14ac:dyDescent="0.25">
      <c r="A226" s="96"/>
      <c r="B226" s="85"/>
    </row>
    <row r="227" spans="1:2" x14ac:dyDescent="0.25">
      <c r="A227" s="96"/>
      <c r="B227" s="85"/>
    </row>
    <row r="228" spans="1:2" x14ac:dyDescent="0.25">
      <c r="A228" s="96"/>
      <c r="B228" s="85"/>
    </row>
    <row r="229" spans="1:2" x14ac:dyDescent="0.25">
      <c r="A229" s="96"/>
      <c r="B229" s="85"/>
    </row>
    <row r="230" spans="1:2" x14ac:dyDescent="0.25">
      <c r="A230" s="96"/>
      <c r="B230" s="85"/>
    </row>
    <row r="231" spans="1:2" x14ac:dyDescent="0.25">
      <c r="A231" s="96"/>
      <c r="B231" s="85"/>
    </row>
    <row r="232" spans="1:2" x14ac:dyDescent="0.25">
      <c r="A232" s="96"/>
      <c r="B232" s="85"/>
    </row>
    <row r="233" spans="1:2" x14ac:dyDescent="0.25">
      <c r="A233" s="96"/>
      <c r="B233" s="85"/>
    </row>
    <row r="234" spans="1:2" x14ac:dyDescent="0.25">
      <c r="A234" s="96"/>
      <c r="B234" s="85"/>
    </row>
    <row r="235" spans="1:2" x14ac:dyDescent="0.25">
      <c r="A235" s="96"/>
      <c r="B235" s="85"/>
    </row>
    <row r="236" spans="1:2" x14ac:dyDescent="0.25">
      <c r="A236" s="96"/>
      <c r="B236" s="85"/>
    </row>
    <row r="237" spans="1:2" x14ac:dyDescent="0.25">
      <c r="A237" s="96"/>
      <c r="B237" s="85"/>
    </row>
    <row r="238" spans="1:2" x14ac:dyDescent="0.25">
      <c r="A238" s="96"/>
      <c r="B238" s="85"/>
    </row>
    <row r="239" spans="1:2" x14ac:dyDescent="0.25">
      <c r="A239" s="96"/>
      <c r="B239" s="85"/>
    </row>
    <row r="240" spans="1:2" x14ac:dyDescent="0.25">
      <c r="A240" s="96"/>
      <c r="B240" s="85"/>
    </row>
    <row r="241" spans="1:2" x14ac:dyDescent="0.25">
      <c r="A241" s="96"/>
      <c r="B241" s="85"/>
    </row>
    <row r="242" spans="1:2" x14ac:dyDescent="0.25">
      <c r="A242" s="96"/>
      <c r="B242" s="85"/>
    </row>
    <row r="243" spans="1:2" x14ac:dyDescent="0.25">
      <c r="A243" s="96"/>
      <c r="B243" s="85"/>
    </row>
    <row r="244" spans="1:2" x14ac:dyDescent="0.25">
      <c r="A244" s="96"/>
      <c r="B244" s="85"/>
    </row>
    <row r="245" spans="1:2" x14ac:dyDescent="0.25">
      <c r="A245" s="96"/>
      <c r="B245" s="85"/>
    </row>
    <row r="246" spans="1:2" x14ac:dyDescent="0.25">
      <c r="A246" s="96"/>
      <c r="B246" s="85"/>
    </row>
    <row r="247" spans="1:2" x14ac:dyDescent="0.25">
      <c r="A247" s="96"/>
      <c r="B247" s="85"/>
    </row>
    <row r="248" spans="1:2" x14ac:dyDescent="0.25">
      <c r="A248" s="96"/>
      <c r="B248" s="85"/>
    </row>
    <row r="249" spans="1:2" x14ac:dyDescent="0.25">
      <c r="A249" s="96"/>
      <c r="B249" s="85"/>
    </row>
    <row r="250" spans="1:2" x14ac:dyDescent="0.25">
      <c r="A250" s="96"/>
      <c r="B250" s="85"/>
    </row>
    <row r="251" spans="1:2" x14ac:dyDescent="0.25">
      <c r="A251" s="96"/>
      <c r="B251" s="85"/>
    </row>
    <row r="252" spans="1:2" x14ac:dyDescent="0.25">
      <c r="A252" s="96"/>
      <c r="B252" s="85"/>
    </row>
    <row r="253" spans="1:2" x14ac:dyDescent="0.25">
      <c r="A253" s="96"/>
      <c r="B253" s="85"/>
    </row>
    <row r="254" spans="1:2" x14ac:dyDescent="0.25">
      <c r="A254" s="96"/>
      <c r="B254" s="85"/>
    </row>
    <row r="255" spans="1:2" x14ac:dyDescent="0.25">
      <c r="A255" s="96"/>
      <c r="B255" s="85"/>
    </row>
    <row r="256" spans="1:2" x14ac:dyDescent="0.25">
      <c r="A256" s="96"/>
      <c r="B256" s="85"/>
    </row>
    <row r="257" spans="1:2" x14ac:dyDescent="0.25">
      <c r="A257" s="96"/>
      <c r="B257" s="85"/>
    </row>
    <row r="258" spans="1:2" x14ac:dyDescent="0.25">
      <c r="A258" s="96"/>
      <c r="B258" s="85"/>
    </row>
    <row r="259" spans="1:2" x14ac:dyDescent="0.25">
      <c r="A259" s="96"/>
      <c r="B259" s="85"/>
    </row>
    <row r="260" spans="1:2" x14ac:dyDescent="0.25">
      <c r="A260" s="96"/>
      <c r="B260" s="85"/>
    </row>
    <row r="261" spans="1:2" x14ac:dyDescent="0.25">
      <c r="A261" s="96"/>
      <c r="B261" s="85"/>
    </row>
    <row r="262" spans="1:2" x14ac:dyDescent="0.25">
      <c r="A262" s="96"/>
      <c r="B262" s="85"/>
    </row>
    <row r="263" spans="1:2" x14ac:dyDescent="0.25">
      <c r="A263" s="96"/>
      <c r="B263" s="85"/>
    </row>
    <row r="264" spans="1:2" x14ac:dyDescent="0.25">
      <c r="A264" s="96"/>
      <c r="B264" s="85"/>
    </row>
    <row r="265" spans="1:2" x14ac:dyDescent="0.25">
      <c r="A265" s="96"/>
      <c r="B265" s="85"/>
    </row>
    <row r="266" spans="1:2" x14ac:dyDescent="0.25">
      <c r="A266" s="96"/>
      <c r="B266" s="85"/>
    </row>
    <row r="267" spans="1:2" x14ac:dyDescent="0.25">
      <c r="A267" s="96"/>
      <c r="B267" s="85"/>
    </row>
    <row r="268" spans="1:2" x14ac:dyDescent="0.25">
      <c r="A268" s="96"/>
      <c r="B268" s="85"/>
    </row>
    <row r="269" spans="1:2" x14ac:dyDescent="0.25">
      <c r="A269" s="96"/>
      <c r="B269" s="85"/>
    </row>
    <row r="270" spans="1:2" x14ac:dyDescent="0.25">
      <c r="A270" s="96"/>
      <c r="B270" s="85"/>
    </row>
    <row r="271" spans="1:2" x14ac:dyDescent="0.25">
      <c r="A271" s="96"/>
      <c r="B271" s="85"/>
    </row>
    <row r="272" spans="1:2" x14ac:dyDescent="0.25">
      <c r="A272" s="96"/>
      <c r="B272" s="85"/>
    </row>
    <row r="273" spans="1:2" x14ac:dyDescent="0.25">
      <c r="A273" s="96"/>
      <c r="B273" s="85"/>
    </row>
    <row r="274" spans="1:2" x14ac:dyDescent="0.25">
      <c r="A274" s="96"/>
      <c r="B274" s="85"/>
    </row>
    <row r="275" spans="1:2" x14ac:dyDescent="0.25">
      <c r="A275" s="96"/>
      <c r="B275" s="85"/>
    </row>
    <row r="276" spans="1:2" x14ac:dyDescent="0.25">
      <c r="A276" s="96"/>
      <c r="B276" s="85"/>
    </row>
    <row r="277" spans="1:2" x14ac:dyDescent="0.25">
      <c r="A277" s="96"/>
      <c r="B277" s="85"/>
    </row>
    <row r="278" spans="1:2" x14ac:dyDescent="0.25">
      <c r="A278" s="96"/>
      <c r="B278" s="85"/>
    </row>
    <row r="279" spans="1:2" x14ac:dyDescent="0.25">
      <c r="A279" s="96"/>
      <c r="B279" s="85"/>
    </row>
    <row r="280" spans="1:2" x14ac:dyDescent="0.25">
      <c r="A280" s="96"/>
      <c r="B280" s="85"/>
    </row>
    <row r="281" spans="1:2" x14ac:dyDescent="0.25">
      <c r="A281" s="96"/>
      <c r="B281" s="85"/>
    </row>
    <row r="282" spans="1:2" x14ac:dyDescent="0.25">
      <c r="A282" s="96"/>
      <c r="B282" s="85"/>
    </row>
    <row r="283" spans="1:2" x14ac:dyDescent="0.25">
      <c r="A283" s="96"/>
      <c r="B283" s="85"/>
    </row>
    <row r="284" spans="1:2" x14ac:dyDescent="0.25">
      <c r="A284" s="96"/>
      <c r="B284" s="85"/>
    </row>
    <row r="285" spans="1:2" x14ac:dyDescent="0.25">
      <c r="A285" s="96"/>
      <c r="B285" s="85"/>
    </row>
    <row r="286" spans="1:2" x14ac:dyDescent="0.25">
      <c r="A286" s="96"/>
      <c r="B286" s="85"/>
    </row>
    <row r="287" spans="1:2" x14ac:dyDescent="0.25">
      <c r="A287" s="96"/>
      <c r="B287" s="85"/>
    </row>
    <row r="288" spans="1:2" x14ac:dyDescent="0.25">
      <c r="A288" s="96"/>
      <c r="B288" s="85"/>
    </row>
    <row r="289" spans="1:2" x14ac:dyDescent="0.25">
      <c r="A289" s="96"/>
      <c r="B289" s="85"/>
    </row>
    <row r="290" spans="1:2" x14ac:dyDescent="0.25">
      <c r="A290" s="96"/>
      <c r="B290" s="85"/>
    </row>
    <row r="291" spans="1:2" x14ac:dyDescent="0.25">
      <c r="A291" s="96"/>
      <c r="B291" s="85"/>
    </row>
    <row r="292" spans="1:2" x14ac:dyDescent="0.25">
      <c r="A292" s="96"/>
      <c r="B292" s="85"/>
    </row>
    <row r="293" spans="1:2" x14ac:dyDescent="0.25">
      <c r="A293" s="96"/>
      <c r="B293" s="85"/>
    </row>
    <row r="294" spans="1:2" x14ac:dyDescent="0.25">
      <c r="A294" s="96"/>
      <c r="B294" s="85"/>
    </row>
    <row r="295" spans="1:2" x14ac:dyDescent="0.25">
      <c r="A295" s="96"/>
      <c r="B295" s="85"/>
    </row>
    <row r="296" spans="1:2" x14ac:dyDescent="0.25">
      <c r="A296" s="96"/>
      <c r="B296" s="85"/>
    </row>
    <row r="297" spans="1:2" x14ac:dyDescent="0.25">
      <c r="A297" s="96"/>
      <c r="B297" s="85"/>
    </row>
    <row r="298" spans="1:2" x14ac:dyDescent="0.25">
      <c r="A298" s="96"/>
      <c r="B298" s="85"/>
    </row>
    <row r="299" spans="1:2" x14ac:dyDescent="0.25">
      <c r="A299" s="96"/>
      <c r="B299" s="85"/>
    </row>
    <row r="300" spans="1:2" x14ac:dyDescent="0.25">
      <c r="A300" s="96"/>
      <c r="B300" s="85"/>
    </row>
    <row r="301" spans="1:2" x14ac:dyDescent="0.25">
      <c r="A301" s="96"/>
      <c r="B301" s="85"/>
    </row>
    <row r="302" spans="1:2" x14ac:dyDescent="0.25">
      <c r="A302" s="96"/>
      <c r="B302" s="85"/>
    </row>
    <row r="303" spans="1:2" x14ac:dyDescent="0.25">
      <c r="A303" s="96"/>
      <c r="B303" s="85"/>
    </row>
    <row r="304" spans="1:2" x14ac:dyDescent="0.25">
      <c r="A304" s="96"/>
      <c r="B304" s="85"/>
    </row>
    <row r="305" spans="1:2" x14ac:dyDescent="0.25">
      <c r="A305" s="96"/>
      <c r="B305" s="85"/>
    </row>
    <row r="306" spans="1:2" x14ac:dyDescent="0.25">
      <c r="A306" s="96"/>
      <c r="B306" s="85"/>
    </row>
    <row r="307" spans="1:2" x14ac:dyDescent="0.25">
      <c r="A307" s="96"/>
      <c r="B307" s="85"/>
    </row>
    <row r="308" spans="1:2" x14ac:dyDescent="0.25">
      <c r="A308" s="96"/>
      <c r="B308" s="85"/>
    </row>
    <row r="309" spans="1:2" x14ac:dyDescent="0.25">
      <c r="A309" s="96"/>
      <c r="B309" s="85"/>
    </row>
    <row r="310" spans="1:2" x14ac:dyDescent="0.25">
      <c r="A310" s="96"/>
      <c r="B310" s="85"/>
    </row>
    <row r="311" spans="1:2" x14ac:dyDescent="0.25">
      <c r="A311" s="96"/>
      <c r="B311" s="85"/>
    </row>
    <row r="312" spans="1:2" x14ac:dyDescent="0.25">
      <c r="A312" s="96"/>
      <c r="B312" s="85"/>
    </row>
    <row r="313" spans="1:2" x14ac:dyDescent="0.25">
      <c r="A313" s="96"/>
      <c r="B313" s="85"/>
    </row>
    <row r="314" spans="1:2" x14ac:dyDescent="0.25">
      <c r="A314" s="96"/>
      <c r="B314" s="85"/>
    </row>
    <row r="315" spans="1:2" x14ac:dyDescent="0.25">
      <c r="A315" s="96"/>
      <c r="B315" s="85"/>
    </row>
    <row r="316" spans="1:2" x14ac:dyDescent="0.25">
      <c r="A316" s="96"/>
      <c r="B316" s="85"/>
    </row>
    <row r="317" spans="1:2" x14ac:dyDescent="0.25">
      <c r="A317" s="96"/>
      <c r="B317" s="85"/>
    </row>
    <row r="318" spans="1:2" x14ac:dyDescent="0.25">
      <c r="A318" s="96"/>
      <c r="B318" s="85"/>
    </row>
    <row r="319" spans="1:2" x14ac:dyDescent="0.25">
      <c r="A319" s="96"/>
      <c r="B319" s="85"/>
    </row>
    <row r="320" spans="1:2" x14ac:dyDescent="0.25">
      <c r="A320" s="96"/>
      <c r="B320" s="85"/>
    </row>
    <row r="321" spans="1:2" x14ac:dyDescent="0.25">
      <c r="A321" s="96"/>
      <c r="B321" s="85"/>
    </row>
    <row r="322" spans="1:2" x14ac:dyDescent="0.25">
      <c r="A322" s="96"/>
      <c r="B322" s="85"/>
    </row>
    <row r="323" spans="1:2" x14ac:dyDescent="0.25">
      <c r="A323" s="96"/>
      <c r="B323" s="85"/>
    </row>
    <row r="324" spans="1:2" x14ac:dyDescent="0.25">
      <c r="A324" s="96"/>
      <c r="B324" s="85"/>
    </row>
    <row r="325" spans="1:2" x14ac:dyDescent="0.25">
      <c r="A325" s="96"/>
      <c r="B325" s="85"/>
    </row>
    <row r="326" spans="1:2" x14ac:dyDescent="0.25">
      <c r="A326" s="96"/>
      <c r="B326" s="85"/>
    </row>
    <row r="327" spans="1:2" x14ac:dyDescent="0.25">
      <c r="A327" s="96"/>
      <c r="B327" s="85"/>
    </row>
    <row r="328" spans="1:2" x14ac:dyDescent="0.25">
      <c r="A328" s="96"/>
      <c r="B328" s="85"/>
    </row>
    <row r="329" spans="1:2" x14ac:dyDescent="0.25">
      <c r="A329" s="96"/>
      <c r="B329" s="85"/>
    </row>
    <row r="330" spans="1:2" x14ac:dyDescent="0.25">
      <c r="A330" s="96"/>
      <c r="B330" s="85"/>
    </row>
    <row r="331" spans="1:2" x14ac:dyDescent="0.25">
      <c r="A331" s="96"/>
      <c r="B331" s="85"/>
    </row>
    <row r="332" spans="1:2" x14ac:dyDescent="0.25">
      <c r="A332" s="96"/>
      <c r="B332" s="85"/>
    </row>
    <row r="333" spans="1:2" x14ac:dyDescent="0.25">
      <c r="A333" s="96"/>
      <c r="B333" s="85"/>
    </row>
    <row r="334" spans="1:2" x14ac:dyDescent="0.25">
      <c r="A334" s="96"/>
      <c r="B334" s="85"/>
    </row>
    <row r="335" spans="1:2" x14ac:dyDescent="0.25">
      <c r="A335" s="96"/>
      <c r="B335" s="85"/>
    </row>
    <row r="336" spans="1:2" x14ac:dyDescent="0.25">
      <c r="A336" s="96"/>
      <c r="B336" s="85"/>
    </row>
    <row r="337" spans="1:2" x14ac:dyDescent="0.25">
      <c r="A337" s="96"/>
      <c r="B337" s="85"/>
    </row>
    <row r="338" spans="1:2" x14ac:dyDescent="0.25">
      <c r="A338" s="96"/>
      <c r="B338" s="85"/>
    </row>
    <row r="339" spans="1:2" x14ac:dyDescent="0.25">
      <c r="A339" s="96"/>
      <c r="B339" s="85"/>
    </row>
    <row r="340" spans="1:2" x14ac:dyDescent="0.25">
      <c r="A340" s="96"/>
      <c r="B340" s="85"/>
    </row>
    <row r="341" spans="1:2" x14ac:dyDescent="0.25">
      <c r="A341" s="96"/>
      <c r="B341" s="85"/>
    </row>
    <row r="342" spans="1:2" x14ac:dyDescent="0.25">
      <c r="A342" s="96"/>
      <c r="B342" s="85"/>
    </row>
    <row r="343" spans="1:2" x14ac:dyDescent="0.25">
      <c r="A343" s="96"/>
      <c r="B343" s="85"/>
    </row>
    <row r="344" spans="1:2" x14ac:dyDescent="0.25">
      <c r="A344" s="96"/>
      <c r="B344" s="85"/>
    </row>
    <row r="345" spans="1:2" x14ac:dyDescent="0.25">
      <c r="A345" s="96"/>
      <c r="B345" s="85"/>
    </row>
    <row r="346" spans="1:2" x14ac:dyDescent="0.25">
      <c r="A346" s="96"/>
      <c r="B346" s="85"/>
    </row>
    <row r="347" spans="1:2" x14ac:dyDescent="0.25">
      <c r="A347" s="96"/>
      <c r="B347" s="85"/>
    </row>
    <row r="348" spans="1:2" x14ac:dyDescent="0.25">
      <c r="A348" s="96"/>
      <c r="B348" s="85"/>
    </row>
    <row r="349" spans="1:2" x14ac:dyDescent="0.25">
      <c r="A349" s="96"/>
      <c r="B349" s="85"/>
    </row>
    <row r="350" spans="1:2" x14ac:dyDescent="0.25">
      <c r="A350" s="96"/>
      <c r="B350" s="85"/>
    </row>
    <row r="351" spans="1:2" x14ac:dyDescent="0.25">
      <c r="A351" s="96"/>
      <c r="B351" s="85"/>
    </row>
    <row r="352" spans="1:2" x14ac:dyDescent="0.25">
      <c r="A352" s="96"/>
      <c r="B352" s="85"/>
    </row>
    <row r="353" spans="1:2" x14ac:dyDescent="0.25">
      <c r="A353" s="96"/>
      <c r="B353" s="85"/>
    </row>
    <row r="354" spans="1:2" x14ac:dyDescent="0.25">
      <c r="A354" s="96"/>
      <c r="B354" s="85"/>
    </row>
    <row r="355" spans="1:2" x14ac:dyDescent="0.25">
      <c r="A355" s="96"/>
      <c r="B355" s="85"/>
    </row>
    <row r="356" spans="1:2" x14ac:dyDescent="0.25">
      <c r="A356" s="96"/>
      <c r="B356" s="85"/>
    </row>
    <row r="357" spans="1:2" x14ac:dyDescent="0.25">
      <c r="A357" s="96"/>
      <c r="B357" s="85"/>
    </row>
    <row r="358" spans="1:2" x14ac:dyDescent="0.25">
      <c r="A358" s="96"/>
      <c r="B358" s="85"/>
    </row>
    <row r="359" spans="1:2" x14ac:dyDescent="0.25">
      <c r="A359" s="96"/>
      <c r="B359" s="85"/>
    </row>
    <row r="360" spans="1:2" x14ac:dyDescent="0.25">
      <c r="A360" s="96"/>
      <c r="B360" s="85"/>
    </row>
    <row r="361" spans="1:2" x14ac:dyDescent="0.25">
      <c r="A361" s="96"/>
      <c r="B361" s="85"/>
    </row>
    <row r="362" spans="1:2" x14ac:dyDescent="0.25">
      <c r="A362" s="96"/>
      <c r="B362" s="85"/>
    </row>
    <row r="363" spans="1:2" x14ac:dyDescent="0.25">
      <c r="A363" s="96"/>
      <c r="B363" s="85"/>
    </row>
    <row r="364" spans="1:2" x14ac:dyDescent="0.25">
      <c r="A364" s="96"/>
      <c r="B364" s="85"/>
    </row>
    <row r="365" spans="1:2" x14ac:dyDescent="0.25">
      <c r="A365" s="96"/>
      <c r="B365" s="85"/>
    </row>
    <row r="366" spans="1:2" x14ac:dyDescent="0.25">
      <c r="A366" s="96"/>
      <c r="B366" s="85"/>
    </row>
    <row r="367" spans="1:2" x14ac:dyDescent="0.25">
      <c r="A367" s="96"/>
      <c r="B367" s="85"/>
    </row>
    <row r="368" spans="1:2" x14ac:dyDescent="0.25">
      <c r="A368" s="96"/>
      <c r="B368" s="85"/>
    </row>
    <row r="369" spans="1:2" x14ac:dyDescent="0.25">
      <c r="A369" s="96"/>
      <c r="B369" s="85"/>
    </row>
    <row r="370" spans="1:2" x14ac:dyDescent="0.25">
      <c r="A370" s="96"/>
      <c r="B370" s="85"/>
    </row>
    <row r="371" spans="1:2" x14ac:dyDescent="0.25">
      <c r="A371" s="96"/>
      <c r="B371" s="85"/>
    </row>
    <row r="372" spans="1:2" x14ac:dyDescent="0.25">
      <c r="A372" s="96"/>
      <c r="B372" s="85"/>
    </row>
    <row r="373" spans="1:2" x14ac:dyDescent="0.25">
      <c r="A373" s="96"/>
      <c r="B373" s="85"/>
    </row>
    <row r="374" spans="1:2" x14ac:dyDescent="0.25">
      <c r="A374" s="96"/>
      <c r="B374" s="85"/>
    </row>
    <row r="375" spans="1:2" x14ac:dyDescent="0.25">
      <c r="A375" s="96"/>
      <c r="B375" s="85"/>
    </row>
    <row r="376" spans="1:2" x14ac:dyDescent="0.25">
      <c r="A376" s="96"/>
      <c r="B376" s="85"/>
    </row>
    <row r="377" spans="1:2" x14ac:dyDescent="0.25">
      <c r="A377" s="96"/>
      <c r="B377" s="85"/>
    </row>
    <row r="378" spans="1:2" x14ac:dyDescent="0.25">
      <c r="A378" s="96"/>
      <c r="B378" s="85"/>
    </row>
    <row r="379" spans="1:2" x14ac:dyDescent="0.25">
      <c r="A379" s="96"/>
      <c r="B379" s="85"/>
    </row>
    <row r="380" spans="1:2" x14ac:dyDescent="0.25">
      <c r="A380" s="96"/>
      <c r="B380" s="85"/>
    </row>
    <row r="381" spans="1:2" x14ac:dyDescent="0.25">
      <c r="A381" s="96"/>
      <c r="B381" s="85"/>
    </row>
    <row r="382" spans="1:2" x14ac:dyDescent="0.25">
      <c r="A382" s="96"/>
      <c r="B382" s="85"/>
    </row>
    <row r="383" spans="1:2" x14ac:dyDescent="0.25">
      <c r="A383" s="96"/>
      <c r="B383" s="85"/>
    </row>
    <row r="384" spans="1:2" x14ac:dyDescent="0.25">
      <c r="A384" s="96"/>
      <c r="B384" s="85"/>
    </row>
    <row r="385" spans="1:2" x14ac:dyDescent="0.25">
      <c r="A385" s="96"/>
      <c r="B385" s="85"/>
    </row>
    <row r="386" spans="1:2" x14ac:dyDescent="0.25">
      <c r="A386" s="96"/>
      <c r="B386" s="85"/>
    </row>
    <row r="387" spans="1:2" x14ac:dyDescent="0.25">
      <c r="A387" s="96"/>
      <c r="B387" s="85"/>
    </row>
    <row r="388" spans="1:2" x14ac:dyDescent="0.25">
      <c r="A388" s="96"/>
      <c r="B388" s="85"/>
    </row>
    <row r="389" spans="1:2" x14ac:dyDescent="0.25">
      <c r="A389" s="96"/>
      <c r="B389" s="85"/>
    </row>
    <row r="390" spans="1:2" x14ac:dyDescent="0.25">
      <c r="A390" s="96"/>
      <c r="B390" s="85"/>
    </row>
    <row r="391" spans="1:2" x14ac:dyDescent="0.25">
      <c r="A391" s="96"/>
      <c r="B391" s="85"/>
    </row>
    <row r="392" spans="1:2" x14ac:dyDescent="0.25">
      <c r="A392" s="96"/>
      <c r="B392" s="85"/>
    </row>
    <row r="393" spans="1:2" x14ac:dyDescent="0.25">
      <c r="A393" s="96"/>
      <c r="B393" s="85"/>
    </row>
    <row r="394" spans="1:2" x14ac:dyDescent="0.25">
      <c r="A394" s="96"/>
      <c r="B394" s="85"/>
    </row>
    <row r="395" spans="1:2" x14ac:dyDescent="0.25">
      <c r="A395" s="96"/>
      <c r="B395" s="85"/>
    </row>
    <row r="396" spans="1:2" x14ac:dyDescent="0.25">
      <c r="A396" s="96"/>
      <c r="B396" s="85"/>
    </row>
    <row r="397" spans="1:2" x14ac:dyDescent="0.25">
      <c r="A397" s="96"/>
      <c r="B397" s="85"/>
    </row>
    <row r="398" spans="1:2" x14ac:dyDescent="0.25">
      <c r="A398" s="96"/>
      <c r="B398" s="85"/>
    </row>
    <row r="399" spans="1:2" x14ac:dyDescent="0.25">
      <c r="A399" s="96"/>
      <c r="B399" s="85"/>
    </row>
    <row r="400" spans="1:2" x14ac:dyDescent="0.25">
      <c r="A400" s="96"/>
      <c r="B400" s="85"/>
    </row>
    <row r="401" spans="1:2" x14ac:dyDescent="0.25">
      <c r="A401" s="96"/>
      <c r="B401" s="85"/>
    </row>
    <row r="402" spans="1:2" x14ac:dyDescent="0.25">
      <c r="A402" s="96"/>
      <c r="B402" s="85"/>
    </row>
    <row r="403" spans="1:2" x14ac:dyDescent="0.25">
      <c r="A403" s="96"/>
      <c r="B403" s="85"/>
    </row>
    <row r="404" spans="1:2" x14ac:dyDescent="0.25">
      <c r="A404" s="96"/>
      <c r="B404" s="85"/>
    </row>
    <row r="405" spans="1:2" x14ac:dyDescent="0.25">
      <c r="A405" s="96"/>
      <c r="B405" s="85"/>
    </row>
    <row r="406" spans="1:2" x14ac:dyDescent="0.25">
      <c r="A406" s="96"/>
      <c r="B406" s="85"/>
    </row>
    <row r="407" spans="1:2" x14ac:dyDescent="0.25">
      <c r="A407" s="96"/>
      <c r="B407" s="85"/>
    </row>
    <row r="408" spans="1:2" x14ac:dyDescent="0.25">
      <c r="A408" s="96"/>
      <c r="B408" s="85"/>
    </row>
    <row r="409" spans="1:2" x14ac:dyDescent="0.25">
      <c r="A409" s="96"/>
      <c r="B409" s="85"/>
    </row>
    <row r="410" spans="1:2" x14ac:dyDescent="0.25">
      <c r="A410" s="96"/>
      <c r="B410" s="85"/>
    </row>
    <row r="411" spans="1:2" x14ac:dyDescent="0.25">
      <c r="A411" s="96"/>
      <c r="B411" s="85"/>
    </row>
    <row r="412" spans="1:2" x14ac:dyDescent="0.25">
      <c r="A412" s="96"/>
      <c r="B412" s="85"/>
    </row>
    <row r="413" spans="1:2" x14ac:dyDescent="0.25">
      <c r="A413" s="96"/>
      <c r="B413" s="85"/>
    </row>
    <row r="414" spans="1:2" x14ac:dyDescent="0.25">
      <c r="A414" s="96"/>
      <c r="B414" s="85"/>
    </row>
    <row r="415" spans="1:2" x14ac:dyDescent="0.25">
      <c r="A415" s="96"/>
      <c r="B415" s="85"/>
    </row>
    <row r="416" spans="1:2" x14ac:dyDescent="0.25">
      <c r="A416" s="96"/>
      <c r="B416" s="85"/>
    </row>
    <row r="417" spans="1:2" x14ac:dyDescent="0.25">
      <c r="A417" s="96"/>
      <c r="B417" s="85"/>
    </row>
    <row r="418" spans="1:2" x14ac:dyDescent="0.25">
      <c r="A418" s="96"/>
      <c r="B418" s="85"/>
    </row>
    <row r="419" spans="1:2" x14ac:dyDescent="0.25">
      <c r="A419" s="96"/>
      <c r="B419" s="85"/>
    </row>
    <row r="420" spans="1:2" x14ac:dyDescent="0.25">
      <c r="A420" s="96"/>
      <c r="B420" s="85"/>
    </row>
    <row r="421" spans="1:2" x14ac:dyDescent="0.25">
      <c r="A421" s="96"/>
      <c r="B421" s="85"/>
    </row>
    <row r="422" spans="1:2" x14ac:dyDescent="0.25">
      <c r="A422" s="96"/>
      <c r="B422" s="85"/>
    </row>
    <row r="423" spans="1:2" x14ac:dyDescent="0.25">
      <c r="A423" s="96"/>
      <c r="B423" s="85"/>
    </row>
    <row r="424" spans="1:2" x14ac:dyDescent="0.25">
      <c r="A424" s="96"/>
      <c r="B424" s="85"/>
    </row>
    <row r="425" spans="1:2" x14ac:dyDescent="0.25">
      <c r="A425" s="96"/>
      <c r="B425" s="85"/>
    </row>
    <row r="426" spans="1:2" x14ac:dyDescent="0.25">
      <c r="A426" s="96"/>
      <c r="B426" s="85"/>
    </row>
    <row r="427" spans="1:2" x14ac:dyDescent="0.25">
      <c r="A427" s="96"/>
      <c r="B427" s="85"/>
    </row>
    <row r="428" spans="1:2" x14ac:dyDescent="0.25">
      <c r="A428" s="96"/>
      <c r="B428" s="85"/>
    </row>
    <row r="429" spans="1:2" x14ac:dyDescent="0.25">
      <c r="A429" s="96"/>
      <c r="B429" s="85"/>
    </row>
    <row r="430" spans="1:2" x14ac:dyDescent="0.25">
      <c r="A430" s="96"/>
      <c r="B430" s="85"/>
    </row>
    <row r="431" spans="1:2" x14ac:dyDescent="0.25">
      <c r="A431" s="96"/>
      <c r="B431" s="85"/>
    </row>
    <row r="432" spans="1:2" x14ac:dyDescent="0.25">
      <c r="A432" s="96"/>
      <c r="B432" s="85"/>
    </row>
    <row r="433" spans="1:2" x14ac:dyDescent="0.25">
      <c r="A433" s="96"/>
      <c r="B433" s="85"/>
    </row>
    <row r="434" spans="1:2" x14ac:dyDescent="0.25">
      <c r="A434" s="96"/>
      <c r="B434" s="85"/>
    </row>
    <row r="435" spans="1:2" x14ac:dyDescent="0.25">
      <c r="A435" s="96"/>
      <c r="B435" s="85"/>
    </row>
    <row r="436" spans="1:2" x14ac:dyDescent="0.25">
      <c r="A436" s="96"/>
      <c r="B436" s="85"/>
    </row>
    <row r="437" spans="1:2" x14ac:dyDescent="0.25">
      <c r="A437" s="96"/>
      <c r="B437" s="85"/>
    </row>
    <row r="438" spans="1:2" x14ac:dyDescent="0.25">
      <c r="A438" s="96"/>
      <c r="B438" s="85"/>
    </row>
    <row r="439" spans="1:2" x14ac:dyDescent="0.25">
      <c r="A439" s="96"/>
      <c r="B439" s="85"/>
    </row>
    <row r="440" spans="1:2" x14ac:dyDescent="0.25">
      <c r="A440" s="96"/>
      <c r="B440" s="85"/>
    </row>
    <row r="441" spans="1:2" x14ac:dyDescent="0.25">
      <c r="A441" s="96"/>
      <c r="B441" s="85"/>
    </row>
    <row r="442" spans="1:2" x14ac:dyDescent="0.25">
      <c r="A442" s="96"/>
      <c r="B442" s="85"/>
    </row>
    <row r="443" spans="1:2" x14ac:dyDescent="0.25">
      <c r="A443" s="96"/>
      <c r="B443" s="85"/>
    </row>
    <row r="444" spans="1:2" x14ac:dyDescent="0.25">
      <c r="A444" s="96"/>
      <c r="B444" s="85"/>
    </row>
    <row r="445" spans="1:2" x14ac:dyDescent="0.25">
      <c r="A445" s="96"/>
      <c r="B445" s="85"/>
    </row>
    <row r="446" spans="1:2" x14ac:dyDescent="0.25">
      <c r="A446" s="96"/>
      <c r="B446" s="85"/>
    </row>
    <row r="447" spans="1:2" x14ac:dyDescent="0.25">
      <c r="A447" s="96"/>
      <c r="B447" s="85"/>
    </row>
    <row r="448" spans="1:2" x14ac:dyDescent="0.25">
      <c r="A448" s="96"/>
      <c r="B448" s="85"/>
    </row>
    <row r="449" spans="1:2" x14ac:dyDescent="0.25">
      <c r="A449" s="96"/>
      <c r="B449" s="85"/>
    </row>
    <row r="450" spans="1:2" x14ac:dyDescent="0.25">
      <c r="A450" s="96"/>
      <c r="B450" s="85"/>
    </row>
    <row r="451" spans="1:2" x14ac:dyDescent="0.25">
      <c r="A451" s="96"/>
      <c r="B451" s="85"/>
    </row>
    <row r="452" spans="1:2" x14ac:dyDescent="0.25">
      <c r="A452" s="96"/>
      <c r="B452" s="85"/>
    </row>
    <row r="453" spans="1:2" x14ac:dyDescent="0.25">
      <c r="A453" s="96"/>
      <c r="B453" s="85"/>
    </row>
    <row r="454" spans="1:2" x14ac:dyDescent="0.25">
      <c r="A454" s="96"/>
      <c r="B454" s="85"/>
    </row>
    <row r="455" spans="1:2" x14ac:dyDescent="0.25">
      <c r="A455" s="96"/>
      <c r="B455" s="85"/>
    </row>
    <row r="456" spans="1:2" x14ac:dyDescent="0.25">
      <c r="A456" s="96"/>
      <c r="B456" s="85"/>
    </row>
    <row r="457" spans="1:2" x14ac:dyDescent="0.25">
      <c r="A457" s="96"/>
      <c r="B457" s="85"/>
    </row>
    <row r="458" spans="1:2" x14ac:dyDescent="0.25">
      <c r="A458" s="96"/>
      <c r="B458" s="85"/>
    </row>
    <row r="459" spans="1:2" x14ac:dyDescent="0.25">
      <c r="A459" s="96"/>
      <c r="B459" s="85"/>
    </row>
    <row r="460" spans="1:2" x14ac:dyDescent="0.25">
      <c r="A460" s="96"/>
      <c r="B460" s="85"/>
    </row>
    <row r="461" spans="1:2" x14ac:dyDescent="0.25">
      <c r="A461" s="96"/>
      <c r="B461" s="85"/>
    </row>
    <row r="462" spans="1:2" x14ac:dyDescent="0.25">
      <c r="A462" s="96"/>
      <c r="B462" s="85"/>
    </row>
    <row r="463" spans="1:2" x14ac:dyDescent="0.25">
      <c r="A463" s="96"/>
      <c r="B463" s="85"/>
    </row>
    <row r="464" spans="1:2" x14ac:dyDescent="0.25">
      <c r="A464" s="96"/>
      <c r="B464" s="85"/>
    </row>
    <row r="465" spans="1:2" x14ac:dyDescent="0.25">
      <c r="A465" s="96"/>
      <c r="B465" s="85"/>
    </row>
    <row r="466" spans="1:2" x14ac:dyDescent="0.25">
      <c r="A466" s="96"/>
      <c r="B466" s="85"/>
    </row>
    <row r="467" spans="1:2" x14ac:dyDescent="0.25">
      <c r="A467" s="96"/>
      <c r="B467" s="85"/>
    </row>
    <row r="468" spans="1:2" x14ac:dyDescent="0.25">
      <c r="A468" s="96"/>
      <c r="B468" s="85"/>
    </row>
    <row r="469" spans="1:2" x14ac:dyDescent="0.25">
      <c r="A469" s="96"/>
      <c r="B469" s="85"/>
    </row>
    <row r="470" spans="1:2" x14ac:dyDescent="0.25">
      <c r="A470" s="96"/>
      <c r="B470" s="85"/>
    </row>
    <row r="471" spans="1:2" x14ac:dyDescent="0.25">
      <c r="A471" s="96"/>
      <c r="B471" s="85"/>
    </row>
    <row r="472" spans="1:2" x14ac:dyDescent="0.25">
      <c r="A472" s="96"/>
      <c r="B472" s="85"/>
    </row>
    <row r="473" spans="1:2" x14ac:dyDescent="0.25">
      <c r="A473" s="96"/>
      <c r="B473" s="85"/>
    </row>
    <row r="474" spans="1:2" x14ac:dyDescent="0.25">
      <c r="A474" s="96"/>
      <c r="B474" s="85"/>
    </row>
    <row r="475" spans="1:2" x14ac:dyDescent="0.25">
      <c r="A475" s="96"/>
      <c r="B475" s="85"/>
    </row>
    <row r="476" spans="1:2" x14ac:dyDescent="0.25">
      <c r="A476" s="96"/>
      <c r="B476" s="85"/>
    </row>
    <row r="477" spans="1:2" x14ac:dyDescent="0.25">
      <c r="A477" s="96"/>
      <c r="B477" s="85"/>
    </row>
    <row r="478" spans="1:2" x14ac:dyDescent="0.25">
      <c r="A478" s="96"/>
      <c r="B478" s="85"/>
    </row>
    <row r="479" spans="1:2" x14ac:dyDescent="0.25">
      <c r="A479" s="96"/>
      <c r="B479" s="85"/>
    </row>
    <row r="480" spans="1:2" x14ac:dyDescent="0.25">
      <c r="A480" s="96"/>
      <c r="B480" s="85"/>
    </row>
    <row r="481" spans="1:2" x14ac:dyDescent="0.25">
      <c r="A481" s="96"/>
      <c r="B481" s="85"/>
    </row>
    <row r="482" spans="1:2" x14ac:dyDescent="0.25">
      <c r="A482" s="96"/>
      <c r="B482" s="85"/>
    </row>
    <row r="483" spans="1:2" x14ac:dyDescent="0.25">
      <c r="A483" s="96"/>
      <c r="B483" s="85"/>
    </row>
    <row r="484" spans="1:2" x14ac:dyDescent="0.25">
      <c r="A484" s="96"/>
      <c r="B484" s="85"/>
    </row>
    <row r="485" spans="1:2" x14ac:dyDescent="0.25">
      <c r="A485" s="96"/>
      <c r="B485" s="85"/>
    </row>
    <row r="486" spans="1:2" x14ac:dyDescent="0.25">
      <c r="A486" s="96"/>
      <c r="B486" s="85"/>
    </row>
    <row r="487" spans="1:2" ht="15.75" thickBot="1" x14ac:dyDescent="0.3">
      <c r="A487" s="101"/>
      <c r="B487" s="107"/>
    </row>
    <row r="488" spans="1:2" x14ac:dyDescent="0.25">
      <c r="A488" s="102"/>
      <c r="B488" s="102"/>
    </row>
    <row r="489" spans="1:2" x14ac:dyDescent="0.25">
      <c r="A489" s="102"/>
      <c r="B489" s="102"/>
    </row>
    <row r="490" spans="1:2" x14ac:dyDescent="0.25">
      <c r="A490" s="102"/>
      <c r="B490" s="102"/>
    </row>
    <row r="491" spans="1:2" x14ac:dyDescent="0.25">
      <c r="A491" s="102"/>
      <c r="B491" s="102"/>
    </row>
    <row r="492" spans="1:2" x14ac:dyDescent="0.25">
      <c r="A492" s="102"/>
      <c r="B492" s="102"/>
    </row>
    <row r="493" spans="1:2" x14ac:dyDescent="0.25">
      <c r="A493" s="102"/>
      <c r="B493" s="102"/>
    </row>
    <row r="494" spans="1:2" x14ac:dyDescent="0.25">
      <c r="A494" s="102"/>
      <c r="B494" s="102"/>
    </row>
    <row r="495" spans="1:2" x14ac:dyDescent="0.25">
      <c r="A495" s="102"/>
      <c r="B495" s="102"/>
    </row>
    <row r="496" spans="1:2" x14ac:dyDescent="0.25">
      <c r="A496" s="102"/>
      <c r="B496" s="102"/>
    </row>
    <row r="497" spans="1:2" x14ac:dyDescent="0.25">
      <c r="A497" s="102"/>
      <c r="B497" s="102"/>
    </row>
    <row r="498" spans="1:2" x14ac:dyDescent="0.25">
      <c r="A498" s="102"/>
      <c r="B498" s="102"/>
    </row>
    <row r="499" spans="1:2" x14ac:dyDescent="0.25">
      <c r="A499" s="102"/>
      <c r="B499" s="102"/>
    </row>
  </sheetData>
  <sheetProtection algorithmName="SHA-512" hashValue="genzSLQqXFzbaOV1hC/Xd/a9MscCRMzclWtByG/xa83x1EUmXeKJxHc/qZneKhM/uUVoEmG4WsOUUcVEmuJItA==" saltValue="nJhArSaXpWx4PBoPzFvKEA==" spinCount="100000" sheet="1" objects="1" scenarios="1" formatCells="0" formatColumns="0" formatRows="0"/>
  <pageMargins left="0.7" right="0.7" top="0.75" bottom="0.75" header="0.3" footer="0.3"/>
  <pageSetup paperSize="9" scale="61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FCCC-7C74-4146-9A08-8702A99AF012}">
  <sheetPr codeName="Foglio4"/>
  <dimension ref="B14"/>
  <sheetViews>
    <sheetView tabSelected="1" workbookViewId="0">
      <selection activeCell="B15" sqref="B15"/>
    </sheetView>
  </sheetViews>
  <sheetFormatPr defaultColWidth="8.85546875" defaultRowHeight="15" x14ac:dyDescent="0.25"/>
  <sheetData>
    <row r="14" spans="2:2" ht="31.5" x14ac:dyDescent="0.5">
      <c r="B14" s="19" t="s">
        <v>27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2</vt:i4>
      </vt:variant>
    </vt:vector>
  </HeadingPairs>
  <TitlesOfParts>
    <vt:vector size="3" baseType="lpstr">
      <vt:lpstr>START</vt:lpstr>
      <vt:lpstr>'Impostazioni Software'!Area_stampa</vt:lpstr>
      <vt:lpstr>'Prima Nota'!Area_stampa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Akillez</dc:creator>
  <cp:lastModifiedBy>Stefano Freni</cp:lastModifiedBy>
  <cp:lastPrinted>2019-09-10T20:44:39Z</cp:lastPrinted>
  <dcterms:created xsi:type="dcterms:W3CDTF">2014-02-08T17:04:23Z</dcterms:created>
  <dcterms:modified xsi:type="dcterms:W3CDTF">2020-06-21T12:12:11Z</dcterms:modified>
</cp:coreProperties>
</file>